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figures\Figure 10\"/>
    </mc:Choice>
  </mc:AlternateContent>
  <xr:revisionPtr revIDLastSave="0" documentId="13_ncr:1_{4F6AAC5F-1639-4161-9F47-CA19C78A7C5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6" i="1" l="1"/>
  <c r="H166" i="1"/>
  <c r="I166" i="1"/>
  <c r="J166" i="1"/>
  <c r="K166" i="1"/>
  <c r="G167" i="1" a="1"/>
  <c r="G167" i="1" s="1"/>
  <c r="H167" i="1" a="1"/>
  <c r="H167" i="1" s="1"/>
  <c r="I167" i="1" a="1"/>
  <c r="I167" i="1" s="1"/>
  <c r="J167" i="1" a="1"/>
  <c r="J167" i="1" s="1"/>
  <c r="K167" i="1" a="1"/>
  <c r="K167" i="1" s="1"/>
  <c r="F167" i="1" a="1"/>
  <c r="F167" i="1" s="1"/>
  <c r="F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<sst xmlns="http://schemas.openxmlformats.org/spreadsheetml/2006/main" count="496" uniqueCount="180">
  <si>
    <t>Average Timing</t>
  </si>
  <si>
    <t>156XXXX</t>
  </si>
  <si>
    <t>AutoMPG8</t>
  </si>
  <si>
    <t>{acceleration, displacement, weight}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</si>
  <si>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</si>
  <si>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</si>
  <si>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</si>
  <si>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</si>
  <si>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</si>
  <si>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</si>
  <si>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</si>
  <si>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</si>
  <si>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</si>
  <si>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</si>
  <si>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</si>
  <si>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</si>
  <si>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</si>
  <si>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</si>
  <si>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</si>
  <si>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</si>
  <si>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</si>
  <si>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</si>
  <si>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</si>
  <si>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</si>
  <si>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</si>
  <si>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</si>
  <si>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</si>
  <si>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</si>
  <si>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</si>
  <si>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</si>
  <si>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</si>
  <si>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</si>
  <si>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</si>
  <si>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</si>
  <si>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</si>
  <si>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</si>
  <si>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</si>
  <si>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</si>
  <si>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</si>
  <si>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</si>
  <si>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</si>
  <si>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</si>
  <si>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</si>
  <si>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</si>
  <si>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</si>
  <si>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</si>
  <si>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</si>
  <si>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</si>
  <si>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</si>
  <si>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</si>
  <si>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</si>
  <si>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</si>
  <si>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160XXN</t>
  </si>
  <si>
    <t>160XNX</t>
  </si>
  <si>
    <t>160XNN</t>
  </si>
  <si>
    <t>160NXX</t>
  </si>
  <si>
    <t>160NXN</t>
  </si>
  <si>
    <t>160NNX</t>
  </si>
  <si>
    <t>160NNN</t>
  </si>
  <si>
    <t>75XXX</t>
  </si>
  <si>
    <t>DryBean_2</t>
  </si>
  <si>
    <t>{Area, Compactness, Eccentricity}</t>
  </si>
  <si>
    <t>75XXN</t>
  </si>
  <si>
    <t>75XNX</t>
  </si>
  <si>
    <t>75XNN</t>
  </si>
  <si>
    <t>75NXX</t>
  </si>
  <si>
    <t>75NXN</t>
  </si>
  <si>
    <t>75NNX</t>
  </si>
  <si>
    <t>75NNN</t>
  </si>
  <si>
    <t>78XXX</t>
  </si>
  <si>
    <t>78XXN</t>
  </si>
  <si>
    <t>78XNX</t>
  </si>
  <si>
    <t>78XNN</t>
  </si>
  <si>
    <t>78NXX</t>
  </si>
  <si>
    <t>78NXN</t>
  </si>
  <si>
    <t>78NNX</t>
  </si>
  <si>
    <t>78NNN</t>
  </si>
  <si>
    <t>79XXX</t>
  </si>
  <si>
    <t>79XXN</t>
  </si>
  <si>
    <t>79XNX</t>
  </si>
  <si>
    <t>79XNN</t>
  </si>
  <si>
    <t>79NXX</t>
  </si>
  <si>
    <t>79NXN</t>
  </si>
  <si>
    <t>79NNX</t>
  </si>
  <si>
    <t>79NNN</t>
  </si>
  <si>
    <t>80XXX</t>
  </si>
  <si>
    <t>80XXN</t>
  </si>
  <si>
    <t>80XNX</t>
  </si>
  <si>
    <t>80XNN</t>
  </si>
  <si>
    <t>80NXX</t>
  </si>
  <si>
    <t>80NXN</t>
  </si>
  <si>
    <t>80NNX</t>
  </si>
  <si>
    <t>80NNN</t>
  </si>
  <si>
    <t>81XXX</t>
  </si>
  <si>
    <t>81XXN</t>
  </si>
  <si>
    <t>81XNX</t>
  </si>
  <si>
    <t>81XNN</t>
  </si>
  <si>
    <t>81NXX</t>
  </si>
  <si>
    <t>81NXN</t>
  </si>
  <si>
    <t>81NNX</t>
  </si>
  <si>
    <t>81NNN</t>
  </si>
  <si>
    <t>82XXX</t>
  </si>
  <si>
    <t>82XXN</t>
  </si>
  <si>
    <t>82XNX</t>
  </si>
  <si>
    <t>82XNN</t>
  </si>
  <si>
    <t>82NXX</t>
  </si>
  <si>
    <t>82NXN</t>
  </si>
  <si>
    <t>82NNX</t>
  </si>
  <si>
    <t>82NNN</t>
  </si>
  <si>
    <t>83XXX</t>
  </si>
  <si>
    <t>83XXN</t>
  </si>
  <si>
    <t>83XNX</t>
  </si>
  <si>
    <t>83XNN</t>
  </si>
  <si>
    <t>83NXX</t>
  </si>
  <si>
    <t>83NXN</t>
  </si>
  <si>
    <t>83NNX</t>
  </si>
  <si>
    <t>83NNN</t>
  </si>
  <si>
    <t>84XXX</t>
  </si>
  <si>
    <t>84XXN</t>
  </si>
  <si>
    <t>84XNX</t>
  </si>
  <si>
    <t>84XNN</t>
  </si>
  <si>
    <t>84NXX</t>
  </si>
  <si>
    <t>84NXN</t>
  </si>
  <si>
    <t>84NNX</t>
  </si>
  <si>
    <t>84NNN</t>
  </si>
  <si>
    <t>85XXX</t>
  </si>
  <si>
    <t>85XXN</t>
  </si>
  <si>
    <t>85XNX</t>
  </si>
  <si>
    <t>85XNN</t>
  </si>
  <si>
    <t>85NXX</t>
  </si>
  <si>
    <t>85NXN</t>
  </si>
  <si>
    <t>85NNX</t>
  </si>
  <si>
    <t>85NNN</t>
  </si>
  <si>
    <t>86XXX</t>
  </si>
  <si>
    <t>86XXN</t>
  </si>
  <si>
    <t>86XNX</t>
  </si>
  <si>
    <t>86XNN</t>
  </si>
  <si>
    <t>86NXX</t>
  </si>
  <si>
    <t>86NXN</t>
  </si>
  <si>
    <t>86NNX</t>
  </si>
  <si>
    <t>86NNN</t>
  </si>
  <si>
    <t>87XX</t>
  </si>
  <si>
    <t>87XN</t>
  </si>
  <si>
    <t>87NX</t>
  </si>
  <si>
    <t>87NN</t>
  </si>
  <si>
    <t>88XXX</t>
  </si>
  <si>
    <t>88XXN</t>
  </si>
  <si>
    <t>88XNX</t>
  </si>
  <si>
    <t>88XNN</t>
  </si>
  <si>
    <t>88NXX</t>
  </si>
  <si>
    <t>88NXN</t>
  </si>
  <si>
    <t>88NNX</t>
  </si>
  <si>
    <t>88NNN</t>
  </si>
  <si>
    <t>89XX</t>
  </si>
  <si>
    <t>89XN</t>
  </si>
  <si>
    <t>89NX</t>
  </si>
  <si>
    <t>89NN</t>
  </si>
  <si>
    <t>90XXX</t>
  </si>
  <si>
    <t>90XXN</t>
  </si>
  <si>
    <t>90XNX</t>
  </si>
  <si>
    <t>90XNN</t>
  </si>
  <si>
    <t>90NXX</t>
  </si>
  <si>
    <t>90NXN</t>
  </si>
  <si>
    <t>90NNX</t>
  </si>
  <si>
    <t>90NNN</t>
  </si>
  <si>
    <t>ddSky.</t>
  </si>
  <si>
    <t>gnSky.</t>
  </si>
  <si>
    <t>lnSky. (0.9, 0.1)</t>
  </si>
  <si>
    <t>lnSky. (0.8, 0.2)</t>
  </si>
  <si>
    <t>lnSky. (0.7, 0.3)</t>
  </si>
  <si>
    <t>Mean</t>
  </si>
  <si>
    <t>Median</t>
  </si>
  <si>
    <t>Target (or sym)</t>
  </si>
  <si>
    <t>lnSky. (0.6, 0.4)</t>
  </si>
  <si>
    <t>ddSky</t>
  </si>
  <si>
    <t>gnSky</t>
  </si>
  <si>
    <t>lnSky (0.9, 0.1)</t>
  </si>
  <si>
    <t>lnSky (0.8, 0.2)</t>
  </si>
  <si>
    <t>lnSky (0.7, 0.3)</t>
  </si>
  <si>
    <t>lnSky (0.6, 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</si>
</sst>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5" fillId="2" borderId="1" xfId="1" applyFont="1" applyFill="1" applyBorder="1" applyAlignment="1">
      <alignment horizontal="left"/>
    </xf>
    <xf numFmtId="0" fontId="0" fillId="3" borderId="0" xfId="0" applyFill="1"/>
    <xf numFmtId="0" fontId="2" fillId="0" borderId="0" xfId="0" applyFont="1"/>
    <xf numFmtId="0" fontId="5" fillId="2" borderId="1" xfId="1" applyFont="1" applyFill="1" applyBorder="1" applyAlignment="1">
      <alignment horizontal="left" wrapText="1"/>
    </xf>
    <xf numFmtId="0" fontId="1" fillId="0" borderId="0" xfId="0" applyFont="1"/>
    <xf numFmtId="0" fontId="0" fillId="0" borderId="0" xfId="0"/>
  </cellXfs>
  <cellStyles count="2">
    <cellStyle name="Normal" xfId="0" builtinId="0"/>
    <cellStyle name="Normal 2" xfId="1" xr:uid="{5584AB8A-FC4F-475A-8C55-467EBE1565CD}"/>
  </cellStyles>
  <dxfs count="0"/>
  <tableStyles count="0" defaultTableStyle="TableStyleMedium9" defaultPivotStyle="PivotStyleLight16"/>
  <colors>
    <mruColors>
      <color rgb="FFD86ECC"/>
      <color rgb="FF1F8EC0"/>
      <color rgb="FF46B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Mean Gain Computation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graphs)</a:t>
            </a:r>
          </a:p>
        </c:rich>
      </c:tx>
      <c:layout>
        <c:manualLayout>
          <c:xMode val="edge"/>
          <c:yMode val="edge"/>
          <c:x val="0.26227854330708661"/>
          <c:y val="3.47222222222222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83666885389326"/>
          <c:y val="0.22272181718713366"/>
          <c:w val="0.8705967027559055"/>
          <c:h val="0.56118663233133592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Summary!$E$166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6-433A-AC6A-42AA2D9CDF73}"/>
              </c:ext>
            </c:extLst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6-433A-AC6A-42AA2D9CDF73}"/>
              </c:ext>
            </c:extLst>
          </c:dPt>
          <c:dPt>
            <c:idx val="2"/>
            <c:invertIfNegative val="0"/>
            <c:bubble3D val="0"/>
            <c:spPr>
              <a:solidFill>
                <a:srgbClr val="0D3A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6-433A-AC6A-42AA2D9CDF7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2D4-4582-AB0D-6C863F74A396}"/>
              </c:ext>
            </c:extLst>
          </c:dPt>
          <c:dLbls>
            <c:dLbl>
              <c:idx val="0"/>
              <c:layout>
                <c:manualLayout>
                  <c:x val="9.4785559647980702E-2"/>
                  <c:y val="0.22257766173494342"/>
                </c:manualLayout>
              </c:layout>
              <c:tx>
                <c:rich>
                  <a:bodyPr/>
                  <a:lstStyle/>
                  <a:p>
                    <a:fld id="{9DA75FEF-55C5-486E-A280-2C15C9EE0117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2A6-433A-AC6A-42AA2D9CDF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A6-433A-AC6A-42AA2D9CDF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A6-433A-AC6A-42AA2D9CDF7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Summary!$F$165:$K$165</c15:sqref>
                  </c15:fullRef>
                </c:ext>
              </c:extLst>
              <c:f>(Summary!$F$165:$G$165,Summary!$K$165)</c:f>
              <c:strCache>
                <c:ptCount val="3"/>
                <c:pt idx="0">
                  <c:v>ddSky.</c:v>
                </c:pt>
                <c:pt idx="1">
                  <c:v>gnSky.</c:v>
                </c:pt>
                <c:pt idx="2">
                  <c:v>lnSky. (0.6, 0.4)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Summary!$F$166:$K$166</c15:sqref>
                  </c15:fullRef>
                </c:ext>
              </c:extLst>
              <c:f>(Summary!$F$166:$G$166,Summary!$K$166)</c:f>
              <c:numCache>
                <c:formatCode>General</c:formatCode>
                <c:ptCount val="3"/>
                <c:pt idx="0">
                  <c:v>499.45435701471416</c:v>
                </c:pt>
                <c:pt idx="1">
                  <c:v>6.5133273881786558</c:v>
                </c:pt>
                <c:pt idx="2">
                  <c:v>6.4987004749207316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6-433A-AC6A-42AA2D9CD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layout>
            <c:manualLayout>
              <c:xMode val="edge"/>
              <c:yMode val="edge"/>
              <c:x val="1.1585773893742662E-2"/>
              <c:y val="0.22272184095916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714374</xdr:colOff>
      <xdr:row>170</xdr:row>
      <xdr:rowOff>180974</xdr:rowOff>
    </xdr:from>
    <xdr:to>
      <xdr:col>10</xdr:col>
      <xdr:colOff>592073</xdr:colOff>
      <xdr:row>189</xdr:row>
      <xdr:rowOff>134873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F186B-1517-4462-B416-FF84B2BEF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"/>
  <sheetViews>
    <sheetView tabSelected="1" topLeftCell="A154" zoomScaleNormal="100" workbookViewId="0">
      <selection activeCell="L172" sqref="L172"/>
    </sheetView>
  </sheetViews>
  <sheetFormatPr defaultRowHeight="14.25" x14ac:dyDescent="0.45"/>
  <cols>
    <col min="1" max="7" width="10" customWidth="1"/>
    <col min="8" max="11" width="20" customWidth="1"/>
  </cols>
  <sheetData>
    <row r="1" spans="1:11" x14ac:dyDescent="0.45">
      <c r="F1" s="7" t="s">
        <v>0</v>
      </c>
      <c r="G1" s="8"/>
      <c r="H1" s="8"/>
      <c r="I1" s="8"/>
      <c r="J1" s="8"/>
      <c r="K1" s="8"/>
    </row>
    <row r="2" spans="1:11" x14ac:dyDescent="0.45">
      <c r="E2" s="5" t="s">
        <v>172</v>
      </c>
      <c r="F2" s="2" t="s">
        <v>174</v>
      </c>
      <c r="G2" s="2" t="s">
        <v>175</v>
      </c>
      <c r="H2" s="2" t="s">
        <v>176</v>
      </c>
      <c r="I2" s="2" t="s">
        <v>177</v>
      </c>
      <c r="J2" s="2" t="s">
        <v>178</v>
      </c>
      <c r="K2" s="2" t="s">
        <v>179</v>
      </c>
    </row>
    <row r="3" spans="1:11" x14ac:dyDescent="0.45">
      <c r="A3">
        <v>21</v>
      </c>
      <c r="B3" t="s">
        <v>1</v>
      </c>
      <c r="C3" t="s">
        <v>2</v>
      </c>
      <c r="D3" t="s">
        <v>3</v>
      </c>
      <c r="E3" s="4">
        <v>1</v>
      </c>
      <c r="F3">
        <v>479.25239553116262</v>
      </c>
      <c r="G3">
        <v>24.463839005213231</v>
      </c>
      <c r="H3">
        <v>24.35682586305775</v>
      </c>
      <c r="I3">
        <v>24.368198330420999</v>
      </c>
      <c r="J3">
        <v>24.43072863579728</v>
      </c>
      <c r="K3">
        <v>24.44100754423998</v>
      </c>
    </row>
    <row r="4" spans="1:11" x14ac:dyDescent="0.45">
      <c r="A4">
        <v>21</v>
      </c>
      <c r="B4" t="s">
        <v>4</v>
      </c>
      <c r="C4" t="s">
        <v>2</v>
      </c>
      <c r="D4" t="s">
        <v>3</v>
      </c>
      <c r="E4" s="4">
        <v>0</v>
      </c>
      <c r="F4">
        <v>468.65006970679389</v>
      </c>
      <c r="G4">
        <v>24.37713045836426</v>
      </c>
      <c r="H4">
        <v>24.350198983727019</v>
      </c>
      <c r="I4">
        <v>24.368492222018538</v>
      </c>
      <c r="J4">
        <v>24.31530306302011</v>
      </c>
      <c r="K4">
        <v>24.383270713267851</v>
      </c>
    </row>
    <row r="5" spans="1:11" x14ac:dyDescent="0.45">
      <c r="A5">
        <v>21</v>
      </c>
      <c r="B5" t="s">
        <v>5</v>
      </c>
      <c r="C5" t="s">
        <v>2</v>
      </c>
      <c r="D5" t="s">
        <v>3</v>
      </c>
      <c r="E5" s="4">
        <v>0</v>
      </c>
      <c r="F5">
        <v>449.78165701827959</v>
      </c>
      <c r="G5">
        <v>23.303120230231439</v>
      </c>
      <c r="H5">
        <v>23.301589345186951</v>
      </c>
      <c r="I5">
        <v>23.300373660819609</v>
      </c>
      <c r="J5">
        <v>23.253557333024219</v>
      </c>
      <c r="K5">
        <v>23.339287880435581</v>
      </c>
    </row>
    <row r="6" spans="1:11" x14ac:dyDescent="0.45">
      <c r="A6">
        <v>21</v>
      </c>
      <c r="B6" t="s">
        <v>6</v>
      </c>
      <c r="C6" t="s">
        <v>2</v>
      </c>
      <c r="D6" t="s">
        <v>3</v>
      </c>
      <c r="E6" s="4">
        <v>0</v>
      </c>
      <c r="F6">
        <v>461.64817054877062</v>
      </c>
      <c r="G6">
        <v>24.44568623574451</v>
      </c>
      <c r="H6">
        <v>24.303588080592451</v>
      </c>
      <c r="I6">
        <v>24.293521425407381</v>
      </c>
      <c r="J6">
        <v>24.323582253605132</v>
      </c>
      <c r="K6">
        <v>24.344175413995981</v>
      </c>
    </row>
    <row r="7" spans="1:11" x14ac:dyDescent="0.45">
      <c r="A7">
        <v>21</v>
      </c>
      <c r="B7" t="s">
        <v>7</v>
      </c>
      <c r="C7" t="s">
        <v>2</v>
      </c>
      <c r="D7" t="s">
        <v>3</v>
      </c>
      <c r="E7" s="4">
        <v>0</v>
      </c>
      <c r="F7">
        <v>446.99439530228273</v>
      </c>
      <c r="G7">
        <v>23.292599970242009</v>
      </c>
      <c r="H7">
        <v>23.281313607934859</v>
      </c>
      <c r="I7">
        <v>23.307613649405539</v>
      </c>
      <c r="J7">
        <v>23.297762787807731</v>
      </c>
      <c r="K7">
        <v>23.333878052420911</v>
      </c>
    </row>
    <row r="8" spans="1:11" x14ac:dyDescent="0.45">
      <c r="A8">
        <v>21</v>
      </c>
      <c r="B8" t="s">
        <v>8</v>
      </c>
      <c r="C8" t="s">
        <v>2</v>
      </c>
      <c r="D8" t="s">
        <v>3</v>
      </c>
      <c r="E8" s="4">
        <v>0</v>
      </c>
      <c r="F8">
        <v>446.936821811134</v>
      </c>
      <c r="G8">
        <v>23.43093890557066</v>
      </c>
      <c r="H8">
        <v>23.350445645162839</v>
      </c>
      <c r="I8">
        <v>23.329845097009091</v>
      </c>
      <c r="J8">
        <v>23.386912515386939</v>
      </c>
      <c r="K8">
        <v>23.401692059775819</v>
      </c>
    </row>
    <row r="9" spans="1:11" x14ac:dyDescent="0.45">
      <c r="A9">
        <v>21</v>
      </c>
      <c r="B9" t="s">
        <v>9</v>
      </c>
      <c r="C9" t="s">
        <v>2</v>
      </c>
      <c r="D9" t="s">
        <v>3</v>
      </c>
      <c r="E9" s="4">
        <v>0</v>
      </c>
      <c r="F9">
        <v>461.63451211298809</v>
      </c>
      <c r="G9">
        <v>24.408297313610088</v>
      </c>
      <c r="H9">
        <v>24.37513168943115</v>
      </c>
      <c r="I9">
        <v>24.366454156208778</v>
      </c>
      <c r="J9">
        <v>24.429375798115512</v>
      </c>
      <c r="K9">
        <v>24.464753385959192</v>
      </c>
    </row>
    <row r="10" spans="1:11" x14ac:dyDescent="0.45">
      <c r="A10">
        <v>21</v>
      </c>
      <c r="B10" t="s">
        <v>10</v>
      </c>
      <c r="C10" t="s">
        <v>2</v>
      </c>
      <c r="D10" t="s">
        <v>3</v>
      </c>
      <c r="E10" s="4">
        <v>0</v>
      </c>
      <c r="F10">
        <v>458.87277377219868</v>
      </c>
      <c r="G10">
        <v>24.48011242402718</v>
      </c>
      <c r="H10">
        <v>24.509824053198098</v>
      </c>
      <c r="I10">
        <v>24.474142657732589</v>
      </c>
      <c r="J10">
        <v>24.498422010568898</v>
      </c>
      <c r="K10">
        <v>24.51220761560835</v>
      </c>
    </row>
    <row r="11" spans="1:11" x14ac:dyDescent="0.45">
      <c r="A11">
        <v>21</v>
      </c>
      <c r="B11" t="s">
        <v>11</v>
      </c>
      <c r="C11" t="s">
        <v>2</v>
      </c>
      <c r="D11" t="s">
        <v>3</v>
      </c>
      <c r="E11" s="4">
        <v>0</v>
      </c>
      <c r="F11">
        <v>460.31568864337169</v>
      </c>
      <c r="G11">
        <v>24.573741189856079</v>
      </c>
      <c r="H11">
        <v>24.5470249733422</v>
      </c>
      <c r="I11">
        <v>24.48150311284699</v>
      </c>
      <c r="J11">
        <v>24.479976733680811</v>
      </c>
      <c r="K11">
        <v>24.560424385359511</v>
      </c>
    </row>
    <row r="12" spans="1:11" x14ac:dyDescent="0.45">
      <c r="A12">
        <v>21</v>
      </c>
      <c r="B12" t="s">
        <v>12</v>
      </c>
      <c r="C12" t="s">
        <v>2</v>
      </c>
      <c r="D12" t="s">
        <v>3</v>
      </c>
      <c r="E12" s="4">
        <v>0</v>
      </c>
      <c r="F12">
        <v>470.0420831166208</v>
      </c>
      <c r="G12">
        <v>24.727590260608121</v>
      </c>
      <c r="H12">
        <v>24.618354733427989</v>
      </c>
      <c r="I12">
        <v>24.417646508803589</v>
      </c>
      <c r="J12">
        <v>24.347704058652749</v>
      </c>
      <c r="K12">
        <v>24.42144146342762</v>
      </c>
    </row>
    <row r="13" spans="1:11" x14ac:dyDescent="0.45">
      <c r="A13">
        <v>21</v>
      </c>
      <c r="B13" t="s">
        <v>13</v>
      </c>
      <c r="C13" t="s">
        <v>2</v>
      </c>
      <c r="D13" t="s">
        <v>3</v>
      </c>
      <c r="E13" s="4">
        <v>0</v>
      </c>
      <c r="F13">
        <v>462.80480082794088</v>
      </c>
      <c r="G13">
        <v>24.482829911308361</v>
      </c>
      <c r="H13">
        <v>24.469914718391369</v>
      </c>
      <c r="I13">
        <v>24.448048699414361</v>
      </c>
      <c r="J13">
        <v>24.513793968176468</v>
      </c>
      <c r="K13">
        <v>24.505366238020361</v>
      </c>
    </row>
    <row r="14" spans="1:11" x14ac:dyDescent="0.45">
      <c r="A14">
        <v>21</v>
      </c>
      <c r="B14" t="s">
        <v>14</v>
      </c>
      <c r="C14" t="s">
        <v>2</v>
      </c>
      <c r="D14" t="s">
        <v>3</v>
      </c>
      <c r="E14" s="4">
        <v>0</v>
      </c>
      <c r="F14">
        <v>437.55214491584343</v>
      </c>
      <c r="G14">
        <v>23.684699005167928</v>
      </c>
      <c r="H14">
        <v>23.606065207440409</v>
      </c>
      <c r="I14">
        <v>23.26961166192778</v>
      </c>
      <c r="J14">
        <v>23.29055000981316</v>
      </c>
      <c r="K14">
        <v>23.34147017858923</v>
      </c>
    </row>
    <row r="15" spans="1:11" x14ac:dyDescent="0.45">
      <c r="A15">
        <v>21</v>
      </c>
      <c r="B15" t="s">
        <v>15</v>
      </c>
      <c r="C15" t="s">
        <v>2</v>
      </c>
      <c r="D15" t="s">
        <v>3</v>
      </c>
      <c r="E15" s="4">
        <v>0</v>
      </c>
      <c r="F15">
        <v>438.44687230298302</v>
      </c>
      <c r="G15">
        <v>23.65274336561561</v>
      </c>
      <c r="H15">
        <v>23.33692746083252</v>
      </c>
      <c r="I15">
        <v>23.189708348829299</v>
      </c>
      <c r="J15">
        <v>23.2239716051612</v>
      </c>
      <c r="K15">
        <v>23.26154542057775</v>
      </c>
    </row>
    <row r="16" spans="1:11" x14ac:dyDescent="0.45">
      <c r="A16">
        <v>21</v>
      </c>
      <c r="B16" t="s">
        <v>16</v>
      </c>
      <c r="C16" t="s">
        <v>2</v>
      </c>
      <c r="D16" t="s">
        <v>3</v>
      </c>
      <c r="E16" s="4">
        <v>0</v>
      </c>
      <c r="F16">
        <v>432.74973117555493</v>
      </c>
      <c r="G16">
        <v>23.638201479194681</v>
      </c>
      <c r="H16">
        <v>23.649023593030869</v>
      </c>
      <c r="I16">
        <v>23.29598605101928</v>
      </c>
      <c r="J16">
        <v>23.30771229453385</v>
      </c>
      <c r="K16">
        <v>23.27690991703421</v>
      </c>
    </row>
    <row r="17" spans="1:11" x14ac:dyDescent="0.45">
      <c r="A17">
        <v>21</v>
      </c>
      <c r="B17" t="s">
        <v>17</v>
      </c>
      <c r="C17" t="s">
        <v>2</v>
      </c>
      <c r="D17" t="s">
        <v>3</v>
      </c>
      <c r="E17" s="4">
        <v>0</v>
      </c>
      <c r="F17">
        <v>456.46590138417668</v>
      </c>
      <c r="G17">
        <v>24.48873636419885</v>
      </c>
      <c r="H17">
        <v>24.367754551069812</v>
      </c>
      <c r="I17">
        <v>24.372019356302921</v>
      </c>
      <c r="J17">
        <v>24.39604210001416</v>
      </c>
      <c r="K17">
        <v>24.416344241192569</v>
      </c>
    </row>
    <row r="18" spans="1:11" x14ac:dyDescent="0.45">
      <c r="A18">
        <v>21</v>
      </c>
      <c r="B18" t="s">
        <v>18</v>
      </c>
      <c r="C18" t="s">
        <v>2</v>
      </c>
      <c r="D18" t="s">
        <v>3</v>
      </c>
      <c r="E18" s="4">
        <v>1</v>
      </c>
      <c r="F18">
        <v>445.61943781399168</v>
      </c>
      <c r="G18">
        <v>23.482095348183069</v>
      </c>
      <c r="H18">
        <v>23.22569949980825</v>
      </c>
      <c r="I18">
        <v>23.2260351402685</v>
      </c>
      <c r="J18">
        <v>23.267489771265542</v>
      </c>
      <c r="K18">
        <v>23.37746360120364</v>
      </c>
    </row>
    <row r="19" spans="1:11" x14ac:dyDescent="0.45">
      <c r="A19">
        <v>22</v>
      </c>
      <c r="B19" t="s">
        <v>19</v>
      </c>
      <c r="C19" t="s">
        <v>2</v>
      </c>
      <c r="D19" t="s">
        <v>3</v>
      </c>
      <c r="E19" s="4">
        <v>0</v>
      </c>
      <c r="F19">
        <v>255.79217704399491</v>
      </c>
      <c r="G19">
        <v>1.456377241853624</v>
      </c>
      <c r="H19">
        <v>1.4670241145882761</v>
      </c>
      <c r="I19">
        <v>1.459204139001667</v>
      </c>
      <c r="J19">
        <v>1.4623890266288071</v>
      </c>
      <c r="K19">
        <v>1.458216420700774</v>
      </c>
    </row>
    <row r="20" spans="1:11" x14ac:dyDescent="0.45">
      <c r="A20">
        <v>22</v>
      </c>
      <c r="B20" t="s">
        <v>20</v>
      </c>
      <c r="C20" t="s">
        <v>2</v>
      </c>
      <c r="D20" t="s">
        <v>3</v>
      </c>
      <c r="E20" s="4">
        <v>1</v>
      </c>
      <c r="F20">
        <v>260.06709344922558</v>
      </c>
      <c r="G20">
        <v>1.4693629345856609</v>
      </c>
      <c r="H20">
        <v>1.4816673472058031</v>
      </c>
      <c r="I20">
        <v>1.4684964380692691</v>
      </c>
      <c r="J20">
        <v>1.477904376015067</v>
      </c>
      <c r="K20">
        <v>1.474472042359412</v>
      </c>
    </row>
    <row r="21" spans="1:11" x14ac:dyDescent="0.45">
      <c r="A21">
        <v>22</v>
      </c>
      <c r="B21" t="s">
        <v>21</v>
      </c>
      <c r="C21" t="s">
        <v>2</v>
      </c>
      <c r="D21" t="s">
        <v>3</v>
      </c>
      <c r="E21" s="4">
        <v>0</v>
      </c>
      <c r="F21">
        <v>250.4164867717773</v>
      </c>
      <c r="G21">
        <v>1.4401943262666459</v>
      </c>
      <c r="H21">
        <v>1.4431885648518801</v>
      </c>
      <c r="I21">
        <v>1.4369576745666559</v>
      </c>
      <c r="J21">
        <v>1.44149588518776</v>
      </c>
      <c r="K21">
        <v>1.4385841960553081</v>
      </c>
    </row>
    <row r="22" spans="1:11" x14ac:dyDescent="0.45">
      <c r="A22">
        <v>22</v>
      </c>
      <c r="B22" t="s">
        <v>22</v>
      </c>
      <c r="C22" t="s">
        <v>2</v>
      </c>
      <c r="D22" t="s">
        <v>3</v>
      </c>
      <c r="E22" s="4">
        <v>0</v>
      </c>
      <c r="F22">
        <v>256.66855922928079</v>
      </c>
      <c r="G22">
        <v>1.4571487560402601</v>
      </c>
      <c r="H22">
        <v>1.463818561751395</v>
      </c>
      <c r="I22">
        <v>1.455528287403286</v>
      </c>
      <c r="J22">
        <v>1.460332008218393</v>
      </c>
      <c r="K22">
        <v>1.4500491374637929</v>
      </c>
    </row>
    <row r="23" spans="1:11" x14ac:dyDescent="0.45">
      <c r="A23">
        <v>22</v>
      </c>
      <c r="B23" t="s">
        <v>23</v>
      </c>
      <c r="C23" t="s">
        <v>2</v>
      </c>
      <c r="D23" t="s">
        <v>3</v>
      </c>
      <c r="E23" s="4">
        <v>0</v>
      </c>
      <c r="F23">
        <v>263.18250307603739</v>
      </c>
      <c r="G23">
        <v>1.4328100610058749</v>
      </c>
      <c r="H23">
        <v>1.4480063191149379</v>
      </c>
      <c r="I23">
        <v>1.441022259602323</v>
      </c>
      <c r="J23">
        <v>1.446687697153539</v>
      </c>
      <c r="K23">
        <v>1.447367609012872</v>
      </c>
    </row>
    <row r="24" spans="1:11" x14ac:dyDescent="0.45">
      <c r="A24">
        <v>22</v>
      </c>
      <c r="B24" t="s">
        <v>24</v>
      </c>
      <c r="C24" t="s">
        <v>2</v>
      </c>
      <c r="D24" t="s">
        <v>3</v>
      </c>
      <c r="E24" s="4">
        <v>0</v>
      </c>
      <c r="F24">
        <v>263.26853625820951</v>
      </c>
      <c r="G24">
        <v>1.44179837978445</v>
      </c>
      <c r="H24">
        <v>1.456145235244185</v>
      </c>
      <c r="I24">
        <v>1.4461900571361179</v>
      </c>
      <c r="J24">
        <v>1.4454620636068281</v>
      </c>
      <c r="K24">
        <v>1.4383837636094541</v>
      </c>
    </row>
    <row r="25" spans="1:11" x14ac:dyDescent="0.45">
      <c r="A25">
        <v>22</v>
      </c>
      <c r="B25" t="s">
        <v>25</v>
      </c>
      <c r="C25" t="s">
        <v>2</v>
      </c>
      <c r="D25" t="s">
        <v>3</v>
      </c>
      <c r="E25" s="4">
        <v>1</v>
      </c>
      <c r="F25">
        <v>261.41797416480262</v>
      </c>
      <c r="G25">
        <v>1.459823405370116</v>
      </c>
      <c r="H25">
        <v>1.470374552393332</v>
      </c>
      <c r="I25">
        <v>1.4626941623631859</v>
      </c>
      <c r="J25">
        <v>1.4687773703597491</v>
      </c>
      <c r="K25">
        <v>1.458843974163756</v>
      </c>
    </row>
    <row r="26" spans="1:11" x14ac:dyDescent="0.45">
      <c r="A26">
        <v>22</v>
      </c>
      <c r="B26" t="s">
        <v>26</v>
      </c>
      <c r="C26" t="s">
        <v>2</v>
      </c>
      <c r="D26" t="s">
        <v>3</v>
      </c>
      <c r="E26" s="4">
        <v>0</v>
      </c>
      <c r="F26">
        <v>247.46212297282179</v>
      </c>
      <c r="G26">
        <v>1.450183528242633</v>
      </c>
      <c r="H26">
        <v>1.4547832751646641</v>
      </c>
      <c r="I26">
        <v>1.449337367108092</v>
      </c>
      <c r="J26">
        <v>1.450851542782039</v>
      </c>
      <c r="K26">
        <v>1.450301648164168</v>
      </c>
    </row>
    <row r="27" spans="1:11" x14ac:dyDescent="0.45">
      <c r="A27">
        <v>23</v>
      </c>
      <c r="B27" t="s">
        <v>27</v>
      </c>
      <c r="C27" t="s">
        <v>2</v>
      </c>
      <c r="D27" t="s">
        <v>3</v>
      </c>
      <c r="E27" s="4">
        <v>0</v>
      </c>
      <c r="F27">
        <v>72.098070991598064</v>
      </c>
      <c r="G27">
        <v>0.19625133764930069</v>
      </c>
      <c r="H27">
        <v>0.19206415191292761</v>
      </c>
      <c r="I27">
        <v>0.19149550623260439</v>
      </c>
      <c r="J27">
        <v>0.19206751901656391</v>
      </c>
      <c r="K27">
        <v>0.1908992333803326</v>
      </c>
    </row>
    <row r="28" spans="1:11" x14ac:dyDescent="0.45">
      <c r="A28">
        <v>23</v>
      </c>
      <c r="B28" t="s">
        <v>28</v>
      </c>
      <c r="C28" t="s">
        <v>2</v>
      </c>
      <c r="D28" t="s">
        <v>3</v>
      </c>
      <c r="E28" s="4">
        <v>0</v>
      </c>
      <c r="F28">
        <v>67.350239380402485</v>
      </c>
      <c r="G28">
        <v>0.19698607302270829</v>
      </c>
      <c r="H28">
        <v>0.19355870238505299</v>
      </c>
      <c r="I28">
        <v>0.19397057057358319</v>
      </c>
      <c r="J28">
        <v>0.19436936802230781</v>
      </c>
      <c r="K28">
        <v>0.19473268971778451</v>
      </c>
    </row>
    <row r="29" spans="1:11" x14ac:dyDescent="0.45">
      <c r="A29">
        <v>23</v>
      </c>
      <c r="B29" t="s">
        <v>29</v>
      </c>
      <c r="C29" t="s">
        <v>2</v>
      </c>
      <c r="D29" t="s">
        <v>3</v>
      </c>
      <c r="E29" s="4">
        <v>0</v>
      </c>
      <c r="F29">
        <v>61.75110221025534</v>
      </c>
      <c r="G29">
        <v>0.19826427479274569</v>
      </c>
      <c r="H29">
        <v>0.19528014664538201</v>
      </c>
      <c r="I29">
        <v>0.1941046149935573</v>
      </c>
      <c r="J29">
        <v>0.19514209101907909</v>
      </c>
      <c r="K29">
        <v>0.1945206654723734</v>
      </c>
    </row>
    <row r="30" spans="1:11" x14ac:dyDescent="0.45">
      <c r="A30">
        <v>23</v>
      </c>
      <c r="B30" t="s">
        <v>30</v>
      </c>
      <c r="C30" t="s">
        <v>2</v>
      </c>
      <c r="D30" t="s">
        <v>3</v>
      </c>
      <c r="E30" s="4">
        <v>0</v>
      </c>
      <c r="F30">
        <v>83.523967818450188</v>
      </c>
      <c r="G30">
        <v>0.1947177151683718</v>
      </c>
      <c r="H30">
        <v>0.19062999342568221</v>
      </c>
      <c r="I30">
        <v>0.19020636272616681</v>
      </c>
      <c r="J30">
        <v>0.1903501275926828</v>
      </c>
      <c r="K30">
        <v>0.19097568956203759</v>
      </c>
    </row>
    <row r="31" spans="1:11" x14ac:dyDescent="0.45">
      <c r="A31">
        <v>23</v>
      </c>
      <c r="B31" t="s">
        <v>31</v>
      </c>
      <c r="C31" t="s">
        <v>2</v>
      </c>
      <c r="D31" t="s">
        <v>3</v>
      </c>
      <c r="E31" s="4">
        <v>1</v>
      </c>
      <c r="F31">
        <v>59.318625791929662</v>
      </c>
      <c r="G31">
        <v>0.1965862340293825</v>
      </c>
      <c r="H31">
        <v>0.1926319727674127</v>
      </c>
      <c r="I31">
        <v>0.19250243823044</v>
      </c>
      <c r="J31">
        <v>0.19282639482989911</v>
      </c>
      <c r="K31">
        <v>0.19240865795873099</v>
      </c>
    </row>
    <row r="32" spans="1:11" x14ac:dyDescent="0.45">
      <c r="A32">
        <v>23</v>
      </c>
      <c r="B32" t="s">
        <v>32</v>
      </c>
      <c r="C32" t="s">
        <v>2</v>
      </c>
      <c r="D32" t="s">
        <v>3</v>
      </c>
      <c r="E32" s="4">
        <v>0</v>
      </c>
      <c r="F32">
        <v>70.347050040215251</v>
      </c>
      <c r="G32">
        <v>0.1963900719769299</v>
      </c>
      <c r="H32">
        <v>0.1916072456166148</v>
      </c>
      <c r="I32">
        <v>0.19102766723372039</v>
      </c>
      <c r="J32">
        <v>0.19166604336351159</v>
      </c>
      <c r="K32">
        <v>0.19141147723421451</v>
      </c>
    </row>
    <row r="33" spans="1:11" x14ac:dyDescent="0.45">
      <c r="A33">
        <v>23</v>
      </c>
      <c r="B33" t="s">
        <v>33</v>
      </c>
      <c r="C33" t="s">
        <v>2</v>
      </c>
      <c r="D33" t="s">
        <v>3</v>
      </c>
      <c r="E33" s="4">
        <v>0</v>
      </c>
      <c r="F33">
        <v>80.702068972215059</v>
      </c>
      <c r="G33">
        <v>0.1970555953681469</v>
      </c>
      <c r="H33">
        <v>0.1918651168234646</v>
      </c>
      <c r="I33">
        <v>0.192256283480674</v>
      </c>
      <c r="J33">
        <v>0.1919681170023978</v>
      </c>
      <c r="K33">
        <v>0.191566958418116</v>
      </c>
    </row>
    <row r="34" spans="1:11" x14ac:dyDescent="0.45">
      <c r="A34">
        <v>23</v>
      </c>
      <c r="B34" t="s">
        <v>34</v>
      </c>
      <c r="C34" t="s">
        <v>2</v>
      </c>
      <c r="D34" t="s">
        <v>3</v>
      </c>
      <c r="E34" s="4">
        <v>0</v>
      </c>
      <c r="F34">
        <v>76.12417792915366</v>
      </c>
      <c r="G34">
        <v>0.19824911239556969</v>
      </c>
      <c r="H34">
        <v>0.19494141368195411</v>
      </c>
      <c r="I34">
        <v>0.1948779643513262</v>
      </c>
      <c r="J34">
        <v>0.19489305741153659</v>
      </c>
      <c r="K34">
        <v>0.19502577683888381</v>
      </c>
    </row>
    <row r="35" spans="1:11" x14ac:dyDescent="0.45">
      <c r="A35">
        <v>23</v>
      </c>
      <c r="B35" t="s">
        <v>35</v>
      </c>
      <c r="C35" t="s">
        <v>2</v>
      </c>
      <c r="D35" t="s">
        <v>3</v>
      </c>
      <c r="E35" s="4">
        <v>0</v>
      </c>
      <c r="F35">
        <v>67.052164734806865</v>
      </c>
      <c r="G35">
        <v>0.19931989791803059</v>
      </c>
      <c r="H35">
        <v>0.19391720280982561</v>
      </c>
      <c r="I35">
        <v>0.1938714069314301</v>
      </c>
      <c r="J35">
        <v>0.19418112854473291</v>
      </c>
      <c r="K35">
        <v>0.19366440940648319</v>
      </c>
    </row>
    <row r="36" spans="1:11" x14ac:dyDescent="0.45">
      <c r="A36">
        <v>23</v>
      </c>
      <c r="B36" t="s">
        <v>36</v>
      </c>
      <c r="C36" t="s">
        <v>2</v>
      </c>
      <c r="D36" t="s">
        <v>3</v>
      </c>
      <c r="E36" s="4">
        <v>0</v>
      </c>
      <c r="F36">
        <v>62.30111914840527</v>
      </c>
      <c r="G36">
        <v>0.196562398923561</v>
      </c>
      <c r="H36">
        <v>0.193598439078778</v>
      </c>
      <c r="I36">
        <v>0.1927149177994579</v>
      </c>
      <c r="J36">
        <v>0.1933298638090491</v>
      </c>
      <c r="K36">
        <v>0.19318844983354211</v>
      </c>
    </row>
    <row r="37" spans="1:11" x14ac:dyDescent="0.45">
      <c r="A37">
        <v>23</v>
      </c>
      <c r="B37" t="s">
        <v>37</v>
      </c>
      <c r="C37" t="s">
        <v>2</v>
      </c>
      <c r="D37" t="s">
        <v>3</v>
      </c>
      <c r="E37" s="4">
        <v>0</v>
      </c>
      <c r="F37">
        <v>83.546938935387885</v>
      </c>
      <c r="G37">
        <v>0.1962959275580943</v>
      </c>
      <c r="H37">
        <v>0.19274088917300111</v>
      </c>
      <c r="I37">
        <v>0.1916439992375672</v>
      </c>
      <c r="J37">
        <v>0.1919028999749571</v>
      </c>
      <c r="K37">
        <v>0.19172542416490609</v>
      </c>
    </row>
    <row r="38" spans="1:11" x14ac:dyDescent="0.45">
      <c r="A38">
        <v>23</v>
      </c>
      <c r="B38" t="s">
        <v>38</v>
      </c>
      <c r="C38" t="s">
        <v>2</v>
      </c>
      <c r="D38" t="s">
        <v>3</v>
      </c>
      <c r="E38" s="4">
        <v>1</v>
      </c>
      <c r="F38">
        <v>62.693680425453927</v>
      </c>
      <c r="G38">
        <v>0.19533785302191969</v>
      </c>
      <c r="H38">
        <v>0.19099104525521399</v>
      </c>
      <c r="I38">
        <v>0.1903289725538343</v>
      </c>
      <c r="J38">
        <v>0.19074329365976159</v>
      </c>
      <c r="K38">
        <v>0.19097886034287509</v>
      </c>
    </row>
    <row r="39" spans="1:11" x14ac:dyDescent="0.45">
      <c r="A39">
        <v>23</v>
      </c>
      <c r="B39" t="s">
        <v>39</v>
      </c>
      <c r="C39" t="s">
        <v>2</v>
      </c>
      <c r="D39" t="s">
        <v>3</v>
      </c>
      <c r="E39" s="4">
        <v>0</v>
      </c>
      <c r="F39">
        <v>74.408146975003177</v>
      </c>
      <c r="G39">
        <v>0.19767056675627831</v>
      </c>
      <c r="H39">
        <v>0.19435907201841471</v>
      </c>
      <c r="I39">
        <v>0.19341440256685019</v>
      </c>
      <c r="J39">
        <v>0.19454315630719071</v>
      </c>
      <c r="K39">
        <v>0.1933852895628661</v>
      </c>
    </row>
    <row r="40" spans="1:11" x14ac:dyDescent="0.45">
      <c r="A40">
        <v>23</v>
      </c>
      <c r="B40" t="s">
        <v>40</v>
      </c>
      <c r="C40" t="s">
        <v>2</v>
      </c>
      <c r="D40" t="s">
        <v>3</v>
      </c>
      <c r="E40" s="4">
        <v>0</v>
      </c>
      <c r="F40">
        <v>67.966054376633835</v>
      </c>
      <c r="G40">
        <v>0.19608208499848839</v>
      </c>
      <c r="H40">
        <v>0.1919138337485492</v>
      </c>
      <c r="I40">
        <v>0.19214792978018519</v>
      </c>
      <c r="J40">
        <v>0.19254065169952811</v>
      </c>
      <c r="K40">
        <v>0.19258559234440331</v>
      </c>
    </row>
    <row r="41" spans="1:11" x14ac:dyDescent="0.45">
      <c r="A41">
        <v>23</v>
      </c>
      <c r="B41" t="s">
        <v>41</v>
      </c>
      <c r="C41" t="s">
        <v>2</v>
      </c>
      <c r="D41" t="s">
        <v>3</v>
      </c>
      <c r="E41" s="4">
        <v>0</v>
      </c>
      <c r="F41">
        <v>64.980212792009112</v>
      </c>
      <c r="G41">
        <v>0.20202943286858499</v>
      </c>
      <c r="H41">
        <v>0.19863465325906871</v>
      </c>
      <c r="I41">
        <v>0.19940696116536849</v>
      </c>
      <c r="J41">
        <v>0.20000906134955579</v>
      </c>
      <c r="K41">
        <v>0.19832254298962651</v>
      </c>
    </row>
    <row r="42" spans="1:11" x14ac:dyDescent="0.45">
      <c r="A42">
        <v>23</v>
      </c>
      <c r="B42" t="s">
        <v>42</v>
      </c>
      <c r="C42" t="s">
        <v>2</v>
      </c>
      <c r="D42" t="s">
        <v>3</v>
      </c>
      <c r="E42" s="4">
        <v>0</v>
      </c>
      <c r="F42">
        <v>67.458715600799763</v>
      </c>
      <c r="G42">
        <v>0.19471558700315661</v>
      </c>
      <c r="H42">
        <v>0.19141803700476881</v>
      </c>
      <c r="I42">
        <v>0.19133709301240739</v>
      </c>
      <c r="J42">
        <v>0.19143902873620389</v>
      </c>
      <c r="K42">
        <v>0.19105716738849879</v>
      </c>
    </row>
    <row r="43" spans="1:11" x14ac:dyDescent="0.45">
      <c r="A43">
        <v>24</v>
      </c>
      <c r="B43" t="s">
        <v>43</v>
      </c>
      <c r="C43" t="s">
        <v>2</v>
      </c>
      <c r="D43" t="s">
        <v>3</v>
      </c>
      <c r="E43" s="4">
        <v>1</v>
      </c>
      <c r="F43">
        <v>37.113002272369343</v>
      </c>
      <c r="G43">
        <v>6.4883309742435807E-2</v>
      </c>
      <c r="H43">
        <v>6.2375196395441888E-2</v>
      </c>
      <c r="I43">
        <v>6.2714856211096043E-2</v>
      </c>
      <c r="J43">
        <v>6.2114949664101013E-2</v>
      </c>
      <c r="K43">
        <v>6.2385046621784568E-2</v>
      </c>
    </row>
    <row r="44" spans="1:11" x14ac:dyDescent="0.45">
      <c r="A44">
        <v>24</v>
      </c>
      <c r="B44" t="s">
        <v>44</v>
      </c>
      <c r="C44" t="s">
        <v>2</v>
      </c>
      <c r="D44" t="s">
        <v>3</v>
      </c>
      <c r="E44" s="4">
        <v>0</v>
      </c>
      <c r="F44">
        <v>24.331315577775239</v>
      </c>
      <c r="G44">
        <v>6.4824639400467274E-2</v>
      </c>
      <c r="H44">
        <v>6.1881495034322137E-2</v>
      </c>
      <c r="I44">
        <v>6.2105902982875702E-2</v>
      </c>
      <c r="J44">
        <v>6.1861820286139853E-2</v>
      </c>
      <c r="K44">
        <v>6.2136991182342172E-2</v>
      </c>
    </row>
    <row r="45" spans="1:11" x14ac:dyDescent="0.45">
      <c r="A45">
        <v>24</v>
      </c>
      <c r="B45" t="s">
        <v>45</v>
      </c>
      <c r="C45" t="s">
        <v>2</v>
      </c>
      <c r="D45" t="s">
        <v>3</v>
      </c>
      <c r="E45" s="4">
        <v>0</v>
      </c>
      <c r="F45">
        <v>38.054737550392737</v>
      </c>
      <c r="G45">
        <v>6.5280068572610622E-2</v>
      </c>
      <c r="H45">
        <v>6.3538145553320644E-2</v>
      </c>
      <c r="I45">
        <v>6.3148659653961658E-2</v>
      </c>
      <c r="J45">
        <v>6.3175441557541484E-2</v>
      </c>
      <c r="K45">
        <v>6.3067925628274679E-2</v>
      </c>
    </row>
    <row r="46" spans="1:11" x14ac:dyDescent="0.45">
      <c r="A46">
        <v>24</v>
      </c>
      <c r="B46" t="s">
        <v>46</v>
      </c>
      <c r="C46" t="s">
        <v>2</v>
      </c>
      <c r="D46" t="s">
        <v>3</v>
      </c>
      <c r="E46" s="4">
        <v>0</v>
      </c>
      <c r="F46">
        <v>41.064020576188341</v>
      </c>
      <c r="G46">
        <v>6.5923623600974673E-2</v>
      </c>
      <c r="H46">
        <v>6.3540513440966603E-2</v>
      </c>
      <c r="I46">
        <v>6.2910417653620238E-2</v>
      </c>
      <c r="J46">
        <v>6.3428515242412692E-2</v>
      </c>
      <c r="K46">
        <v>6.3343228679150348E-2</v>
      </c>
    </row>
    <row r="47" spans="1:11" x14ac:dyDescent="0.45">
      <c r="A47">
        <v>24</v>
      </c>
      <c r="B47" t="s">
        <v>47</v>
      </c>
      <c r="C47" t="s">
        <v>2</v>
      </c>
      <c r="D47" t="s">
        <v>3</v>
      </c>
      <c r="E47" s="4">
        <v>0</v>
      </c>
      <c r="F47">
        <v>38.416279318602747</v>
      </c>
      <c r="G47">
        <v>6.4267091406509283E-2</v>
      </c>
      <c r="H47">
        <v>6.3042383734136814E-2</v>
      </c>
      <c r="I47">
        <v>6.3098602974787352E-2</v>
      </c>
      <c r="J47">
        <v>6.2342246202751993E-2</v>
      </c>
      <c r="K47">
        <v>6.3011122960597271E-2</v>
      </c>
    </row>
    <row r="48" spans="1:11" x14ac:dyDescent="0.45">
      <c r="A48">
        <v>24</v>
      </c>
      <c r="B48" t="s">
        <v>48</v>
      </c>
      <c r="C48" t="s">
        <v>2</v>
      </c>
      <c r="D48" t="s">
        <v>3</v>
      </c>
      <c r="E48" s="4">
        <v>0</v>
      </c>
      <c r="F48">
        <v>38.529980524349959</v>
      </c>
      <c r="G48">
        <v>6.6402555676177144E-2</v>
      </c>
      <c r="H48">
        <v>6.3956495793536308E-2</v>
      </c>
      <c r="I48">
        <v>6.3734340248629451E-2</v>
      </c>
      <c r="J48">
        <v>6.3664515223354104E-2</v>
      </c>
      <c r="K48">
        <v>6.3678649161010986E-2</v>
      </c>
    </row>
    <row r="49" spans="1:11" x14ac:dyDescent="0.45">
      <c r="A49">
        <v>24</v>
      </c>
      <c r="B49" t="s">
        <v>49</v>
      </c>
      <c r="C49" t="s">
        <v>2</v>
      </c>
      <c r="D49" t="s">
        <v>3</v>
      </c>
      <c r="E49" s="4">
        <v>0</v>
      </c>
      <c r="F49">
        <v>37.45521699003875</v>
      </c>
      <c r="G49">
        <v>6.5528503432869908E-2</v>
      </c>
      <c r="H49">
        <v>6.3549332180991763E-2</v>
      </c>
      <c r="I49">
        <v>6.3714590063318616E-2</v>
      </c>
      <c r="J49">
        <v>6.3291609846055502E-2</v>
      </c>
      <c r="K49">
        <v>6.3199707353487608E-2</v>
      </c>
    </row>
    <row r="50" spans="1:11" x14ac:dyDescent="0.45">
      <c r="A50">
        <v>24</v>
      </c>
      <c r="B50" t="s">
        <v>50</v>
      </c>
      <c r="C50" t="s">
        <v>2</v>
      </c>
      <c r="D50" t="s">
        <v>3</v>
      </c>
      <c r="E50" s="4">
        <v>1</v>
      </c>
      <c r="F50">
        <v>34.784297955548389</v>
      </c>
      <c r="G50">
        <v>6.5136352228000766E-2</v>
      </c>
      <c r="H50">
        <v>6.3358145253732803E-2</v>
      </c>
      <c r="I50">
        <v>6.3200853671878582E-2</v>
      </c>
      <c r="J50">
        <v>6.3072428572922945E-2</v>
      </c>
      <c r="K50">
        <v>6.3047227403149012E-2</v>
      </c>
    </row>
    <row r="51" spans="1:11" x14ac:dyDescent="0.45">
      <c r="A51">
        <v>24</v>
      </c>
      <c r="B51" t="s">
        <v>51</v>
      </c>
      <c r="C51" t="s">
        <v>2</v>
      </c>
      <c r="D51" t="s">
        <v>3</v>
      </c>
      <c r="E51" s="4">
        <v>0</v>
      </c>
      <c r="F51">
        <v>37.566502797044812</v>
      </c>
      <c r="G51">
        <v>6.5552735188975933E-2</v>
      </c>
      <c r="H51">
        <v>6.3040738459676504E-2</v>
      </c>
      <c r="I51">
        <v>6.3241787813603872E-2</v>
      </c>
      <c r="J51">
        <v>6.3251886982470751E-2</v>
      </c>
      <c r="K51">
        <v>6.3320311438292268E-2</v>
      </c>
    </row>
    <row r="52" spans="1:11" x14ac:dyDescent="0.45">
      <c r="A52">
        <v>24</v>
      </c>
      <c r="B52" t="s">
        <v>52</v>
      </c>
      <c r="C52" t="s">
        <v>2</v>
      </c>
      <c r="D52" t="s">
        <v>3</v>
      </c>
      <c r="E52" s="4">
        <v>0</v>
      </c>
      <c r="F52">
        <v>35.27038348540664</v>
      </c>
      <c r="G52">
        <v>6.5534706972539422E-2</v>
      </c>
      <c r="H52">
        <v>6.3698294153437016E-2</v>
      </c>
      <c r="I52">
        <v>6.3541551912203426E-2</v>
      </c>
      <c r="J52">
        <v>6.3275359384715554E-2</v>
      </c>
      <c r="K52">
        <v>6.3518787128850812E-2</v>
      </c>
    </row>
    <row r="53" spans="1:11" x14ac:dyDescent="0.45">
      <c r="A53">
        <v>24</v>
      </c>
      <c r="B53" t="s">
        <v>53</v>
      </c>
      <c r="C53" t="s">
        <v>2</v>
      </c>
      <c r="D53" t="s">
        <v>3</v>
      </c>
      <c r="E53" s="4">
        <v>1</v>
      </c>
      <c r="F53">
        <v>25.58621254395694</v>
      </c>
      <c r="G53">
        <v>6.4579365449026233E-2</v>
      </c>
      <c r="H53">
        <v>6.2703948467969894E-2</v>
      </c>
      <c r="I53">
        <v>6.2573727779090399E-2</v>
      </c>
      <c r="J53">
        <v>6.2751325033605101E-2</v>
      </c>
      <c r="K53">
        <v>6.2687130598351362E-2</v>
      </c>
    </row>
    <row r="54" spans="1:11" x14ac:dyDescent="0.45">
      <c r="A54">
        <v>24</v>
      </c>
      <c r="B54" t="s">
        <v>54</v>
      </c>
      <c r="C54" t="s">
        <v>2</v>
      </c>
      <c r="D54" t="s">
        <v>3</v>
      </c>
      <c r="E54" s="4">
        <v>0</v>
      </c>
      <c r="F54">
        <v>34.999358274228868</v>
      </c>
      <c r="G54">
        <v>6.6744113201275462E-2</v>
      </c>
      <c r="H54">
        <v>6.3423023885115976E-2</v>
      </c>
      <c r="I54">
        <v>6.335118506103754E-2</v>
      </c>
      <c r="J54">
        <v>6.3330274028703573E-2</v>
      </c>
      <c r="K54">
        <v>6.3301519816741342E-2</v>
      </c>
    </row>
    <row r="55" spans="1:11" x14ac:dyDescent="0.45">
      <c r="A55">
        <v>24</v>
      </c>
      <c r="B55" t="s">
        <v>55</v>
      </c>
      <c r="C55" t="s">
        <v>2</v>
      </c>
      <c r="D55" t="s">
        <v>3</v>
      </c>
      <c r="E55" s="4">
        <v>0</v>
      </c>
      <c r="F55">
        <v>35.347197737451637</v>
      </c>
      <c r="G55">
        <v>6.7237215582281351E-2</v>
      </c>
      <c r="H55">
        <v>6.4144461834803226E-2</v>
      </c>
      <c r="I55">
        <v>6.4082322968170041E-2</v>
      </c>
      <c r="J55">
        <v>6.3710293825715775E-2</v>
      </c>
      <c r="K55">
        <v>6.3998343003913757E-2</v>
      </c>
    </row>
    <row r="56" spans="1:11" x14ac:dyDescent="0.45">
      <c r="A56">
        <v>24</v>
      </c>
      <c r="B56" t="s">
        <v>56</v>
      </c>
      <c r="C56" t="s">
        <v>2</v>
      </c>
      <c r="D56" t="s">
        <v>3</v>
      </c>
      <c r="E56" s="4">
        <v>1</v>
      </c>
      <c r="F56">
        <v>33.771360268350691</v>
      </c>
      <c r="G56">
        <v>6.6048262035474176E-2</v>
      </c>
      <c r="H56">
        <v>6.2651072768494492E-2</v>
      </c>
      <c r="I56">
        <v>6.2656535441055899E-2</v>
      </c>
      <c r="J56">
        <v>6.2661314569413665E-2</v>
      </c>
      <c r="K56">
        <v>6.2632403802126646E-2</v>
      </c>
    </row>
    <row r="57" spans="1:11" x14ac:dyDescent="0.45">
      <c r="A57">
        <v>24</v>
      </c>
      <c r="B57" t="s">
        <v>57</v>
      </c>
      <c r="C57" t="s">
        <v>2</v>
      </c>
      <c r="D57" t="s">
        <v>3</v>
      </c>
      <c r="E57" s="4">
        <v>0</v>
      </c>
      <c r="F57">
        <v>35.418685611663378</v>
      </c>
      <c r="G57">
        <v>6.584915379062295E-2</v>
      </c>
      <c r="H57">
        <v>6.4307544054463511E-2</v>
      </c>
      <c r="I57">
        <v>6.4301668852567676E-2</v>
      </c>
      <c r="J57">
        <v>6.4029848622158173E-2</v>
      </c>
      <c r="K57">
        <v>6.3882928341627121E-2</v>
      </c>
    </row>
    <row r="58" spans="1:11" x14ac:dyDescent="0.45">
      <c r="A58">
        <v>24</v>
      </c>
      <c r="B58" t="s">
        <v>58</v>
      </c>
      <c r="C58" t="s">
        <v>2</v>
      </c>
      <c r="D58" t="s">
        <v>3</v>
      </c>
      <c r="E58" s="4">
        <v>0</v>
      </c>
      <c r="F58">
        <v>29.80865422477946</v>
      </c>
      <c r="G58">
        <v>6.6070435801520944E-2</v>
      </c>
      <c r="H58">
        <v>6.3081362796947357E-2</v>
      </c>
      <c r="I58">
        <v>6.2799982260912657E-2</v>
      </c>
      <c r="J58">
        <v>6.2713910080492499E-2</v>
      </c>
      <c r="K58">
        <v>6.2991091003641489E-2</v>
      </c>
    </row>
    <row r="59" spans="1:11" x14ac:dyDescent="0.45">
      <c r="A59">
        <v>4</v>
      </c>
      <c r="B59" t="s">
        <v>59</v>
      </c>
      <c r="C59" t="s">
        <v>60</v>
      </c>
      <c r="D59" t="s">
        <v>61</v>
      </c>
      <c r="E59" s="4">
        <v>0</v>
      </c>
      <c r="F59">
        <v>60.626276770047838</v>
      </c>
      <c r="G59">
        <v>5.266880299896002E-2</v>
      </c>
      <c r="H59">
        <v>5.008143484592438E-2</v>
      </c>
      <c r="I59">
        <v>4.9826222052797672E-2</v>
      </c>
      <c r="J59">
        <v>4.9847069336101411E-2</v>
      </c>
      <c r="K59">
        <v>4.9735700245946653E-2</v>
      </c>
    </row>
    <row r="60" spans="1:11" x14ac:dyDescent="0.45">
      <c r="A60">
        <v>4</v>
      </c>
      <c r="B60" t="s">
        <v>62</v>
      </c>
      <c r="C60" t="s">
        <v>60</v>
      </c>
      <c r="D60" t="s">
        <v>61</v>
      </c>
      <c r="E60" s="4">
        <v>1</v>
      </c>
      <c r="F60">
        <v>67.400212981784719</v>
      </c>
      <c r="G60">
        <v>5.4105555824935439E-2</v>
      </c>
      <c r="H60">
        <v>5.0923525728285311E-2</v>
      </c>
      <c r="I60">
        <v>5.09086434263736E-2</v>
      </c>
      <c r="J60">
        <v>5.0949303992092611E-2</v>
      </c>
      <c r="K60">
        <v>5.0725550809875133E-2</v>
      </c>
    </row>
    <row r="61" spans="1:11" x14ac:dyDescent="0.45">
      <c r="A61">
        <v>4</v>
      </c>
      <c r="B61" t="s">
        <v>63</v>
      </c>
      <c r="C61" t="s">
        <v>60</v>
      </c>
      <c r="D61" t="s">
        <v>61</v>
      </c>
      <c r="E61" s="4">
        <v>0</v>
      </c>
      <c r="F61">
        <v>63.173028415208677</v>
      </c>
      <c r="G61">
        <v>5.6638858234509828E-2</v>
      </c>
      <c r="H61">
        <v>5.1078483648598197E-2</v>
      </c>
      <c r="I61">
        <v>5.1284703239798543E-2</v>
      </c>
      <c r="J61">
        <v>5.037568057887256E-2</v>
      </c>
      <c r="K61">
        <v>5.0758045911788938E-2</v>
      </c>
    </row>
    <row r="62" spans="1:11" x14ac:dyDescent="0.45">
      <c r="A62">
        <v>4</v>
      </c>
      <c r="B62" t="s">
        <v>64</v>
      </c>
      <c r="C62" t="s">
        <v>60</v>
      </c>
      <c r="D62" t="s">
        <v>61</v>
      </c>
      <c r="E62" s="4">
        <v>0</v>
      </c>
      <c r="F62">
        <v>64.37494838396087</v>
      </c>
      <c r="G62">
        <v>5.435288320295513E-2</v>
      </c>
      <c r="H62">
        <v>5.2347829192876817E-2</v>
      </c>
      <c r="I62">
        <v>5.1671427022665743E-2</v>
      </c>
      <c r="J62">
        <v>5.1322320243343711E-2</v>
      </c>
      <c r="K62">
        <v>5.1610156288370491E-2</v>
      </c>
    </row>
    <row r="63" spans="1:11" x14ac:dyDescent="0.45">
      <c r="A63">
        <v>4</v>
      </c>
      <c r="B63" t="s">
        <v>65</v>
      </c>
      <c r="C63" t="s">
        <v>60</v>
      </c>
      <c r="D63" t="s">
        <v>61</v>
      </c>
      <c r="E63" s="4">
        <v>0</v>
      </c>
      <c r="F63">
        <v>65.366136848228052</v>
      </c>
      <c r="G63">
        <v>5.2272082492709163E-2</v>
      </c>
      <c r="H63">
        <v>4.9720991961658002E-2</v>
      </c>
      <c r="I63">
        <v>4.9835460213944319E-2</v>
      </c>
      <c r="J63">
        <v>4.9712334014475348E-2</v>
      </c>
      <c r="K63">
        <v>4.9825186375528567E-2</v>
      </c>
    </row>
    <row r="64" spans="1:11" x14ac:dyDescent="0.45">
      <c r="A64">
        <v>4</v>
      </c>
      <c r="B64" t="s">
        <v>66</v>
      </c>
      <c r="C64" t="s">
        <v>60</v>
      </c>
      <c r="D64" t="s">
        <v>61</v>
      </c>
      <c r="E64" s="4">
        <v>0</v>
      </c>
      <c r="F64">
        <v>57.788650915399202</v>
      </c>
      <c r="G64">
        <v>5.7155861193314193E-2</v>
      </c>
      <c r="H64">
        <v>5.1218473212793471E-2</v>
      </c>
      <c r="I64">
        <v>5.0553579349070787E-2</v>
      </c>
      <c r="J64">
        <v>5.0996899977326392E-2</v>
      </c>
      <c r="K64">
        <v>5.065844114869833E-2</v>
      </c>
    </row>
    <row r="65" spans="1:11" x14ac:dyDescent="0.45">
      <c r="A65">
        <v>4</v>
      </c>
      <c r="B65" t="s">
        <v>67</v>
      </c>
      <c r="C65" t="s">
        <v>60</v>
      </c>
      <c r="D65" t="s">
        <v>61</v>
      </c>
      <c r="E65" s="4">
        <v>1</v>
      </c>
      <c r="F65">
        <v>61.314142298651859</v>
      </c>
      <c r="G65">
        <v>5.1590551342815157E-2</v>
      </c>
      <c r="H65">
        <v>4.9667383218184112E-2</v>
      </c>
      <c r="I65">
        <v>4.9140980141237377E-2</v>
      </c>
      <c r="J65">
        <v>4.8981843143701548E-2</v>
      </c>
      <c r="K65">
        <v>4.9256567982956773E-2</v>
      </c>
    </row>
    <row r="66" spans="1:11" x14ac:dyDescent="0.45">
      <c r="A66">
        <v>4</v>
      </c>
      <c r="B66" t="s">
        <v>68</v>
      </c>
      <c r="C66" t="s">
        <v>60</v>
      </c>
      <c r="D66" t="s">
        <v>61</v>
      </c>
      <c r="E66" s="4">
        <v>0</v>
      </c>
      <c r="F66">
        <v>46.829889897443351</v>
      </c>
      <c r="G66">
        <v>5.190750905312598E-2</v>
      </c>
      <c r="H66">
        <v>5.0086951535195122E-2</v>
      </c>
      <c r="I66">
        <v>4.9908458022400737E-2</v>
      </c>
      <c r="J66">
        <v>5.0201094429939988E-2</v>
      </c>
      <c r="K66">
        <v>5.0015226332470783E-2</v>
      </c>
    </row>
    <row r="67" spans="1:11" x14ac:dyDescent="0.45">
      <c r="A67">
        <v>5</v>
      </c>
      <c r="B67" t="s">
        <v>69</v>
      </c>
      <c r="C67" t="s">
        <v>60</v>
      </c>
      <c r="D67" t="s">
        <v>61</v>
      </c>
      <c r="E67" s="4">
        <v>0</v>
      </c>
      <c r="F67">
        <v>439.34943120800892</v>
      </c>
      <c r="G67">
        <v>0.48250299822539089</v>
      </c>
      <c r="H67">
        <v>0.47834946904331438</v>
      </c>
      <c r="I67">
        <v>0.47833790481090538</v>
      </c>
      <c r="J67">
        <v>0.54271580916829409</v>
      </c>
      <c r="K67">
        <v>0.47761725559830659</v>
      </c>
    </row>
    <row r="68" spans="1:11" x14ac:dyDescent="0.45">
      <c r="A68">
        <v>5</v>
      </c>
      <c r="B68" t="s">
        <v>70</v>
      </c>
      <c r="C68" t="s">
        <v>60</v>
      </c>
      <c r="D68" t="s">
        <v>61</v>
      </c>
      <c r="E68" s="4">
        <v>1</v>
      </c>
      <c r="F68">
        <v>443.1242100817617</v>
      </c>
      <c r="G68">
        <v>0.48404945177026087</v>
      </c>
      <c r="H68">
        <v>0.47996612419374279</v>
      </c>
      <c r="I68">
        <v>0.47761480538174511</v>
      </c>
      <c r="J68">
        <v>0.53928715619258583</v>
      </c>
      <c r="K68">
        <v>0.4762780965305865</v>
      </c>
    </row>
    <row r="69" spans="1:11" x14ac:dyDescent="0.45">
      <c r="A69">
        <v>5</v>
      </c>
      <c r="B69" t="s">
        <v>71</v>
      </c>
      <c r="C69" t="s">
        <v>60</v>
      </c>
      <c r="D69" t="s">
        <v>61</v>
      </c>
      <c r="E69" s="4">
        <v>0</v>
      </c>
      <c r="F69">
        <v>446.48138073426668</v>
      </c>
      <c r="G69">
        <v>0.48915788438171148</v>
      </c>
      <c r="H69">
        <v>0.48701396798715002</v>
      </c>
      <c r="I69">
        <v>0.4821787463501096</v>
      </c>
      <c r="J69">
        <v>0.544776783650741</v>
      </c>
      <c r="K69">
        <v>0.47948132683522998</v>
      </c>
    </row>
    <row r="70" spans="1:11" x14ac:dyDescent="0.45">
      <c r="A70">
        <v>5</v>
      </c>
      <c r="B70" t="s">
        <v>72</v>
      </c>
      <c r="C70" t="s">
        <v>60</v>
      </c>
      <c r="D70" t="s">
        <v>61</v>
      </c>
      <c r="E70" s="4">
        <v>0</v>
      </c>
      <c r="F70">
        <v>465.89722296544352</v>
      </c>
      <c r="G70">
        <v>0.48467477634549139</v>
      </c>
      <c r="H70">
        <v>0.48303050375543533</v>
      </c>
      <c r="I70">
        <v>0.48141971980221571</v>
      </c>
      <c r="J70">
        <v>0.55750948362983765</v>
      </c>
      <c r="K70">
        <v>0.47901779459789401</v>
      </c>
    </row>
    <row r="71" spans="1:11" x14ac:dyDescent="0.45">
      <c r="A71">
        <v>5</v>
      </c>
      <c r="B71" t="s">
        <v>73</v>
      </c>
      <c r="C71" t="s">
        <v>60</v>
      </c>
      <c r="D71" t="s">
        <v>61</v>
      </c>
      <c r="E71" s="4">
        <v>0</v>
      </c>
      <c r="F71">
        <v>530.27257468514142</v>
      </c>
      <c r="G71">
        <v>0.49610370299778878</v>
      </c>
      <c r="H71">
        <v>0.4911988455802202</v>
      </c>
      <c r="I71">
        <v>0.49011921742931008</v>
      </c>
      <c r="J71">
        <v>0.56352422116324308</v>
      </c>
      <c r="K71">
        <v>0.49029234098270541</v>
      </c>
    </row>
    <row r="72" spans="1:11" x14ac:dyDescent="0.45">
      <c r="A72">
        <v>5</v>
      </c>
      <c r="B72" t="s">
        <v>74</v>
      </c>
      <c r="C72" t="s">
        <v>60</v>
      </c>
      <c r="D72" t="s">
        <v>61</v>
      </c>
      <c r="E72" s="4">
        <v>0</v>
      </c>
      <c r="F72">
        <v>439.10797331999049</v>
      </c>
      <c r="G72">
        <v>0.48494622074067589</v>
      </c>
      <c r="H72">
        <v>0.48517592083662747</v>
      </c>
      <c r="I72">
        <v>0.48566856062971048</v>
      </c>
      <c r="J72">
        <v>0.54576265774667265</v>
      </c>
      <c r="K72">
        <v>0.48311937516555192</v>
      </c>
    </row>
    <row r="73" spans="1:11" x14ac:dyDescent="0.45">
      <c r="A73">
        <v>5</v>
      </c>
      <c r="B73" t="s">
        <v>75</v>
      </c>
      <c r="C73" t="s">
        <v>60</v>
      </c>
      <c r="D73" t="s">
        <v>61</v>
      </c>
      <c r="E73" s="4">
        <v>1</v>
      </c>
      <c r="F73">
        <v>473.20367715358742</v>
      </c>
      <c r="G73">
        <v>0.48591677523218102</v>
      </c>
      <c r="H73">
        <v>0.4811544856056571</v>
      </c>
      <c r="I73">
        <v>0.4802094076294452</v>
      </c>
      <c r="J73">
        <v>0.55560994278639553</v>
      </c>
      <c r="K73">
        <v>0.47579807145521053</v>
      </c>
    </row>
    <row r="74" spans="1:11" x14ac:dyDescent="0.45">
      <c r="A74">
        <v>5</v>
      </c>
      <c r="B74" t="s">
        <v>76</v>
      </c>
      <c r="C74" t="s">
        <v>60</v>
      </c>
      <c r="D74" t="s">
        <v>61</v>
      </c>
      <c r="E74" s="4">
        <v>0</v>
      </c>
      <c r="F74">
        <v>452.84302550316789</v>
      </c>
      <c r="G74">
        <v>0.48531180708669119</v>
      </c>
      <c r="H74">
        <v>0.48514109863899652</v>
      </c>
      <c r="I74">
        <v>0.54578626756556337</v>
      </c>
      <c r="J74">
        <v>0.48061265442520379</v>
      </c>
      <c r="K74">
        <v>0.48032507719472051</v>
      </c>
    </row>
    <row r="75" spans="1:11" x14ac:dyDescent="0.45">
      <c r="A75">
        <v>5</v>
      </c>
      <c r="B75" t="s">
        <v>77</v>
      </c>
      <c r="C75" t="s">
        <v>60</v>
      </c>
      <c r="D75" t="s">
        <v>61</v>
      </c>
      <c r="E75" s="4">
        <v>0</v>
      </c>
      <c r="F75">
        <v>510.65947736781089</v>
      </c>
      <c r="G75">
        <v>0.48932556523941462</v>
      </c>
      <c r="H75">
        <v>0.48829240100458271</v>
      </c>
      <c r="I75">
        <v>0.48920234558172532</v>
      </c>
      <c r="J75">
        <v>0.55110542341135438</v>
      </c>
      <c r="K75">
        <v>0.48382840799167748</v>
      </c>
    </row>
    <row r="76" spans="1:11" x14ac:dyDescent="0.45">
      <c r="A76">
        <v>5</v>
      </c>
      <c r="B76" t="s">
        <v>78</v>
      </c>
      <c r="C76" t="s">
        <v>60</v>
      </c>
      <c r="D76" t="s">
        <v>61</v>
      </c>
      <c r="E76" s="4">
        <v>1</v>
      </c>
      <c r="F76">
        <v>442.90836164918733</v>
      </c>
      <c r="G76">
        <v>0.48638631016947331</v>
      </c>
      <c r="H76">
        <v>0.48367189918644732</v>
      </c>
      <c r="I76">
        <v>0.48339960798621179</v>
      </c>
      <c r="J76">
        <v>0.54771995414048436</v>
      </c>
      <c r="K76">
        <v>0.48329052077606321</v>
      </c>
    </row>
    <row r="77" spans="1:11" x14ac:dyDescent="0.45">
      <c r="A77">
        <v>5</v>
      </c>
      <c r="B77" t="s">
        <v>79</v>
      </c>
      <c r="C77" t="s">
        <v>60</v>
      </c>
      <c r="D77" t="s">
        <v>61</v>
      </c>
      <c r="E77" s="4">
        <v>0</v>
      </c>
      <c r="F77">
        <v>414.22454727487639</v>
      </c>
      <c r="G77">
        <v>0.490555767621845</v>
      </c>
      <c r="H77">
        <v>0.48813259140588339</v>
      </c>
      <c r="I77">
        <v>0.48790655019693069</v>
      </c>
      <c r="J77">
        <v>0.56484002163633706</v>
      </c>
      <c r="K77">
        <v>0.4844450967386365</v>
      </c>
    </row>
    <row r="78" spans="1:11" x14ac:dyDescent="0.45">
      <c r="A78">
        <v>5</v>
      </c>
      <c r="B78" t="s">
        <v>80</v>
      </c>
      <c r="C78" t="s">
        <v>60</v>
      </c>
      <c r="D78" t="s">
        <v>61</v>
      </c>
      <c r="E78" s="4">
        <v>0</v>
      </c>
      <c r="F78">
        <v>456.44159971484908</v>
      </c>
      <c r="G78">
        <v>0.48455905718728898</v>
      </c>
      <c r="H78">
        <v>0.48175586527213449</v>
      </c>
      <c r="I78">
        <v>0.47957544703967869</v>
      </c>
      <c r="J78">
        <v>0.55774499741382899</v>
      </c>
      <c r="K78">
        <v>0.47740822378546</v>
      </c>
    </row>
    <row r="79" spans="1:11" x14ac:dyDescent="0.45">
      <c r="A79">
        <v>5</v>
      </c>
      <c r="B79" t="s">
        <v>81</v>
      </c>
      <c r="C79" t="s">
        <v>60</v>
      </c>
      <c r="D79" t="s">
        <v>61</v>
      </c>
      <c r="E79" s="4">
        <v>0</v>
      </c>
      <c r="F79">
        <v>453.4983298752457</v>
      </c>
      <c r="G79">
        <v>0.49154393183998762</v>
      </c>
      <c r="H79">
        <v>0.48685953877866273</v>
      </c>
      <c r="I79">
        <v>0.48722767345607282</v>
      </c>
      <c r="J79">
        <v>0.5491786399390548</v>
      </c>
      <c r="K79">
        <v>0.48560613724403079</v>
      </c>
    </row>
    <row r="80" spans="1:11" x14ac:dyDescent="0.45">
      <c r="A80">
        <v>5</v>
      </c>
      <c r="B80" t="s">
        <v>82</v>
      </c>
      <c r="C80" t="s">
        <v>60</v>
      </c>
      <c r="D80" t="s">
        <v>61</v>
      </c>
      <c r="E80" s="4">
        <v>0</v>
      </c>
      <c r="F80">
        <v>497.93209691895169</v>
      </c>
      <c r="G80">
        <v>0.48841607011854649</v>
      </c>
      <c r="H80">
        <v>0.48609459483996031</v>
      </c>
      <c r="I80">
        <v>0.56554712164215748</v>
      </c>
      <c r="J80">
        <v>0.4818597683683038</v>
      </c>
      <c r="K80">
        <v>0.48326090257614851</v>
      </c>
    </row>
    <row r="81" spans="1:11" x14ac:dyDescent="0.45">
      <c r="A81">
        <v>5</v>
      </c>
      <c r="B81" t="s">
        <v>83</v>
      </c>
      <c r="C81" t="s">
        <v>60</v>
      </c>
      <c r="D81" t="s">
        <v>61</v>
      </c>
      <c r="E81" s="4">
        <v>1</v>
      </c>
      <c r="F81">
        <v>426.06440102341583</v>
      </c>
      <c r="G81">
        <v>0.48803303120657798</v>
      </c>
      <c r="H81">
        <v>0.48311921618878839</v>
      </c>
      <c r="I81">
        <v>0.4827173319645226</v>
      </c>
      <c r="J81">
        <v>0.55862399521283801</v>
      </c>
      <c r="K81">
        <v>0.48280500881373878</v>
      </c>
    </row>
    <row r="82" spans="1:11" x14ac:dyDescent="0.45">
      <c r="A82">
        <v>5</v>
      </c>
      <c r="B82" t="s">
        <v>84</v>
      </c>
      <c r="C82" t="s">
        <v>60</v>
      </c>
      <c r="D82" t="s">
        <v>61</v>
      </c>
      <c r="E82" s="4">
        <v>0</v>
      </c>
      <c r="F82">
        <v>437.56988336583601</v>
      </c>
      <c r="G82">
        <v>0.4862035363446921</v>
      </c>
      <c r="H82">
        <v>0.48168328334577382</v>
      </c>
      <c r="I82">
        <v>0.56095309061929588</v>
      </c>
      <c r="J82">
        <v>0.4808661524672061</v>
      </c>
      <c r="K82">
        <v>0.47904408997856079</v>
      </c>
    </row>
    <row r="83" spans="1:11" x14ac:dyDescent="0.45">
      <c r="A83">
        <v>5</v>
      </c>
      <c r="B83" t="s">
        <v>85</v>
      </c>
      <c r="C83" t="s">
        <v>60</v>
      </c>
      <c r="D83" t="s">
        <v>61</v>
      </c>
      <c r="E83" s="4">
        <v>0</v>
      </c>
      <c r="F83">
        <v>446.73258186639288</v>
      </c>
      <c r="G83">
        <v>0.53664661440998318</v>
      </c>
      <c r="H83">
        <v>0.58899511294439433</v>
      </c>
      <c r="I83">
        <v>0.53476802702061832</v>
      </c>
      <c r="J83">
        <v>0.53558846339583399</v>
      </c>
      <c r="K83">
        <v>0.53650509859435258</v>
      </c>
    </row>
    <row r="84" spans="1:11" x14ac:dyDescent="0.45">
      <c r="A84">
        <v>5</v>
      </c>
      <c r="B84" t="s">
        <v>86</v>
      </c>
      <c r="C84" t="s">
        <v>60</v>
      </c>
      <c r="D84" t="s">
        <v>61</v>
      </c>
      <c r="E84" s="4">
        <v>1</v>
      </c>
      <c r="F84">
        <v>525.44914250201543</v>
      </c>
      <c r="G84">
        <v>0.56993735502474008</v>
      </c>
      <c r="H84">
        <v>0.64194106399081652</v>
      </c>
      <c r="I84">
        <v>0.56612736484967174</v>
      </c>
      <c r="J84">
        <v>0.56596505939960484</v>
      </c>
      <c r="K84">
        <v>0.57053943574428556</v>
      </c>
    </row>
    <row r="85" spans="1:11" x14ac:dyDescent="0.45">
      <c r="A85">
        <v>5</v>
      </c>
      <c r="B85" t="s">
        <v>87</v>
      </c>
      <c r="C85" t="s">
        <v>60</v>
      </c>
      <c r="D85" t="s">
        <v>61</v>
      </c>
      <c r="E85" s="4">
        <v>0</v>
      </c>
      <c r="F85">
        <v>422.39665477517991</v>
      </c>
      <c r="G85">
        <v>0.54556582081131633</v>
      </c>
      <c r="H85">
        <v>0.61338068819604818</v>
      </c>
      <c r="I85">
        <v>0.53868537927046423</v>
      </c>
      <c r="J85">
        <v>0.53917594482190911</v>
      </c>
      <c r="K85">
        <v>0.53980642235837872</v>
      </c>
    </row>
    <row r="86" spans="1:11" x14ac:dyDescent="0.45">
      <c r="A86">
        <v>5</v>
      </c>
      <c r="B86" t="s">
        <v>88</v>
      </c>
      <c r="C86" t="s">
        <v>60</v>
      </c>
      <c r="D86" t="s">
        <v>61</v>
      </c>
      <c r="E86" s="4">
        <v>0</v>
      </c>
      <c r="F86">
        <v>466.72639353224082</v>
      </c>
      <c r="G86">
        <v>0.54888962465338409</v>
      </c>
      <c r="H86">
        <v>0.61986489854753013</v>
      </c>
      <c r="I86">
        <v>0.53878620825707912</v>
      </c>
      <c r="J86">
        <v>0.54158365670591591</v>
      </c>
      <c r="K86">
        <v>0.54154368843883272</v>
      </c>
    </row>
    <row r="87" spans="1:11" x14ac:dyDescent="0.45">
      <c r="A87">
        <v>5</v>
      </c>
      <c r="B87" t="s">
        <v>89</v>
      </c>
      <c r="C87" t="s">
        <v>60</v>
      </c>
      <c r="D87" t="s">
        <v>61</v>
      </c>
      <c r="E87" s="4">
        <v>0</v>
      </c>
      <c r="F87">
        <v>411.26620251680731</v>
      </c>
      <c r="G87">
        <v>0.54589630439877512</v>
      </c>
      <c r="H87">
        <v>0.62261719438247387</v>
      </c>
      <c r="I87">
        <v>0.53817254141904414</v>
      </c>
      <c r="J87">
        <v>0.53945670118555422</v>
      </c>
      <c r="K87">
        <v>0.54099914110265668</v>
      </c>
    </row>
    <row r="88" spans="1:11" x14ac:dyDescent="0.45">
      <c r="A88">
        <v>5</v>
      </c>
      <c r="B88" t="s">
        <v>90</v>
      </c>
      <c r="C88" t="s">
        <v>60</v>
      </c>
      <c r="D88" t="s">
        <v>61</v>
      </c>
      <c r="E88" s="4">
        <v>0</v>
      </c>
      <c r="F88">
        <v>482.17370233177212</v>
      </c>
      <c r="G88">
        <v>0.54622569284401834</v>
      </c>
      <c r="H88">
        <v>0.62964566685259338</v>
      </c>
      <c r="I88">
        <v>0.53695715079084039</v>
      </c>
      <c r="J88">
        <v>0.53880478702485557</v>
      </c>
      <c r="K88">
        <v>0.53899900997057559</v>
      </c>
    </row>
    <row r="89" spans="1:11" x14ac:dyDescent="0.45">
      <c r="A89">
        <v>5</v>
      </c>
      <c r="B89" t="s">
        <v>91</v>
      </c>
      <c r="C89" t="s">
        <v>60</v>
      </c>
      <c r="D89" t="s">
        <v>61</v>
      </c>
      <c r="E89" s="4">
        <v>1</v>
      </c>
      <c r="F89">
        <v>528.91630933294073</v>
      </c>
      <c r="G89">
        <v>0.54927779161371293</v>
      </c>
      <c r="H89">
        <v>0.62633344954811032</v>
      </c>
      <c r="I89">
        <v>0.54739516107365493</v>
      </c>
      <c r="J89">
        <v>0.54891979517415168</v>
      </c>
      <c r="K89">
        <v>0.54823849475942554</v>
      </c>
    </row>
    <row r="90" spans="1:11" x14ac:dyDescent="0.45">
      <c r="A90">
        <v>5</v>
      </c>
      <c r="B90" t="s">
        <v>92</v>
      </c>
      <c r="C90" t="s">
        <v>60</v>
      </c>
      <c r="D90" t="s">
        <v>61</v>
      </c>
      <c r="E90" s="4">
        <v>0</v>
      </c>
      <c r="F90">
        <v>484.88530649738391</v>
      </c>
      <c r="G90">
        <v>0.54577974784187977</v>
      </c>
      <c r="H90">
        <v>0.62402615398168559</v>
      </c>
      <c r="I90">
        <v>0.54095020992681386</v>
      </c>
      <c r="J90">
        <v>0.54131832900457089</v>
      </c>
      <c r="K90">
        <v>0.53966674180701379</v>
      </c>
    </row>
    <row r="91" spans="1:11" x14ac:dyDescent="0.45">
      <c r="A91">
        <v>6</v>
      </c>
      <c r="B91" t="s">
        <v>93</v>
      </c>
      <c r="C91" t="s">
        <v>60</v>
      </c>
      <c r="D91" t="s">
        <v>61</v>
      </c>
      <c r="E91" s="4">
        <v>0</v>
      </c>
      <c r="F91">
        <v>64.564297392964363</v>
      </c>
      <c r="G91">
        <v>0.20659796353429549</v>
      </c>
      <c r="H91">
        <v>0.201260334206745</v>
      </c>
      <c r="I91">
        <v>0.2009431388229132</v>
      </c>
      <c r="J91">
        <v>0.19977060980163511</v>
      </c>
      <c r="K91">
        <v>0.1996115926653147</v>
      </c>
    </row>
    <row r="92" spans="1:11" x14ac:dyDescent="0.45">
      <c r="A92">
        <v>6</v>
      </c>
      <c r="B92" t="s">
        <v>94</v>
      </c>
      <c r="C92" t="s">
        <v>60</v>
      </c>
      <c r="D92" t="s">
        <v>61</v>
      </c>
      <c r="E92" s="4">
        <v>0</v>
      </c>
      <c r="F92">
        <v>63.95777711402625</v>
      </c>
      <c r="G92">
        <v>0.20715975263156</v>
      </c>
      <c r="H92">
        <v>0.20158870173618201</v>
      </c>
      <c r="I92">
        <v>0.20319959456101061</v>
      </c>
      <c r="J92">
        <v>0.20195304788649079</v>
      </c>
      <c r="K92">
        <v>0.20157709019258621</v>
      </c>
    </row>
    <row r="93" spans="1:11" x14ac:dyDescent="0.45">
      <c r="A93">
        <v>6</v>
      </c>
      <c r="B93" t="s">
        <v>95</v>
      </c>
      <c r="C93" t="s">
        <v>60</v>
      </c>
      <c r="D93" t="s">
        <v>61</v>
      </c>
      <c r="E93" s="4">
        <v>0</v>
      </c>
      <c r="F93">
        <v>89.233853155001995</v>
      </c>
      <c r="G93">
        <v>0.20677645658142871</v>
      </c>
      <c r="H93">
        <v>0.20513820266351099</v>
      </c>
      <c r="I93">
        <v>0.20535344020463531</v>
      </c>
      <c r="J93">
        <v>0.2054086016025394</v>
      </c>
      <c r="K93">
        <v>0.20433659404516219</v>
      </c>
    </row>
    <row r="94" spans="1:11" x14ac:dyDescent="0.45">
      <c r="A94">
        <v>6</v>
      </c>
      <c r="B94" t="s">
        <v>96</v>
      </c>
      <c r="C94" t="s">
        <v>60</v>
      </c>
      <c r="D94" t="s">
        <v>61</v>
      </c>
      <c r="E94" s="4">
        <v>1</v>
      </c>
      <c r="F94">
        <v>100.1345439241733</v>
      </c>
      <c r="G94">
        <v>0.21066753906197849</v>
      </c>
      <c r="H94">
        <v>0.20406591021455819</v>
      </c>
      <c r="I94">
        <v>0.20398859865963459</v>
      </c>
      <c r="J94">
        <v>0.20309383855201299</v>
      </c>
      <c r="K94">
        <v>0.20724731064401569</v>
      </c>
    </row>
    <row r="95" spans="1:11" x14ac:dyDescent="0.45">
      <c r="A95">
        <v>6</v>
      </c>
      <c r="B95" t="s">
        <v>97</v>
      </c>
      <c r="C95" t="s">
        <v>60</v>
      </c>
      <c r="D95" t="s">
        <v>61</v>
      </c>
      <c r="E95" s="4">
        <v>1</v>
      </c>
      <c r="F95">
        <v>99.395600008917967</v>
      </c>
      <c r="G95">
        <v>0.20992072657682001</v>
      </c>
      <c r="H95">
        <v>0.20547053017653519</v>
      </c>
      <c r="I95">
        <v>0.2052043352276087</v>
      </c>
      <c r="J95">
        <v>0.2037068142089993</v>
      </c>
      <c r="K95">
        <v>0.20426760804839431</v>
      </c>
    </row>
    <row r="96" spans="1:11" x14ac:dyDescent="0.45">
      <c r="A96">
        <v>6</v>
      </c>
      <c r="B96" t="s">
        <v>98</v>
      </c>
      <c r="C96" t="s">
        <v>60</v>
      </c>
      <c r="D96" t="s">
        <v>61</v>
      </c>
      <c r="E96" s="4">
        <v>0</v>
      </c>
      <c r="F96">
        <v>106.4053204018623</v>
      </c>
      <c r="G96">
        <v>0.21188328540883961</v>
      </c>
      <c r="H96">
        <v>0.20400593336671591</v>
      </c>
      <c r="I96">
        <v>0.20373958381824189</v>
      </c>
      <c r="J96">
        <v>0.20679323025979099</v>
      </c>
      <c r="K96">
        <v>0.20419440823607149</v>
      </c>
    </row>
    <row r="97" spans="1:11" x14ac:dyDescent="0.45">
      <c r="A97">
        <v>6</v>
      </c>
      <c r="B97" t="s">
        <v>99</v>
      </c>
      <c r="C97" t="s">
        <v>60</v>
      </c>
      <c r="D97" t="s">
        <v>61</v>
      </c>
      <c r="E97" s="4">
        <v>0</v>
      </c>
      <c r="F97">
        <v>87.308657773444423</v>
      </c>
      <c r="G97">
        <v>0.21056221276521681</v>
      </c>
      <c r="H97">
        <v>0.2033721224870533</v>
      </c>
      <c r="I97">
        <v>0.20238096457906071</v>
      </c>
      <c r="J97">
        <v>0.20360125754959879</v>
      </c>
      <c r="K97">
        <v>0.2024935705587268</v>
      </c>
    </row>
    <row r="98" spans="1:11" x14ac:dyDescent="0.45">
      <c r="A98">
        <v>6</v>
      </c>
      <c r="B98" t="s">
        <v>100</v>
      </c>
      <c r="C98" t="s">
        <v>60</v>
      </c>
      <c r="D98" t="s">
        <v>61</v>
      </c>
      <c r="E98" s="4">
        <v>0</v>
      </c>
      <c r="F98">
        <v>109.1911551970057</v>
      </c>
      <c r="G98">
        <v>0.21124924421310429</v>
      </c>
      <c r="H98">
        <v>0.2086835067719221</v>
      </c>
      <c r="I98">
        <v>0.20754496762529009</v>
      </c>
      <c r="J98">
        <v>0.20755801438353949</v>
      </c>
      <c r="K98">
        <v>0.20528086428530509</v>
      </c>
    </row>
    <row r="99" spans="1:11" x14ac:dyDescent="0.45">
      <c r="A99">
        <v>7</v>
      </c>
      <c r="B99" t="s">
        <v>101</v>
      </c>
      <c r="C99" t="s">
        <v>60</v>
      </c>
      <c r="D99" t="s">
        <v>61</v>
      </c>
      <c r="E99" s="4">
        <v>0</v>
      </c>
      <c r="F99">
        <v>489.66636306960129</v>
      </c>
      <c r="G99">
        <v>0.31019607093185192</v>
      </c>
      <c r="H99">
        <v>0.30785490302369001</v>
      </c>
      <c r="I99">
        <v>0.30683922600001101</v>
      </c>
      <c r="J99">
        <v>0.30679936497472232</v>
      </c>
      <c r="K99">
        <v>0.30799950337968768</v>
      </c>
    </row>
    <row r="100" spans="1:11" x14ac:dyDescent="0.45">
      <c r="A100">
        <v>7</v>
      </c>
      <c r="B100" t="s">
        <v>102</v>
      </c>
      <c r="C100" t="s">
        <v>60</v>
      </c>
      <c r="D100" t="s">
        <v>61</v>
      </c>
      <c r="E100" s="4">
        <v>0</v>
      </c>
      <c r="F100">
        <v>463.97211670302778</v>
      </c>
      <c r="G100">
        <v>0.30867816600948572</v>
      </c>
      <c r="H100">
        <v>0.30847411602735519</v>
      </c>
      <c r="I100">
        <v>0.30777731309644879</v>
      </c>
      <c r="J100">
        <v>0.30855007711797949</v>
      </c>
      <c r="K100">
        <v>0.30740295867435641</v>
      </c>
    </row>
    <row r="101" spans="1:11" x14ac:dyDescent="0.45">
      <c r="A101">
        <v>7</v>
      </c>
      <c r="B101" t="s">
        <v>103</v>
      </c>
      <c r="C101" t="s">
        <v>60</v>
      </c>
      <c r="D101" t="s">
        <v>61</v>
      </c>
      <c r="E101" s="4">
        <v>0</v>
      </c>
      <c r="F101">
        <v>457.76328657693227</v>
      </c>
      <c r="G101">
        <v>0.30799917443655428</v>
      </c>
      <c r="H101">
        <v>0.307779731368646</v>
      </c>
      <c r="I101">
        <v>0.30748829161748292</v>
      </c>
      <c r="J101">
        <v>0.30895275147631762</v>
      </c>
      <c r="K101">
        <v>0.30910372082144022</v>
      </c>
    </row>
    <row r="102" spans="1:11" x14ac:dyDescent="0.45">
      <c r="A102">
        <v>7</v>
      </c>
      <c r="B102" t="s">
        <v>104</v>
      </c>
      <c r="C102" t="s">
        <v>60</v>
      </c>
      <c r="D102" t="s">
        <v>61</v>
      </c>
      <c r="E102" s="4">
        <v>1</v>
      </c>
      <c r="F102">
        <v>480.0947888437193</v>
      </c>
      <c r="G102">
        <v>0.30894721257500352</v>
      </c>
      <c r="H102">
        <v>0.30737674799747772</v>
      </c>
      <c r="I102">
        <v>0.30675546750426291</v>
      </c>
      <c r="J102">
        <v>0.30694964099675409</v>
      </c>
      <c r="K102">
        <v>0.30662859659641978</v>
      </c>
    </row>
    <row r="103" spans="1:11" x14ac:dyDescent="0.45">
      <c r="A103">
        <v>7</v>
      </c>
      <c r="B103" t="s">
        <v>105</v>
      </c>
      <c r="C103" t="s">
        <v>60</v>
      </c>
      <c r="D103" t="s">
        <v>61</v>
      </c>
      <c r="E103" s="4">
        <v>1</v>
      </c>
      <c r="F103">
        <v>471.67494187057019</v>
      </c>
      <c r="G103">
        <v>0.30875333580188452</v>
      </c>
      <c r="H103">
        <v>0.31022944743745029</v>
      </c>
      <c r="I103">
        <v>0.30933398464694623</v>
      </c>
      <c r="J103">
        <v>0.30899647339247172</v>
      </c>
      <c r="K103">
        <v>0.30936323581263431</v>
      </c>
    </row>
    <row r="104" spans="1:11" x14ac:dyDescent="0.45">
      <c r="A104">
        <v>7</v>
      </c>
      <c r="B104" t="s">
        <v>106</v>
      </c>
      <c r="C104" t="s">
        <v>60</v>
      </c>
      <c r="D104" t="s">
        <v>61</v>
      </c>
      <c r="E104" s="4">
        <v>0</v>
      </c>
      <c r="F104">
        <v>476.83678162144503</v>
      </c>
      <c r="G104">
        <v>0.31012036558240652</v>
      </c>
      <c r="H104">
        <v>0.3077456986065954</v>
      </c>
      <c r="I104">
        <v>0.3068732373416424</v>
      </c>
      <c r="J104">
        <v>0.30806965422816568</v>
      </c>
      <c r="K104">
        <v>0.30731362053193151</v>
      </c>
    </row>
    <row r="105" spans="1:11" x14ac:dyDescent="0.45">
      <c r="A105">
        <v>7</v>
      </c>
      <c r="B105" t="s">
        <v>107</v>
      </c>
      <c r="C105" t="s">
        <v>60</v>
      </c>
      <c r="D105" t="s">
        <v>61</v>
      </c>
      <c r="E105" s="4">
        <v>0</v>
      </c>
      <c r="F105">
        <v>464.79761099102899</v>
      </c>
      <c r="G105">
        <v>0.31051123812794679</v>
      </c>
      <c r="H105">
        <v>0.30967450318858031</v>
      </c>
      <c r="I105">
        <v>0.30891472729854291</v>
      </c>
      <c r="J105">
        <v>0.30882024923339491</v>
      </c>
      <c r="K105">
        <v>0.30809800913557411</v>
      </c>
    </row>
    <row r="106" spans="1:11" x14ac:dyDescent="0.45">
      <c r="A106">
        <v>7</v>
      </c>
      <c r="B106" t="s">
        <v>108</v>
      </c>
      <c r="C106" t="s">
        <v>60</v>
      </c>
      <c r="D106" t="s">
        <v>61</v>
      </c>
      <c r="E106" s="4">
        <v>0</v>
      </c>
      <c r="F106">
        <v>477.24933460443282</v>
      </c>
      <c r="G106">
        <v>0.31009253961965438</v>
      </c>
      <c r="H106">
        <v>0.30924976426176731</v>
      </c>
      <c r="I106">
        <v>0.30872289058752361</v>
      </c>
      <c r="J106">
        <v>0.30949876098893581</v>
      </c>
      <c r="K106">
        <v>0.31001204680651429</v>
      </c>
    </row>
    <row r="107" spans="1:11" x14ac:dyDescent="0.45">
      <c r="A107">
        <v>7</v>
      </c>
      <c r="B107" t="s">
        <v>109</v>
      </c>
      <c r="C107" t="s">
        <v>60</v>
      </c>
      <c r="D107" t="s">
        <v>61</v>
      </c>
      <c r="E107" s="4">
        <v>0</v>
      </c>
      <c r="F107">
        <v>493.09670300954019</v>
      </c>
      <c r="G107">
        <v>0.30967906122095878</v>
      </c>
      <c r="H107">
        <v>0.30861684875562789</v>
      </c>
      <c r="I107">
        <v>0.30856071878224611</v>
      </c>
      <c r="J107">
        <v>0.30896156146191062</v>
      </c>
      <c r="K107">
        <v>0.30857269819825889</v>
      </c>
    </row>
    <row r="108" spans="1:11" x14ac:dyDescent="0.45">
      <c r="A108">
        <v>7</v>
      </c>
      <c r="B108" t="s">
        <v>110</v>
      </c>
      <c r="C108" t="s">
        <v>60</v>
      </c>
      <c r="D108" t="s">
        <v>61</v>
      </c>
      <c r="E108" s="4">
        <v>0</v>
      </c>
      <c r="F108">
        <v>486.58357687364332</v>
      </c>
      <c r="G108">
        <v>0.30886358423158528</v>
      </c>
      <c r="H108">
        <v>0.30668743597343562</v>
      </c>
      <c r="I108">
        <v>0.30544075537472959</v>
      </c>
      <c r="J108">
        <v>0.30588008104823527</v>
      </c>
      <c r="K108">
        <v>0.30571095142513521</v>
      </c>
    </row>
    <row r="109" spans="1:11" x14ac:dyDescent="0.45">
      <c r="A109">
        <v>7</v>
      </c>
      <c r="B109" t="s">
        <v>111</v>
      </c>
      <c r="C109" t="s">
        <v>60</v>
      </c>
      <c r="D109" t="s">
        <v>61</v>
      </c>
      <c r="E109" s="4">
        <v>1</v>
      </c>
      <c r="F109">
        <v>441.52578510045998</v>
      </c>
      <c r="G109">
        <v>0.31259425268508501</v>
      </c>
      <c r="H109">
        <v>0.31113110394217081</v>
      </c>
      <c r="I109">
        <v>0.31104975095950071</v>
      </c>
      <c r="J109">
        <v>0.31055328855291009</v>
      </c>
      <c r="K109">
        <v>0.31162585462443532</v>
      </c>
    </row>
    <row r="110" spans="1:11" x14ac:dyDescent="0.45">
      <c r="A110">
        <v>7</v>
      </c>
      <c r="B110" t="s">
        <v>112</v>
      </c>
      <c r="C110" t="s">
        <v>60</v>
      </c>
      <c r="D110" t="s">
        <v>61</v>
      </c>
      <c r="E110" s="4">
        <v>0</v>
      </c>
      <c r="F110">
        <v>465.08512591277253</v>
      </c>
      <c r="G110">
        <v>0.30849312385544181</v>
      </c>
      <c r="H110">
        <v>0.30740532809868448</v>
      </c>
      <c r="I110">
        <v>0.30658403187990191</v>
      </c>
      <c r="J110">
        <v>0.30674757082015269</v>
      </c>
      <c r="K110">
        <v>0.30607132334262133</v>
      </c>
    </row>
    <row r="111" spans="1:11" x14ac:dyDescent="0.45">
      <c r="A111">
        <v>7</v>
      </c>
      <c r="B111" t="s">
        <v>113</v>
      </c>
      <c r="C111" t="s">
        <v>60</v>
      </c>
      <c r="D111" t="s">
        <v>61</v>
      </c>
      <c r="E111" s="4">
        <v>0</v>
      </c>
      <c r="F111">
        <v>443.43080428256661</v>
      </c>
      <c r="G111">
        <v>0.31091791442595418</v>
      </c>
      <c r="H111">
        <v>0.30968381064012651</v>
      </c>
      <c r="I111">
        <v>0.31039179018698632</v>
      </c>
      <c r="J111">
        <v>0.31085193241015069</v>
      </c>
      <c r="K111">
        <v>0.3114406032022089</v>
      </c>
    </row>
    <row r="112" spans="1:11" x14ac:dyDescent="0.45">
      <c r="A112">
        <v>7</v>
      </c>
      <c r="B112" t="s">
        <v>114</v>
      </c>
      <c r="C112" t="s">
        <v>60</v>
      </c>
      <c r="D112" t="s">
        <v>61</v>
      </c>
      <c r="E112" s="4">
        <v>1</v>
      </c>
      <c r="F112">
        <v>444.24496024684049</v>
      </c>
      <c r="G112">
        <v>0.30790528901852671</v>
      </c>
      <c r="H112">
        <v>0.30620798473246402</v>
      </c>
      <c r="I112">
        <v>0.30662148394621908</v>
      </c>
      <c r="J112">
        <v>0.30733619108796117</v>
      </c>
      <c r="K112">
        <v>0.30812599775381389</v>
      </c>
    </row>
    <row r="113" spans="1:11" x14ac:dyDescent="0.45">
      <c r="A113">
        <v>7</v>
      </c>
      <c r="B113" t="s">
        <v>115</v>
      </c>
      <c r="C113" t="s">
        <v>60</v>
      </c>
      <c r="D113" t="s">
        <v>61</v>
      </c>
      <c r="E113" s="4">
        <v>0</v>
      </c>
      <c r="F113">
        <v>452.89613491622731</v>
      </c>
      <c r="G113">
        <v>0.30778724094852811</v>
      </c>
      <c r="H113">
        <v>0.30741890696808688</v>
      </c>
      <c r="I113">
        <v>0.30683949072845279</v>
      </c>
      <c r="J113">
        <v>0.3055782766081393</v>
      </c>
      <c r="K113">
        <v>0.30636434298940002</v>
      </c>
    </row>
    <row r="114" spans="1:11" x14ac:dyDescent="0.45">
      <c r="A114">
        <v>7</v>
      </c>
      <c r="B114" t="s">
        <v>116</v>
      </c>
      <c r="C114" t="s">
        <v>60</v>
      </c>
      <c r="D114" t="s">
        <v>61</v>
      </c>
      <c r="E114" s="4">
        <v>0</v>
      </c>
      <c r="F114">
        <v>458.9293819651939</v>
      </c>
      <c r="G114">
        <v>0.3231948791537434</v>
      </c>
      <c r="H114">
        <v>0.32417375040240592</v>
      </c>
      <c r="I114">
        <v>0.32261079326272007</v>
      </c>
      <c r="J114">
        <v>0.32343387282453478</v>
      </c>
      <c r="K114">
        <v>0.32235423945821817</v>
      </c>
    </row>
    <row r="115" spans="1:11" x14ac:dyDescent="0.45">
      <c r="A115">
        <v>8</v>
      </c>
      <c r="B115" t="s">
        <v>117</v>
      </c>
      <c r="C115" t="s">
        <v>60</v>
      </c>
      <c r="D115" t="s">
        <v>61</v>
      </c>
      <c r="E115" s="4">
        <v>0</v>
      </c>
      <c r="F115">
        <v>2179.2858480249529</v>
      </c>
      <c r="G115">
        <v>55.536290238145739</v>
      </c>
      <c r="H115">
        <v>55.446290222927928</v>
      </c>
      <c r="I115">
        <v>55.586223183525718</v>
      </c>
      <c r="J115">
        <v>55.361133533436814</v>
      </c>
      <c r="K115">
        <v>55.250419767433783</v>
      </c>
    </row>
    <row r="116" spans="1:11" x14ac:dyDescent="0.45">
      <c r="A116">
        <v>8</v>
      </c>
      <c r="B116" t="s">
        <v>118</v>
      </c>
      <c r="C116" t="s">
        <v>60</v>
      </c>
      <c r="D116" t="s">
        <v>61</v>
      </c>
      <c r="E116" s="4">
        <v>0</v>
      </c>
      <c r="F116">
        <v>2142.6121255678131</v>
      </c>
      <c r="G116">
        <v>55.639096072316171</v>
      </c>
      <c r="H116">
        <v>55.676068674819547</v>
      </c>
      <c r="I116">
        <v>55.883657219773163</v>
      </c>
      <c r="J116">
        <v>55.833364303782581</v>
      </c>
      <c r="K116">
        <v>55.449371733749288</v>
      </c>
    </row>
    <row r="117" spans="1:11" x14ac:dyDescent="0.45">
      <c r="A117">
        <v>8</v>
      </c>
      <c r="B117" t="s">
        <v>119</v>
      </c>
      <c r="C117" t="s">
        <v>60</v>
      </c>
      <c r="D117" t="s">
        <v>61</v>
      </c>
      <c r="E117" s="4">
        <v>1</v>
      </c>
      <c r="F117">
        <v>2139.43729060241</v>
      </c>
      <c r="G117">
        <v>55.521836329996589</v>
      </c>
      <c r="H117">
        <v>55.664956632489343</v>
      </c>
      <c r="I117">
        <v>55.547571774432427</v>
      </c>
      <c r="J117">
        <v>55.691408670134841</v>
      </c>
      <c r="K117">
        <v>55.262224439578127</v>
      </c>
    </row>
    <row r="118" spans="1:11" x14ac:dyDescent="0.45">
      <c r="A118">
        <v>8</v>
      </c>
      <c r="B118" t="s">
        <v>120</v>
      </c>
      <c r="C118" t="s">
        <v>60</v>
      </c>
      <c r="D118" t="s">
        <v>61</v>
      </c>
      <c r="E118" s="4">
        <v>0</v>
      </c>
      <c r="F118">
        <v>2112.9847837158009</v>
      </c>
      <c r="G118">
        <v>55.489046903792769</v>
      </c>
      <c r="H118">
        <v>55.524624621868128</v>
      </c>
      <c r="I118">
        <v>55.482964815804728</v>
      </c>
      <c r="J118">
        <v>55.541624749125923</v>
      </c>
      <c r="K118">
        <v>55.529484652355308</v>
      </c>
    </row>
    <row r="119" spans="1:11" x14ac:dyDescent="0.45">
      <c r="A119">
        <v>8</v>
      </c>
      <c r="B119" t="s">
        <v>121</v>
      </c>
      <c r="C119" t="s">
        <v>60</v>
      </c>
      <c r="D119" t="s">
        <v>61</v>
      </c>
      <c r="E119" s="4">
        <v>0</v>
      </c>
      <c r="F119">
        <v>2117.983559005801</v>
      </c>
      <c r="G119">
        <v>55.379765348602078</v>
      </c>
      <c r="H119">
        <v>55.62504447880201</v>
      </c>
      <c r="I119">
        <v>55.780662181600931</v>
      </c>
      <c r="J119">
        <v>55.657120690634471</v>
      </c>
      <c r="K119">
        <v>55.32661248669028</v>
      </c>
    </row>
    <row r="120" spans="1:11" x14ac:dyDescent="0.45">
      <c r="A120">
        <v>8</v>
      </c>
      <c r="B120" t="s">
        <v>122</v>
      </c>
      <c r="C120" t="s">
        <v>60</v>
      </c>
      <c r="D120" t="s">
        <v>61</v>
      </c>
      <c r="E120" s="4">
        <v>1</v>
      </c>
      <c r="F120">
        <v>2158.3032065336588</v>
      </c>
      <c r="G120">
        <v>55.904524369351563</v>
      </c>
      <c r="H120">
        <v>55.952414025133479</v>
      </c>
      <c r="I120">
        <v>55.699066055146979</v>
      </c>
      <c r="J120">
        <v>55.832576513430112</v>
      </c>
      <c r="K120">
        <v>55.744315328774967</v>
      </c>
    </row>
    <row r="121" spans="1:11" x14ac:dyDescent="0.45">
      <c r="A121">
        <v>8</v>
      </c>
      <c r="B121" t="s">
        <v>123</v>
      </c>
      <c r="C121" t="s">
        <v>60</v>
      </c>
      <c r="D121" t="s">
        <v>61</v>
      </c>
      <c r="E121" s="4">
        <v>0</v>
      </c>
      <c r="F121">
        <v>2112.4765660281291</v>
      </c>
      <c r="G121">
        <v>55.379854512168087</v>
      </c>
      <c r="H121">
        <v>55.441168604698028</v>
      </c>
      <c r="I121">
        <v>55.436662423983208</v>
      </c>
      <c r="J121">
        <v>55.403844902198763</v>
      </c>
      <c r="K121">
        <v>55.109144209418453</v>
      </c>
    </row>
    <row r="122" spans="1:11" x14ac:dyDescent="0.45">
      <c r="A122">
        <v>8</v>
      </c>
      <c r="B122" t="s">
        <v>124</v>
      </c>
      <c r="C122" t="s">
        <v>60</v>
      </c>
      <c r="D122" t="s">
        <v>61</v>
      </c>
      <c r="E122" s="4">
        <v>0</v>
      </c>
      <c r="F122">
        <v>2124.7103461093729</v>
      </c>
      <c r="G122">
        <v>55.415295813605191</v>
      </c>
      <c r="H122">
        <v>55.540029524639252</v>
      </c>
      <c r="I122">
        <v>55.580926774768159</v>
      </c>
      <c r="J122">
        <v>55.543889713240787</v>
      </c>
      <c r="K122">
        <v>55.34271600181237</v>
      </c>
    </row>
    <row r="123" spans="1:11" x14ac:dyDescent="0.45">
      <c r="A123">
        <v>9</v>
      </c>
      <c r="B123" t="s">
        <v>125</v>
      </c>
      <c r="C123" t="s">
        <v>60</v>
      </c>
      <c r="D123" t="s">
        <v>61</v>
      </c>
      <c r="E123" s="4">
        <v>0</v>
      </c>
      <c r="F123">
        <v>2217.9506657904012</v>
      </c>
      <c r="G123">
        <v>2.7145081844180821</v>
      </c>
      <c r="H123">
        <v>2.7492688300553709</v>
      </c>
      <c r="I123">
        <v>2.7450178074184799</v>
      </c>
      <c r="J123">
        <v>2.7478382050525401</v>
      </c>
      <c r="K123">
        <v>2.7405037511605772</v>
      </c>
    </row>
    <row r="124" spans="1:11" x14ac:dyDescent="0.45">
      <c r="A124">
        <v>9</v>
      </c>
      <c r="B124" t="s">
        <v>126</v>
      </c>
      <c r="C124" t="s">
        <v>60</v>
      </c>
      <c r="D124" t="s">
        <v>61</v>
      </c>
      <c r="E124" s="4">
        <v>0</v>
      </c>
      <c r="F124">
        <v>2168.2480361254879</v>
      </c>
      <c r="G124">
        <v>2.7413826480507848</v>
      </c>
      <c r="H124">
        <v>2.7528948087710892</v>
      </c>
      <c r="I124">
        <v>2.74812452797778</v>
      </c>
      <c r="J124">
        <v>2.7788075062446298</v>
      </c>
      <c r="K124">
        <v>2.745556110516191</v>
      </c>
    </row>
    <row r="125" spans="1:11" x14ac:dyDescent="0.45">
      <c r="A125">
        <v>9</v>
      </c>
      <c r="B125" t="s">
        <v>127</v>
      </c>
      <c r="C125" t="s">
        <v>60</v>
      </c>
      <c r="D125" t="s">
        <v>61</v>
      </c>
      <c r="E125" s="4">
        <v>1</v>
      </c>
      <c r="F125">
        <v>1979.7584147294051</v>
      </c>
      <c r="G125">
        <v>2.7557776773814111</v>
      </c>
      <c r="H125">
        <v>2.7360781856346881</v>
      </c>
      <c r="I125">
        <v>2.7376760648097842</v>
      </c>
      <c r="J125">
        <v>2.71576328878291</v>
      </c>
      <c r="K125">
        <v>2.7347435072064399</v>
      </c>
    </row>
    <row r="126" spans="1:11" x14ac:dyDescent="0.45">
      <c r="A126">
        <v>9</v>
      </c>
      <c r="B126" t="s">
        <v>128</v>
      </c>
      <c r="C126" t="s">
        <v>60</v>
      </c>
      <c r="D126" t="s">
        <v>61</v>
      </c>
      <c r="E126" s="4">
        <v>0</v>
      </c>
      <c r="F126">
        <v>2000.01274465858</v>
      </c>
      <c r="G126">
        <v>2.7642084226477892</v>
      </c>
      <c r="H126">
        <v>2.755144308181479</v>
      </c>
      <c r="I126">
        <v>2.7444891327526419</v>
      </c>
      <c r="J126">
        <v>2.745625236677006</v>
      </c>
      <c r="K126">
        <v>2.733886868692935</v>
      </c>
    </row>
    <row r="127" spans="1:11" x14ac:dyDescent="0.45">
      <c r="A127">
        <v>9</v>
      </c>
      <c r="B127" t="s">
        <v>129</v>
      </c>
      <c r="C127" t="s">
        <v>60</v>
      </c>
      <c r="D127" t="s">
        <v>61</v>
      </c>
      <c r="E127" s="4">
        <v>0</v>
      </c>
      <c r="F127">
        <v>2001.8068739879409</v>
      </c>
      <c r="G127">
        <v>2.7530476558953518</v>
      </c>
      <c r="H127">
        <v>2.741137186810374</v>
      </c>
      <c r="I127">
        <v>2.7489536841865632</v>
      </c>
      <c r="J127">
        <v>2.7408857971895491</v>
      </c>
      <c r="K127">
        <v>2.7477678807917978</v>
      </c>
    </row>
    <row r="128" spans="1:11" x14ac:dyDescent="0.45">
      <c r="A128">
        <v>9</v>
      </c>
      <c r="B128" t="s">
        <v>130</v>
      </c>
      <c r="C128" t="s">
        <v>60</v>
      </c>
      <c r="D128" t="s">
        <v>61</v>
      </c>
      <c r="E128" s="4">
        <v>1</v>
      </c>
      <c r="F128">
        <v>1975.6577169730331</v>
      </c>
      <c r="G128">
        <v>2.7321512128226462</v>
      </c>
      <c r="H128">
        <v>2.7888844396453352</v>
      </c>
      <c r="I128">
        <v>2.7412620227783919</v>
      </c>
      <c r="J128">
        <v>2.7426609925925729</v>
      </c>
      <c r="K128">
        <v>2.7346450057346372</v>
      </c>
    </row>
    <row r="129" spans="1:11" x14ac:dyDescent="0.45">
      <c r="A129">
        <v>9</v>
      </c>
      <c r="B129" t="s">
        <v>131</v>
      </c>
      <c r="C129" t="s">
        <v>60</v>
      </c>
      <c r="D129" t="s">
        <v>61</v>
      </c>
      <c r="E129" s="4">
        <v>0</v>
      </c>
      <c r="F129">
        <v>1978.095528209815</v>
      </c>
      <c r="G129">
        <v>2.7241939708124852</v>
      </c>
      <c r="H129">
        <v>2.771240336215123</v>
      </c>
      <c r="I129">
        <v>2.7333800942171371</v>
      </c>
      <c r="J129">
        <v>2.7471202142070981</v>
      </c>
      <c r="K129">
        <v>2.7386064060032371</v>
      </c>
    </row>
    <row r="130" spans="1:11" x14ac:dyDescent="0.45">
      <c r="A130">
        <v>9</v>
      </c>
      <c r="B130" t="s">
        <v>132</v>
      </c>
      <c r="C130" t="s">
        <v>60</v>
      </c>
      <c r="D130" t="s">
        <v>61</v>
      </c>
      <c r="E130" s="4">
        <v>0</v>
      </c>
      <c r="F130">
        <v>1975.8969917178149</v>
      </c>
      <c r="G130">
        <v>2.7813691739924251</v>
      </c>
      <c r="H130">
        <v>2.759317142795771</v>
      </c>
      <c r="I130">
        <v>2.7738697852008039</v>
      </c>
      <c r="J130">
        <v>2.7577065220568331</v>
      </c>
      <c r="K130">
        <v>2.7680488591548049</v>
      </c>
    </row>
    <row r="131" spans="1:11" x14ac:dyDescent="0.45">
      <c r="A131">
        <v>10</v>
      </c>
      <c r="B131" t="s">
        <v>133</v>
      </c>
      <c r="C131" t="s">
        <v>60</v>
      </c>
      <c r="D131" t="s">
        <v>61</v>
      </c>
      <c r="E131" s="4">
        <v>0</v>
      </c>
      <c r="F131">
        <v>72.394578142836693</v>
      </c>
      <c r="G131">
        <v>0.10740500739775601</v>
      </c>
      <c r="H131">
        <v>0.1041218337602913</v>
      </c>
      <c r="I131">
        <v>0.1030948504339904</v>
      </c>
      <c r="J131">
        <v>0.1042225130833685</v>
      </c>
      <c r="K131">
        <v>0.1030845830217004</v>
      </c>
    </row>
    <row r="132" spans="1:11" x14ac:dyDescent="0.45">
      <c r="A132">
        <v>10</v>
      </c>
      <c r="B132" t="s">
        <v>134</v>
      </c>
      <c r="C132" t="s">
        <v>60</v>
      </c>
      <c r="D132" t="s">
        <v>61</v>
      </c>
      <c r="E132" s="4">
        <v>0</v>
      </c>
      <c r="F132">
        <v>75.140342340944329</v>
      </c>
      <c r="G132">
        <v>0.10616318443790081</v>
      </c>
      <c r="H132">
        <v>0.1032432025764138</v>
      </c>
      <c r="I132">
        <v>0.1024471416138113</v>
      </c>
      <c r="J132">
        <v>0.1033887377940118</v>
      </c>
      <c r="K132">
        <v>0.1028286766260862</v>
      </c>
    </row>
    <row r="133" spans="1:11" x14ac:dyDescent="0.45">
      <c r="A133">
        <v>10</v>
      </c>
      <c r="B133" t="s">
        <v>135</v>
      </c>
      <c r="C133" t="s">
        <v>60</v>
      </c>
      <c r="D133" t="s">
        <v>61</v>
      </c>
      <c r="E133" s="4">
        <v>0</v>
      </c>
      <c r="F133">
        <v>68.922681245999414</v>
      </c>
      <c r="G133">
        <v>0.107864206796512</v>
      </c>
      <c r="H133">
        <v>0.1042773921508342</v>
      </c>
      <c r="I133">
        <v>0.1032242398709059</v>
      </c>
      <c r="J133">
        <v>0.1039668320212513</v>
      </c>
      <c r="K133">
        <v>0.10300954654812811</v>
      </c>
    </row>
    <row r="134" spans="1:11" x14ac:dyDescent="0.45">
      <c r="A134">
        <v>10</v>
      </c>
      <c r="B134" t="s">
        <v>136</v>
      </c>
      <c r="C134" t="s">
        <v>60</v>
      </c>
      <c r="D134" t="s">
        <v>61</v>
      </c>
      <c r="E134" s="4">
        <v>1</v>
      </c>
      <c r="F134">
        <v>74.517062141187495</v>
      </c>
      <c r="G134">
        <v>0.1067993905395269</v>
      </c>
      <c r="H134">
        <v>0.10424157893285151</v>
      </c>
      <c r="I134">
        <v>0.10299997660331429</v>
      </c>
      <c r="J134">
        <v>0.10395045583136379</v>
      </c>
      <c r="K134">
        <v>0.10330063798464829</v>
      </c>
    </row>
    <row r="135" spans="1:11" x14ac:dyDescent="0.45">
      <c r="A135">
        <v>10</v>
      </c>
      <c r="B135" t="s">
        <v>137</v>
      </c>
      <c r="C135" t="s">
        <v>60</v>
      </c>
      <c r="D135" t="s">
        <v>61</v>
      </c>
      <c r="E135" s="4">
        <v>1</v>
      </c>
      <c r="F135">
        <v>74.669696438405666</v>
      </c>
      <c r="G135">
        <v>0.104450371209532</v>
      </c>
      <c r="H135">
        <v>0.1016905036289245</v>
      </c>
      <c r="I135">
        <v>0.10029545938596129</v>
      </c>
      <c r="J135">
        <v>0.1013153586536646</v>
      </c>
      <c r="K135">
        <v>0.10042722262442109</v>
      </c>
    </row>
    <row r="136" spans="1:11" x14ac:dyDescent="0.45">
      <c r="A136">
        <v>10</v>
      </c>
      <c r="B136" t="s">
        <v>138</v>
      </c>
      <c r="C136" t="s">
        <v>60</v>
      </c>
      <c r="D136" t="s">
        <v>61</v>
      </c>
      <c r="E136" s="4">
        <v>0</v>
      </c>
      <c r="F136">
        <v>80.429014953831214</v>
      </c>
      <c r="G136">
        <v>0.106359091354534</v>
      </c>
      <c r="H136">
        <v>0.1036312679760158</v>
      </c>
      <c r="I136">
        <v>0.1019178262446076</v>
      </c>
      <c r="J136">
        <v>0.1031340654473752</v>
      </c>
      <c r="K136">
        <v>0.1026434725616127</v>
      </c>
    </row>
    <row r="137" spans="1:11" x14ac:dyDescent="0.45">
      <c r="A137">
        <v>10</v>
      </c>
      <c r="B137" t="s">
        <v>139</v>
      </c>
      <c r="C137" t="s">
        <v>60</v>
      </c>
      <c r="D137" t="s">
        <v>61</v>
      </c>
      <c r="E137" s="4">
        <v>0</v>
      </c>
      <c r="F137">
        <v>77.17877114424482</v>
      </c>
      <c r="G137">
        <v>0.10740566104650499</v>
      </c>
      <c r="H137">
        <v>0.1052663122303784</v>
      </c>
      <c r="I137">
        <v>0.10419668061658741</v>
      </c>
      <c r="J137">
        <v>0.10572151597589249</v>
      </c>
      <c r="K137">
        <v>0.1051730264443904</v>
      </c>
    </row>
    <row r="138" spans="1:11" x14ac:dyDescent="0.45">
      <c r="A138">
        <v>10</v>
      </c>
      <c r="B138" t="s">
        <v>140</v>
      </c>
      <c r="C138" t="s">
        <v>60</v>
      </c>
      <c r="D138" t="s">
        <v>61</v>
      </c>
      <c r="E138" s="4">
        <v>0</v>
      </c>
      <c r="F138">
        <v>78.648146494850522</v>
      </c>
      <c r="G138">
        <v>0.107073360402137</v>
      </c>
      <c r="H138">
        <v>0.1030687511898577</v>
      </c>
      <c r="I138">
        <v>0.1028684169985354</v>
      </c>
      <c r="J138">
        <v>0.1028609390370548</v>
      </c>
      <c r="K138">
        <v>0.1030330980662257</v>
      </c>
    </row>
    <row r="139" spans="1:11" x14ac:dyDescent="0.45">
      <c r="A139">
        <v>11</v>
      </c>
      <c r="B139" t="s">
        <v>141</v>
      </c>
      <c r="C139" t="s">
        <v>60</v>
      </c>
      <c r="D139" t="s">
        <v>61</v>
      </c>
      <c r="E139" s="4">
        <v>1</v>
      </c>
      <c r="F139">
        <v>621.19302383852187</v>
      </c>
      <c r="G139">
        <v>9.3849168049637228</v>
      </c>
      <c r="H139">
        <v>9.4594605316407971</v>
      </c>
      <c r="I139">
        <v>9.4328392672352486</v>
      </c>
      <c r="J139">
        <v>9.4345398978330195</v>
      </c>
      <c r="K139">
        <v>9.4313428787514564</v>
      </c>
    </row>
    <row r="140" spans="1:11" x14ac:dyDescent="0.45">
      <c r="A140">
        <v>11</v>
      </c>
      <c r="B140" t="s">
        <v>142</v>
      </c>
      <c r="C140" t="s">
        <v>60</v>
      </c>
      <c r="D140" t="s">
        <v>61</v>
      </c>
      <c r="E140" s="4">
        <v>0</v>
      </c>
      <c r="F140">
        <v>620.74306909716688</v>
      </c>
      <c r="G140">
        <v>9.460988255450502</v>
      </c>
      <c r="H140">
        <v>9.4923358263913542</v>
      </c>
      <c r="I140">
        <v>9.4925447312183682</v>
      </c>
      <c r="J140">
        <v>9.5212993062566973</v>
      </c>
      <c r="K140">
        <v>9.4611818093806512</v>
      </c>
    </row>
    <row r="141" spans="1:11" x14ac:dyDescent="0.45">
      <c r="A141">
        <v>11</v>
      </c>
      <c r="B141" t="s">
        <v>143</v>
      </c>
      <c r="C141" t="s">
        <v>60</v>
      </c>
      <c r="D141" t="s">
        <v>61</v>
      </c>
      <c r="E141" s="4">
        <v>0</v>
      </c>
      <c r="F141">
        <v>615.98790016779674</v>
      </c>
      <c r="G141">
        <v>9.3497859083581716</v>
      </c>
      <c r="H141">
        <v>9.420965255424381</v>
      </c>
      <c r="I141">
        <v>9.4215795879717916</v>
      </c>
      <c r="J141">
        <v>9.4687940692063428</v>
      </c>
      <c r="K141">
        <v>9.3503724219743169</v>
      </c>
    </row>
    <row r="142" spans="1:11" x14ac:dyDescent="0.45">
      <c r="A142">
        <v>11</v>
      </c>
      <c r="B142" t="s">
        <v>144</v>
      </c>
      <c r="C142" t="s">
        <v>60</v>
      </c>
      <c r="D142" t="s">
        <v>61</v>
      </c>
      <c r="E142" s="4">
        <v>1</v>
      </c>
      <c r="F142">
        <v>614.05975575535558</v>
      </c>
      <c r="G142">
        <v>9.3526802089530978</v>
      </c>
      <c r="H142">
        <v>9.4442292919848114</v>
      </c>
      <c r="I142">
        <v>9.4115027551073585</v>
      </c>
      <c r="J142">
        <v>9.4145235446281728</v>
      </c>
      <c r="K142">
        <v>9.4073665639851249</v>
      </c>
    </row>
    <row r="143" spans="1:11" x14ac:dyDescent="0.45">
      <c r="A143">
        <v>11</v>
      </c>
      <c r="B143" t="s">
        <v>145</v>
      </c>
      <c r="C143" t="s">
        <v>60</v>
      </c>
      <c r="D143" t="s">
        <v>61</v>
      </c>
      <c r="E143" s="4">
        <v>0</v>
      </c>
      <c r="F143">
        <v>634.65724299363796</v>
      </c>
      <c r="G143">
        <v>25.14514889726415</v>
      </c>
      <c r="H143">
        <v>25.19625964695588</v>
      </c>
      <c r="I143">
        <v>25.076702474383641</v>
      </c>
      <c r="J143">
        <v>25.139540267223492</v>
      </c>
      <c r="K143">
        <v>25.137761257169771</v>
      </c>
    </row>
    <row r="144" spans="1:11" x14ac:dyDescent="0.45">
      <c r="A144">
        <v>11</v>
      </c>
      <c r="B144" t="s">
        <v>146</v>
      </c>
      <c r="C144" t="s">
        <v>60</v>
      </c>
      <c r="D144" t="s">
        <v>61</v>
      </c>
      <c r="E144" s="4">
        <v>0</v>
      </c>
      <c r="F144">
        <v>570.45959555008449</v>
      </c>
      <c r="G144">
        <v>24.88590951068327</v>
      </c>
      <c r="H144">
        <v>25.068416216364131</v>
      </c>
      <c r="I144">
        <v>25.02268778397702</v>
      </c>
      <c r="J144">
        <v>24.960966850165281</v>
      </c>
      <c r="K144">
        <v>24.816892843041568</v>
      </c>
    </row>
    <row r="145" spans="1:11" x14ac:dyDescent="0.45">
      <c r="A145">
        <v>11</v>
      </c>
      <c r="B145" t="s">
        <v>147</v>
      </c>
      <c r="C145" t="s">
        <v>60</v>
      </c>
      <c r="D145" t="s">
        <v>61</v>
      </c>
      <c r="E145" s="4">
        <v>0</v>
      </c>
      <c r="F145">
        <v>646.87704774877056</v>
      </c>
      <c r="G145">
        <v>25.111611850559711</v>
      </c>
      <c r="H145">
        <v>25.244063056400041</v>
      </c>
      <c r="I145">
        <v>24.9211612842977</v>
      </c>
      <c r="J145">
        <v>24.831799877574671</v>
      </c>
      <c r="K145">
        <v>24.858018419658769</v>
      </c>
    </row>
    <row r="146" spans="1:11" x14ac:dyDescent="0.45">
      <c r="A146">
        <v>11</v>
      </c>
      <c r="B146" t="s">
        <v>148</v>
      </c>
      <c r="C146" t="s">
        <v>60</v>
      </c>
      <c r="D146" t="s">
        <v>61</v>
      </c>
      <c r="E146" s="4">
        <v>1</v>
      </c>
      <c r="F146">
        <v>631.75025034374562</v>
      </c>
      <c r="G146">
        <v>25.066410170309251</v>
      </c>
      <c r="H146">
        <v>25.264339777221899</v>
      </c>
      <c r="I146">
        <v>25.25859681274742</v>
      </c>
      <c r="J146">
        <v>25.204050396196539</v>
      </c>
      <c r="K146">
        <v>24.99993094420061</v>
      </c>
    </row>
    <row r="147" spans="1:11" x14ac:dyDescent="0.45">
      <c r="A147">
        <v>11</v>
      </c>
      <c r="B147" t="s">
        <v>149</v>
      </c>
      <c r="C147" t="s">
        <v>60</v>
      </c>
      <c r="D147" t="s">
        <v>61</v>
      </c>
      <c r="E147" s="4">
        <v>1</v>
      </c>
      <c r="F147">
        <v>569.5284787271637</v>
      </c>
      <c r="G147">
        <v>24.821861245809121</v>
      </c>
      <c r="H147">
        <v>25.012647141376512</v>
      </c>
      <c r="I147">
        <v>24.876923475135118</v>
      </c>
      <c r="J147">
        <v>24.876512551866469</v>
      </c>
      <c r="K147">
        <v>24.855100932810451</v>
      </c>
    </row>
    <row r="148" spans="1:11" x14ac:dyDescent="0.45">
      <c r="A148">
        <v>11</v>
      </c>
      <c r="B148" t="s">
        <v>150</v>
      </c>
      <c r="C148" t="s">
        <v>60</v>
      </c>
      <c r="D148" t="s">
        <v>61</v>
      </c>
      <c r="E148" s="4">
        <v>0</v>
      </c>
      <c r="F148">
        <v>611.252544196602</v>
      </c>
      <c r="G148">
        <v>24.99168970375322</v>
      </c>
      <c r="H148">
        <v>25.15283439899795</v>
      </c>
      <c r="I148">
        <v>25.093429831089448</v>
      </c>
      <c r="J148">
        <v>25.04733336884528</v>
      </c>
      <c r="K148">
        <v>24.800206984020772</v>
      </c>
    </row>
    <row r="149" spans="1:11" x14ac:dyDescent="0.45">
      <c r="A149">
        <v>11</v>
      </c>
      <c r="B149" t="s">
        <v>151</v>
      </c>
      <c r="C149" t="s">
        <v>60</v>
      </c>
      <c r="D149" t="s">
        <v>61</v>
      </c>
      <c r="E149" s="4">
        <v>0</v>
      </c>
      <c r="F149">
        <v>644.40152637655842</v>
      </c>
      <c r="G149">
        <v>24.790946039650589</v>
      </c>
      <c r="H149">
        <v>24.927765651140358</v>
      </c>
      <c r="I149">
        <v>24.822348748426879</v>
      </c>
      <c r="J149">
        <v>24.83233490283601</v>
      </c>
      <c r="K149">
        <v>24.618350029969591</v>
      </c>
    </row>
    <row r="150" spans="1:11" x14ac:dyDescent="0.45">
      <c r="A150">
        <v>11</v>
      </c>
      <c r="B150" t="s">
        <v>152</v>
      </c>
      <c r="C150" t="s">
        <v>60</v>
      </c>
      <c r="D150" t="s">
        <v>61</v>
      </c>
      <c r="E150" s="4">
        <v>0</v>
      </c>
      <c r="F150">
        <v>637.33026627125219</v>
      </c>
      <c r="G150">
        <v>25.046924059186129</v>
      </c>
      <c r="H150">
        <v>25.373449613759291</v>
      </c>
      <c r="I150">
        <v>24.732129202457141</v>
      </c>
      <c r="J150">
        <v>25.091023257654161</v>
      </c>
      <c r="K150">
        <v>25.04988603023812</v>
      </c>
    </row>
    <row r="151" spans="1:11" x14ac:dyDescent="0.45">
      <c r="A151">
        <v>12</v>
      </c>
      <c r="B151" t="s">
        <v>153</v>
      </c>
      <c r="C151" t="s">
        <v>60</v>
      </c>
      <c r="D151" t="s">
        <v>61</v>
      </c>
      <c r="E151" s="4">
        <v>1</v>
      </c>
      <c r="F151">
        <v>378.61196380043401</v>
      </c>
      <c r="G151">
        <v>0.77053727400489147</v>
      </c>
      <c r="H151">
        <v>0.77637996813282373</v>
      </c>
      <c r="I151">
        <v>0.77204374503344297</v>
      </c>
      <c r="J151">
        <v>0.77537830304354427</v>
      </c>
      <c r="K151">
        <v>0.77132530906237662</v>
      </c>
    </row>
    <row r="152" spans="1:11" x14ac:dyDescent="0.45">
      <c r="A152">
        <v>12</v>
      </c>
      <c r="B152" t="s">
        <v>154</v>
      </c>
      <c r="C152" t="s">
        <v>60</v>
      </c>
      <c r="D152" t="s">
        <v>61</v>
      </c>
      <c r="E152" s="4">
        <v>0</v>
      </c>
      <c r="F152">
        <v>354.71517801959999</v>
      </c>
      <c r="G152">
        <v>0.7731984621379524</v>
      </c>
      <c r="H152">
        <v>0.77529372782446448</v>
      </c>
      <c r="I152">
        <v>0.77140166200697424</v>
      </c>
      <c r="J152">
        <v>0.8330767545383424</v>
      </c>
      <c r="K152">
        <v>0.76786580076441169</v>
      </c>
    </row>
    <row r="153" spans="1:11" x14ac:dyDescent="0.45">
      <c r="A153">
        <v>12</v>
      </c>
      <c r="B153" t="s">
        <v>155</v>
      </c>
      <c r="C153" t="s">
        <v>60</v>
      </c>
      <c r="D153" t="s">
        <v>61</v>
      </c>
      <c r="E153" s="4">
        <v>0</v>
      </c>
      <c r="F153">
        <v>364.64862706917341</v>
      </c>
      <c r="G153">
        <v>0.76487984918057916</v>
      </c>
      <c r="H153">
        <v>0.76048506130464377</v>
      </c>
      <c r="I153">
        <v>0.8290729986038059</v>
      </c>
      <c r="J153">
        <v>0.75647953785955901</v>
      </c>
      <c r="K153">
        <v>0.75745269376784563</v>
      </c>
    </row>
    <row r="154" spans="1:11" x14ac:dyDescent="0.45">
      <c r="A154">
        <v>12</v>
      </c>
      <c r="B154" t="s">
        <v>156</v>
      </c>
      <c r="C154" t="s">
        <v>60</v>
      </c>
      <c r="D154" t="s">
        <v>61</v>
      </c>
      <c r="E154" s="4">
        <v>1</v>
      </c>
      <c r="F154">
        <v>374.74077054741792</v>
      </c>
      <c r="G154">
        <v>0.78153712279163301</v>
      </c>
      <c r="H154">
        <v>0.78090687501244249</v>
      </c>
      <c r="I154">
        <v>0.83331094598397615</v>
      </c>
      <c r="J154">
        <v>0.77288242238573734</v>
      </c>
      <c r="K154">
        <v>0.77642538286745544</v>
      </c>
    </row>
    <row r="155" spans="1:11" x14ac:dyDescent="0.45">
      <c r="A155">
        <v>12</v>
      </c>
      <c r="B155" t="s">
        <v>157</v>
      </c>
      <c r="C155" t="s">
        <v>60</v>
      </c>
      <c r="D155" t="s">
        <v>61</v>
      </c>
      <c r="E155" s="4">
        <v>0</v>
      </c>
      <c r="F155">
        <v>327.86172940898689</v>
      </c>
      <c r="G155">
        <v>1.8775961901992559</v>
      </c>
      <c r="H155">
        <v>1.8883386253379291</v>
      </c>
      <c r="I155">
        <v>1.8763440707232799</v>
      </c>
      <c r="J155">
        <v>1.933333155792206</v>
      </c>
      <c r="K155">
        <v>1.8744755972642451</v>
      </c>
    </row>
    <row r="156" spans="1:11" x14ac:dyDescent="0.45">
      <c r="A156">
        <v>12</v>
      </c>
      <c r="B156" t="s">
        <v>158</v>
      </c>
      <c r="C156" t="s">
        <v>60</v>
      </c>
      <c r="D156" t="s">
        <v>61</v>
      </c>
      <c r="E156" s="4">
        <v>0</v>
      </c>
      <c r="F156">
        <v>370.94047717601057</v>
      </c>
      <c r="G156">
        <v>1.9608284668531271</v>
      </c>
      <c r="H156">
        <v>1.898349068826064</v>
      </c>
      <c r="I156">
        <v>1.9006609705276789</v>
      </c>
      <c r="J156">
        <v>1.880920400377363</v>
      </c>
      <c r="K156">
        <v>1.9118938693311061</v>
      </c>
    </row>
    <row r="157" spans="1:11" x14ac:dyDescent="0.45">
      <c r="A157">
        <v>12</v>
      </c>
      <c r="B157" t="s">
        <v>159</v>
      </c>
      <c r="C157" t="s">
        <v>60</v>
      </c>
      <c r="D157" t="s">
        <v>61</v>
      </c>
      <c r="E157" s="4">
        <v>0</v>
      </c>
      <c r="F157">
        <v>370.38473131065263</v>
      </c>
      <c r="G157">
        <v>1.924886260833591</v>
      </c>
      <c r="H157">
        <v>1.868430894799531</v>
      </c>
      <c r="I157">
        <v>1.87428201935254</v>
      </c>
      <c r="J157">
        <v>1.8688203860074279</v>
      </c>
      <c r="K157">
        <v>1.9222090917173771</v>
      </c>
    </row>
    <row r="158" spans="1:11" x14ac:dyDescent="0.45">
      <c r="A158">
        <v>12</v>
      </c>
      <c r="B158" t="s">
        <v>160</v>
      </c>
      <c r="C158" t="s">
        <v>60</v>
      </c>
      <c r="D158" t="s">
        <v>61</v>
      </c>
      <c r="E158" s="4">
        <v>1</v>
      </c>
      <c r="F158">
        <v>323.94365128269419</v>
      </c>
      <c r="G158">
        <v>1.890058105438948</v>
      </c>
      <c r="H158">
        <v>1.8933379075955601</v>
      </c>
      <c r="I158">
        <v>1.884443034837022</v>
      </c>
      <c r="J158">
        <v>1.8930788647849111</v>
      </c>
      <c r="K158">
        <v>1.9296134959906339</v>
      </c>
    </row>
    <row r="159" spans="1:11" x14ac:dyDescent="0.45">
      <c r="A159">
        <v>12</v>
      </c>
      <c r="B159" t="s">
        <v>161</v>
      </c>
      <c r="C159" t="s">
        <v>60</v>
      </c>
      <c r="D159" t="s">
        <v>61</v>
      </c>
      <c r="E159" s="4">
        <v>1</v>
      </c>
      <c r="F159">
        <v>358.0191276108846</v>
      </c>
      <c r="G159">
        <v>1.9571232194546611</v>
      </c>
      <c r="H159">
        <v>1.873071715468541</v>
      </c>
      <c r="I159">
        <v>1.8746387782506639</v>
      </c>
      <c r="J159">
        <v>1.8733737252186979</v>
      </c>
      <c r="K159">
        <v>1.9297395583707839</v>
      </c>
    </row>
    <row r="160" spans="1:11" x14ac:dyDescent="0.45">
      <c r="A160">
        <v>12</v>
      </c>
      <c r="B160" t="s">
        <v>162</v>
      </c>
      <c r="C160" t="s">
        <v>60</v>
      </c>
      <c r="D160" t="s">
        <v>61</v>
      </c>
      <c r="E160" s="4">
        <v>0</v>
      </c>
      <c r="F160">
        <v>359.55922111598773</v>
      </c>
      <c r="G160">
        <v>1.9866675761062651</v>
      </c>
      <c r="H160">
        <v>1.910715179424733</v>
      </c>
      <c r="I160">
        <v>1.916793190175667</v>
      </c>
      <c r="J160">
        <v>1.909152598585933</v>
      </c>
      <c r="K160">
        <v>1.9641987405717369</v>
      </c>
    </row>
    <row r="161" spans="1:11" x14ac:dyDescent="0.45">
      <c r="A161">
        <v>12</v>
      </c>
      <c r="B161" t="s">
        <v>163</v>
      </c>
      <c r="C161" t="s">
        <v>60</v>
      </c>
      <c r="D161" t="s">
        <v>61</v>
      </c>
      <c r="E161" s="4">
        <v>0</v>
      </c>
      <c r="F161">
        <v>339.8790019882843</v>
      </c>
      <c r="G161">
        <v>1.932534676371142</v>
      </c>
      <c r="H161">
        <v>1.874688234366477</v>
      </c>
      <c r="I161">
        <v>1.8822752184234559</v>
      </c>
      <c r="J161">
        <v>1.8755558806471531</v>
      </c>
      <c r="K161">
        <v>1.919601474795491</v>
      </c>
    </row>
    <row r="162" spans="1:11" x14ac:dyDescent="0.45">
      <c r="A162">
        <v>12</v>
      </c>
      <c r="B162" t="s">
        <v>164</v>
      </c>
      <c r="C162" t="s">
        <v>60</v>
      </c>
      <c r="D162" t="s">
        <v>61</v>
      </c>
      <c r="E162" s="4">
        <v>0</v>
      </c>
      <c r="F162">
        <v>323.53292411300362</v>
      </c>
      <c r="G162">
        <v>1.890694966632873</v>
      </c>
      <c r="H162">
        <v>1.9041435159277169</v>
      </c>
      <c r="I162">
        <v>1.8968413320370019</v>
      </c>
      <c r="J162">
        <v>1.9363079367671161</v>
      </c>
      <c r="K162">
        <v>1.881445601629093</v>
      </c>
    </row>
    <row r="165" spans="1:11" x14ac:dyDescent="0.45">
      <c r="F165" s="3" t="s">
        <v>165</v>
      </c>
      <c r="G165" s="3" t="s">
        <v>166</v>
      </c>
      <c r="H165" s="3" t="s">
        <v>167</v>
      </c>
      <c r="I165" s="3" t="s">
        <v>168</v>
      </c>
      <c r="J165" s="3" t="s">
        <v>169</v>
      </c>
      <c r="K165" s="6" t="s">
        <v>173</v>
      </c>
    </row>
    <row r="166" spans="1:11" x14ac:dyDescent="0.45">
      <c r="E166" s="1" t="s">
        <v>170</v>
      </c>
      <c r="F166">
        <f>AVERAGEIF($E$3:$E$162, "=1", F3:F162)</f>
        <v>499.45435701471416</v>
      </c>
      <c r="G166">
        <f t="shared" ref="G166:K166" si="0">AVERAGEIF($E$3:$E$162, "=1", G3:G162)</f>
        <v>6.5133273881786558</v>
      </c>
      <c r="H166">
        <f t="shared" si="0"/>
        <v>6.5253467391955819</v>
      </c>
      <c r="I166">
        <f t="shared" si="0"/>
        <v>6.5056062775235137</v>
      </c>
      <c r="J166">
        <f t="shared" si="0"/>
        <v>6.5202046879469178</v>
      </c>
      <c r="K166">
        <f t="shared" si="0"/>
        <v>6.4987004749207316</v>
      </c>
    </row>
    <row r="167" spans="1:11" x14ac:dyDescent="0.45">
      <c r="E167" s="1" t="s">
        <v>171</v>
      </c>
      <c r="F167" cm="1">
        <f t="array" ref="F167">MEDIAN(_xlfn._xlws.FILTER(F3:F162, $E$3:$E$162=1))</f>
        <v>433.79509306193791</v>
      </c>
      <c r="G167" cm="1">
        <f t="array" ref="G167">MEDIAN(_xlfn._xlws.FILTER(G3:G162, $E$3:$E$162=1))</f>
        <v>0.48720967068802568</v>
      </c>
      <c r="H167" cm="1">
        <f t="array" ref="H167">MEDIAN(_xlfn._xlws.FILTER(H3:H162, $E$3:$E$162=1))</f>
        <v>0.48339555768761788</v>
      </c>
      <c r="I167" cm="1">
        <f t="array" ref="I167">MEDIAN(_xlfn._xlws.FILTER(I3:I162, $E$3:$E$162=1))</f>
        <v>0.48305846997536717</v>
      </c>
      <c r="J167" cm="1">
        <f t="array" ref="J167">MEDIAN(_xlfn._xlws.FILTER(J3:J162, $E$3:$E$162=1))</f>
        <v>0.5522648689802736</v>
      </c>
      <c r="K167" cm="1">
        <f t="array" ref="K167">MEDIAN(_xlfn._xlws.FILTER(K3:K162, $E$3:$E$162=1))</f>
        <v>0.48304776479490097</v>
      </c>
    </row>
  </sheetData>
  <mergeCells count="1">
    <mergeCell ref="F1:K1"/>
  </mergeCells>
  <conditionalFormatting sqref="F3:K58 F163:K163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59:K162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166:K16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7:K16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Pratanu Mandal</cp:lastModifiedBy>
  <cp:revision/>
  <dcterms:created xsi:type="dcterms:W3CDTF">2025-08-21T22:54:28Z</dcterms:created>
  <dcterms:modified xsi:type="dcterms:W3CDTF">2026-10-16T04:27:22Z</dcterms:modified>
  <cp:category/>
  <cp:contentStatus/>
</cp:coreProperties>
</file>