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7\"/>
    </mc:Choice>
  </mc:AlternateContent>
  <xr:revisionPtr revIDLastSave="0" documentId="13_ncr:1_{564129B4-7C91-4E6A-A930-A106C29FBC48}" xr6:coauthVersionLast="47" xr6:coauthVersionMax="47" xr10:uidLastSave="{00000000-0000-0000-0000-000000000000}"/>
  <bookViews>
    <workbookView xWindow="-108" yWindow="-108" windowWidth="30936" windowHeight="16776" xr2:uid="{D1A037E0-5417-4F7A-92EA-CB8BE6FA51CF}"/>
  </bookViews>
  <sheets>
    <sheet name="Summary" sheetId="2" r:id="rId1"/>
    <sheet name="Pure Decorrelation" sheetId="5" r:id="rId2"/>
    <sheet name="Provided DAG" sheetId="3" r:id="rId3"/>
    <sheet name="Inferred DAG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L5" i="2"/>
  <c r="K5" i="2"/>
  <c r="J5" i="2"/>
  <c r="I5" i="2"/>
  <c r="F5" i="2"/>
  <c r="E5" i="2"/>
  <c r="D5" i="2"/>
  <c r="C5" i="2"/>
  <c r="B5" i="2"/>
  <c r="AT384" i="1" a="1"/>
  <c r="AT384" i="1" s="1"/>
  <c r="AS384" i="1" a="1"/>
  <c r="AS384" i="1" s="1"/>
  <c r="AR384" i="1" a="1"/>
  <c r="AR384" i="1" s="1"/>
  <c r="AQ384" i="1" a="1"/>
  <c r="AQ384" i="1" s="1"/>
  <c r="AP384" i="1"/>
  <c r="AP384" i="1" a="1"/>
  <c r="AO384" i="1" a="1"/>
  <c r="AO384" i="1" s="1"/>
  <c r="AN384" i="1" a="1"/>
  <c r="AN384" i="1" s="1"/>
  <c r="AM384" i="1" a="1"/>
  <c r="AM384" i="1" s="1"/>
  <c r="AL384" i="1" a="1"/>
  <c r="AL384" i="1" s="1"/>
  <c r="AK384" i="1" a="1"/>
  <c r="AK384" i="1" s="1"/>
  <c r="AJ384" i="1"/>
  <c r="AJ384" i="1" a="1"/>
  <c r="AI384" i="1" a="1"/>
  <c r="AI384" i="1" s="1"/>
  <c r="AH384" i="1" a="1"/>
  <c r="AH384" i="1" s="1"/>
  <c r="AF384" i="1" a="1"/>
  <c r="AF384" i="1" s="1"/>
  <c r="AE384" i="1" a="1"/>
  <c r="AE384" i="1" s="1"/>
  <c r="AD384" i="1" a="1"/>
  <c r="AD384" i="1" s="1"/>
  <c r="AC384" i="1"/>
  <c r="AC384" i="1" a="1"/>
  <c r="AB384" i="1" a="1"/>
  <c r="AB384" i="1" s="1"/>
  <c r="AA384" i="1" a="1"/>
  <c r="AA384" i="1" s="1"/>
  <c r="Z384" i="1" a="1"/>
  <c r="Z384" i="1" s="1"/>
  <c r="Y384" i="1" a="1"/>
  <c r="Y384" i="1" s="1"/>
  <c r="X384" i="1" a="1"/>
  <c r="X384" i="1" s="1"/>
  <c r="W384" i="1"/>
  <c r="W384" i="1" a="1"/>
  <c r="V384" i="1" a="1"/>
  <c r="V384" i="1" s="1"/>
  <c r="U384" i="1" a="1"/>
  <c r="U384" i="1" s="1"/>
  <c r="T384" i="1" a="1"/>
  <c r="T384" i="1" s="1"/>
  <c r="R384" i="1" a="1"/>
  <c r="R384" i="1" s="1"/>
  <c r="Q384" i="1" a="1"/>
  <c r="Q384" i="1" s="1"/>
  <c r="P384" i="1"/>
  <c r="P384" i="1" a="1"/>
  <c r="O384" i="1" a="1"/>
  <c r="O384" i="1" s="1"/>
  <c r="N384" i="1" a="1"/>
  <c r="N384" i="1" s="1"/>
  <c r="M384" i="1" a="1"/>
  <c r="M384" i="1" s="1"/>
  <c r="L384" i="1" a="1"/>
  <c r="L384" i="1" s="1"/>
  <c r="K384" i="1" a="1"/>
  <c r="K384" i="1" s="1"/>
  <c r="J384" i="1"/>
  <c r="J384" i="1" a="1"/>
  <c r="I384" i="1" a="1"/>
  <c r="I384" i="1" s="1"/>
  <c r="H384" i="1" a="1"/>
  <c r="H384" i="1" s="1"/>
  <c r="G384" i="1" a="1"/>
  <c r="G384" i="1" s="1"/>
  <c r="F384" i="1" a="1"/>
  <c r="F384" i="1" s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M4" i="2"/>
  <c r="L4" i="2"/>
  <c r="K4" i="2"/>
  <c r="J4" i="2"/>
  <c r="I4" i="2"/>
  <c r="M3" i="2"/>
  <c r="L3" i="2"/>
  <c r="K3" i="2"/>
  <c r="J3" i="2"/>
  <c r="I3" i="2"/>
  <c r="B3" i="2"/>
  <c r="B4" i="2"/>
  <c r="C3" i="2"/>
  <c r="C4" i="2"/>
  <c r="D3" i="2"/>
  <c r="D4" i="2"/>
  <c r="E3" i="2"/>
  <c r="E4" i="2"/>
  <c r="F3" i="2"/>
  <c r="F4" i="2"/>
  <c r="AU543" i="5"/>
  <c r="AT543" i="5"/>
  <c r="AS543" i="5"/>
  <c r="AR543" i="5"/>
  <c r="AQ543" i="5"/>
  <c r="AP543" i="5"/>
  <c r="AO543" i="5"/>
  <c r="AN543" i="5"/>
  <c r="AM543" i="5"/>
  <c r="AL543" i="5"/>
  <c r="AK543" i="5"/>
  <c r="AI543" i="5"/>
  <c r="AH543" i="5"/>
  <c r="AG543" i="5"/>
  <c r="AF543" i="5"/>
  <c r="AE543" i="5"/>
  <c r="AD543" i="5"/>
  <c r="AC543" i="5"/>
  <c r="AB543" i="5"/>
  <c r="AA543" i="5"/>
  <c r="Z543" i="5"/>
  <c r="Y543" i="5"/>
  <c r="W543" i="5"/>
  <c r="V543" i="5"/>
  <c r="U543" i="5"/>
  <c r="T543" i="5"/>
  <c r="S543" i="5"/>
  <c r="R543" i="5"/>
  <c r="Q543" i="5"/>
  <c r="P543" i="5"/>
  <c r="O543" i="5"/>
  <c r="N543" i="5"/>
  <c r="M543" i="5"/>
  <c r="I543" i="5"/>
  <c r="AU542" i="5"/>
  <c r="AT542" i="5"/>
  <c r="AS542" i="5"/>
  <c r="AR542" i="5"/>
  <c r="AQ542" i="5"/>
  <c r="AP542" i="5"/>
  <c r="AO542" i="5"/>
  <c r="AN542" i="5"/>
  <c r="AM542" i="5"/>
  <c r="AL542" i="5"/>
  <c r="AK542" i="5"/>
  <c r="AI542" i="5"/>
  <c r="AH542" i="5"/>
  <c r="AG542" i="5"/>
  <c r="AF542" i="5"/>
  <c r="AE542" i="5"/>
  <c r="AD542" i="5"/>
  <c r="AC542" i="5"/>
  <c r="AB542" i="5"/>
  <c r="AA542" i="5"/>
  <c r="Z542" i="5"/>
  <c r="Y542" i="5"/>
  <c r="W542" i="5"/>
  <c r="V542" i="5"/>
  <c r="U542" i="5"/>
  <c r="T542" i="5"/>
  <c r="S542" i="5"/>
  <c r="R542" i="5"/>
  <c r="Q542" i="5"/>
  <c r="P542" i="5"/>
  <c r="O542" i="5"/>
  <c r="N542" i="5"/>
  <c r="M542" i="5"/>
  <c r="AU541" i="5"/>
  <c r="AT541" i="5"/>
  <c r="AS541" i="5"/>
  <c r="AR541" i="5"/>
  <c r="AQ541" i="5"/>
  <c r="AP541" i="5"/>
  <c r="AO541" i="5"/>
  <c r="AN541" i="5"/>
  <c r="AM541" i="5"/>
  <c r="AL541" i="5"/>
  <c r="AK541" i="5"/>
  <c r="AI541" i="5"/>
  <c r="AH541" i="5"/>
  <c r="AG541" i="5"/>
  <c r="AF541" i="5"/>
  <c r="AE541" i="5"/>
  <c r="AD541" i="5"/>
  <c r="AC541" i="5"/>
  <c r="AB541" i="5"/>
  <c r="AA541" i="5"/>
  <c r="Z541" i="5"/>
  <c r="Y541" i="5"/>
  <c r="W541" i="5"/>
  <c r="V541" i="5"/>
  <c r="U541" i="5"/>
  <c r="T541" i="5"/>
  <c r="S541" i="5"/>
  <c r="R541" i="5"/>
  <c r="Q541" i="5"/>
  <c r="P541" i="5"/>
  <c r="O541" i="5"/>
  <c r="N541" i="5"/>
  <c r="M541" i="5"/>
  <c r="J541" i="5"/>
  <c r="AU540" i="5"/>
  <c r="AT540" i="5"/>
  <c r="AS540" i="5"/>
  <c r="AR540" i="5"/>
  <c r="AQ540" i="5"/>
  <c r="AP540" i="5"/>
  <c r="AO540" i="5"/>
  <c r="AN540" i="5"/>
  <c r="AM540" i="5"/>
  <c r="AL540" i="5"/>
  <c r="AK540" i="5"/>
  <c r="AI540" i="5"/>
  <c r="AH540" i="5"/>
  <c r="AG540" i="5"/>
  <c r="AF540" i="5"/>
  <c r="AE540" i="5"/>
  <c r="AD540" i="5"/>
  <c r="AC540" i="5"/>
  <c r="AB540" i="5"/>
  <c r="AA540" i="5"/>
  <c r="Z540" i="5"/>
  <c r="Y540" i="5"/>
  <c r="W540" i="5"/>
  <c r="V540" i="5"/>
  <c r="U540" i="5"/>
  <c r="T540" i="5"/>
  <c r="S540" i="5"/>
  <c r="R540" i="5"/>
  <c r="Q540" i="5"/>
  <c r="P540" i="5"/>
  <c r="O540" i="5"/>
  <c r="N540" i="5"/>
  <c r="M540" i="5"/>
  <c r="AU539" i="5"/>
  <c r="AT539" i="5"/>
  <c r="AS539" i="5"/>
  <c r="AR539" i="5"/>
  <c r="AQ539" i="5"/>
  <c r="AP539" i="5"/>
  <c r="AO539" i="5"/>
  <c r="AN539" i="5"/>
  <c r="AM539" i="5"/>
  <c r="AL539" i="5"/>
  <c r="AK539" i="5"/>
  <c r="AI539" i="5"/>
  <c r="AH539" i="5"/>
  <c r="AG539" i="5"/>
  <c r="AF539" i="5"/>
  <c r="AE539" i="5"/>
  <c r="AD539" i="5"/>
  <c r="AC539" i="5"/>
  <c r="AB539" i="5"/>
  <c r="AA539" i="5"/>
  <c r="Z539" i="5"/>
  <c r="Y539" i="5"/>
  <c r="W539" i="5"/>
  <c r="V539" i="5"/>
  <c r="U539" i="5"/>
  <c r="T539" i="5"/>
  <c r="S539" i="5"/>
  <c r="R539" i="5"/>
  <c r="Q539" i="5"/>
  <c r="P539" i="5"/>
  <c r="O539" i="5"/>
  <c r="N539" i="5"/>
  <c r="M539" i="5"/>
  <c r="AU538" i="5"/>
  <c r="AT538" i="5"/>
  <c r="AS538" i="5"/>
  <c r="AR538" i="5"/>
  <c r="AQ538" i="5"/>
  <c r="AP538" i="5"/>
  <c r="AO538" i="5"/>
  <c r="AN538" i="5"/>
  <c r="AM538" i="5"/>
  <c r="AL538" i="5"/>
  <c r="AK538" i="5"/>
  <c r="AI538" i="5"/>
  <c r="AH538" i="5"/>
  <c r="AG538" i="5"/>
  <c r="AF538" i="5"/>
  <c r="AE538" i="5"/>
  <c r="AD538" i="5"/>
  <c r="AC538" i="5"/>
  <c r="AB538" i="5"/>
  <c r="AA538" i="5"/>
  <c r="Z538" i="5"/>
  <c r="Y538" i="5"/>
  <c r="W538" i="5"/>
  <c r="V538" i="5"/>
  <c r="U538" i="5"/>
  <c r="T538" i="5"/>
  <c r="S538" i="5"/>
  <c r="R538" i="5"/>
  <c r="Q538" i="5"/>
  <c r="P538" i="5"/>
  <c r="O538" i="5"/>
  <c r="N538" i="5"/>
  <c r="M538" i="5"/>
  <c r="AU537" i="5"/>
  <c r="AT537" i="5"/>
  <c r="AS537" i="5"/>
  <c r="AR537" i="5"/>
  <c r="AQ537" i="5"/>
  <c r="AP537" i="5"/>
  <c r="AO537" i="5"/>
  <c r="AN537" i="5"/>
  <c r="AM537" i="5"/>
  <c r="AL537" i="5"/>
  <c r="AK537" i="5"/>
  <c r="AI537" i="5"/>
  <c r="AH537" i="5"/>
  <c r="AG537" i="5"/>
  <c r="AF537" i="5"/>
  <c r="AE537" i="5"/>
  <c r="AD537" i="5"/>
  <c r="AC537" i="5"/>
  <c r="AB537" i="5"/>
  <c r="AA537" i="5"/>
  <c r="Z537" i="5"/>
  <c r="Y537" i="5"/>
  <c r="W537" i="5"/>
  <c r="V537" i="5"/>
  <c r="U537" i="5"/>
  <c r="T537" i="5"/>
  <c r="S537" i="5"/>
  <c r="R537" i="5"/>
  <c r="Q537" i="5"/>
  <c r="P537" i="5"/>
  <c r="O537" i="5"/>
  <c r="N537" i="5"/>
  <c r="M537" i="5"/>
  <c r="I537" i="5"/>
  <c r="AU536" i="5"/>
  <c r="AT536" i="5"/>
  <c r="AS536" i="5"/>
  <c r="AR536" i="5"/>
  <c r="AQ536" i="5"/>
  <c r="AP536" i="5"/>
  <c r="AO536" i="5"/>
  <c r="AN536" i="5"/>
  <c r="AM536" i="5"/>
  <c r="AL536" i="5"/>
  <c r="AK536" i="5"/>
  <c r="AI536" i="5"/>
  <c r="AH536" i="5"/>
  <c r="AG536" i="5"/>
  <c r="AF536" i="5"/>
  <c r="AE536" i="5"/>
  <c r="AD536" i="5"/>
  <c r="AC536" i="5"/>
  <c r="AB536" i="5"/>
  <c r="AA536" i="5"/>
  <c r="Z536" i="5"/>
  <c r="Y536" i="5"/>
  <c r="W536" i="5"/>
  <c r="V536" i="5"/>
  <c r="U536" i="5"/>
  <c r="T536" i="5"/>
  <c r="S536" i="5"/>
  <c r="R536" i="5"/>
  <c r="Q536" i="5"/>
  <c r="P536" i="5"/>
  <c r="O536" i="5"/>
  <c r="N536" i="5"/>
  <c r="M536" i="5"/>
  <c r="AU535" i="5"/>
  <c r="AT535" i="5"/>
  <c r="AS535" i="5"/>
  <c r="AR535" i="5"/>
  <c r="AQ535" i="5"/>
  <c r="AP535" i="5"/>
  <c r="AO535" i="5"/>
  <c r="AN535" i="5"/>
  <c r="AM535" i="5"/>
  <c r="AL535" i="5"/>
  <c r="AK535" i="5"/>
  <c r="AI535" i="5"/>
  <c r="AH535" i="5"/>
  <c r="AG535" i="5"/>
  <c r="AF535" i="5"/>
  <c r="AE535" i="5"/>
  <c r="AD535" i="5"/>
  <c r="AC535" i="5"/>
  <c r="AB535" i="5"/>
  <c r="AA535" i="5"/>
  <c r="Z535" i="5"/>
  <c r="Y535" i="5"/>
  <c r="W535" i="5"/>
  <c r="V535" i="5"/>
  <c r="U535" i="5"/>
  <c r="T535" i="5"/>
  <c r="S535" i="5"/>
  <c r="R535" i="5"/>
  <c r="Q535" i="5"/>
  <c r="P535" i="5"/>
  <c r="O535" i="5"/>
  <c r="N535" i="5"/>
  <c r="M535" i="5"/>
  <c r="AU534" i="5"/>
  <c r="AT534" i="5"/>
  <c r="AS534" i="5"/>
  <c r="AR534" i="5"/>
  <c r="AQ534" i="5"/>
  <c r="AP534" i="5"/>
  <c r="AO534" i="5"/>
  <c r="AN534" i="5"/>
  <c r="AM534" i="5"/>
  <c r="AL534" i="5"/>
  <c r="AK534" i="5"/>
  <c r="AI534" i="5"/>
  <c r="AH534" i="5"/>
  <c r="AG534" i="5"/>
  <c r="AF534" i="5"/>
  <c r="AE534" i="5"/>
  <c r="AD534" i="5"/>
  <c r="AC534" i="5"/>
  <c r="AB534" i="5"/>
  <c r="AA534" i="5"/>
  <c r="Z534" i="5"/>
  <c r="Y534" i="5"/>
  <c r="W534" i="5"/>
  <c r="V534" i="5"/>
  <c r="U534" i="5"/>
  <c r="T534" i="5"/>
  <c r="S534" i="5"/>
  <c r="R534" i="5"/>
  <c r="Q534" i="5"/>
  <c r="P534" i="5"/>
  <c r="O534" i="5"/>
  <c r="N534" i="5"/>
  <c r="M534" i="5"/>
  <c r="AU533" i="5"/>
  <c r="AT533" i="5"/>
  <c r="AS533" i="5"/>
  <c r="AR533" i="5"/>
  <c r="AQ533" i="5"/>
  <c r="AP533" i="5"/>
  <c r="AO533" i="5"/>
  <c r="AN533" i="5"/>
  <c r="AM533" i="5"/>
  <c r="AL533" i="5"/>
  <c r="AK533" i="5"/>
  <c r="AI533" i="5"/>
  <c r="AH533" i="5"/>
  <c r="AG533" i="5"/>
  <c r="AF533" i="5"/>
  <c r="AE533" i="5"/>
  <c r="AD533" i="5"/>
  <c r="AC533" i="5"/>
  <c r="AB533" i="5"/>
  <c r="AA533" i="5"/>
  <c r="Z533" i="5"/>
  <c r="Y533" i="5"/>
  <c r="W533" i="5"/>
  <c r="V533" i="5"/>
  <c r="U533" i="5"/>
  <c r="T533" i="5"/>
  <c r="S533" i="5"/>
  <c r="R533" i="5"/>
  <c r="Q533" i="5"/>
  <c r="P533" i="5"/>
  <c r="O533" i="5"/>
  <c r="N533" i="5"/>
  <c r="M533" i="5"/>
  <c r="AU532" i="5"/>
  <c r="AT532" i="5"/>
  <c r="AS532" i="5"/>
  <c r="AR532" i="5"/>
  <c r="AQ532" i="5"/>
  <c r="AP532" i="5"/>
  <c r="AO532" i="5"/>
  <c r="AN532" i="5"/>
  <c r="AM532" i="5"/>
  <c r="AL532" i="5"/>
  <c r="AK532" i="5"/>
  <c r="AI532" i="5"/>
  <c r="AH532" i="5"/>
  <c r="AG532" i="5"/>
  <c r="AF532" i="5"/>
  <c r="AE532" i="5"/>
  <c r="AD532" i="5"/>
  <c r="AC532" i="5"/>
  <c r="AB532" i="5"/>
  <c r="AA532" i="5"/>
  <c r="Z532" i="5"/>
  <c r="Y532" i="5"/>
  <c r="W532" i="5"/>
  <c r="V532" i="5"/>
  <c r="U532" i="5"/>
  <c r="T532" i="5"/>
  <c r="S532" i="5"/>
  <c r="R532" i="5"/>
  <c r="Q532" i="5"/>
  <c r="P532" i="5"/>
  <c r="O532" i="5"/>
  <c r="N532" i="5"/>
  <c r="M532" i="5"/>
  <c r="AU531" i="5"/>
  <c r="AT531" i="5"/>
  <c r="AS531" i="5"/>
  <c r="AR531" i="5"/>
  <c r="AQ531" i="5"/>
  <c r="AP531" i="5"/>
  <c r="AO531" i="5"/>
  <c r="AN531" i="5"/>
  <c r="AM531" i="5"/>
  <c r="AL531" i="5"/>
  <c r="AK531" i="5"/>
  <c r="AI531" i="5"/>
  <c r="AH531" i="5"/>
  <c r="AG531" i="5"/>
  <c r="AF531" i="5"/>
  <c r="AE531" i="5"/>
  <c r="AD531" i="5"/>
  <c r="AC531" i="5"/>
  <c r="AB531" i="5"/>
  <c r="AA531" i="5"/>
  <c r="Z531" i="5"/>
  <c r="Y531" i="5"/>
  <c r="W531" i="5"/>
  <c r="V531" i="5"/>
  <c r="U531" i="5"/>
  <c r="T531" i="5"/>
  <c r="S531" i="5"/>
  <c r="R531" i="5"/>
  <c r="Q531" i="5"/>
  <c r="P531" i="5"/>
  <c r="O531" i="5"/>
  <c r="N531" i="5"/>
  <c r="M531" i="5"/>
  <c r="I531" i="5"/>
  <c r="AU530" i="5"/>
  <c r="AT530" i="5"/>
  <c r="AS530" i="5"/>
  <c r="AR530" i="5"/>
  <c r="AQ530" i="5"/>
  <c r="AP530" i="5"/>
  <c r="AO530" i="5"/>
  <c r="AN530" i="5"/>
  <c r="AM530" i="5"/>
  <c r="AL530" i="5"/>
  <c r="AK530" i="5"/>
  <c r="AI530" i="5"/>
  <c r="AH530" i="5"/>
  <c r="AG530" i="5"/>
  <c r="AF530" i="5"/>
  <c r="AE530" i="5"/>
  <c r="AD530" i="5"/>
  <c r="AC530" i="5"/>
  <c r="AB530" i="5"/>
  <c r="AA530" i="5"/>
  <c r="Z530" i="5"/>
  <c r="Y530" i="5"/>
  <c r="W530" i="5"/>
  <c r="V530" i="5"/>
  <c r="U530" i="5"/>
  <c r="T530" i="5"/>
  <c r="S530" i="5"/>
  <c r="R530" i="5"/>
  <c r="Q530" i="5"/>
  <c r="P530" i="5"/>
  <c r="O530" i="5"/>
  <c r="N530" i="5"/>
  <c r="M530" i="5"/>
  <c r="AU529" i="5"/>
  <c r="AT529" i="5"/>
  <c r="AS529" i="5"/>
  <c r="AR529" i="5"/>
  <c r="AQ529" i="5"/>
  <c r="AP529" i="5"/>
  <c r="AO529" i="5"/>
  <c r="AN529" i="5"/>
  <c r="AM529" i="5"/>
  <c r="AL529" i="5"/>
  <c r="AK529" i="5"/>
  <c r="AI529" i="5"/>
  <c r="AH529" i="5"/>
  <c r="AG529" i="5"/>
  <c r="AF529" i="5"/>
  <c r="AE529" i="5"/>
  <c r="AD529" i="5"/>
  <c r="AC529" i="5"/>
  <c r="AB529" i="5"/>
  <c r="AA529" i="5"/>
  <c r="Z529" i="5"/>
  <c r="Y529" i="5"/>
  <c r="W529" i="5"/>
  <c r="V529" i="5"/>
  <c r="U529" i="5"/>
  <c r="T529" i="5"/>
  <c r="S529" i="5"/>
  <c r="R529" i="5"/>
  <c r="Q529" i="5"/>
  <c r="P529" i="5"/>
  <c r="O529" i="5"/>
  <c r="N529" i="5"/>
  <c r="M529" i="5"/>
  <c r="J529" i="5"/>
  <c r="AU528" i="5"/>
  <c r="AT528" i="5"/>
  <c r="AS528" i="5"/>
  <c r="AR528" i="5"/>
  <c r="AQ528" i="5"/>
  <c r="AP528" i="5"/>
  <c r="AO528" i="5"/>
  <c r="AN528" i="5"/>
  <c r="AM528" i="5"/>
  <c r="AL528" i="5"/>
  <c r="AK528" i="5"/>
  <c r="AI528" i="5"/>
  <c r="AH528" i="5"/>
  <c r="AG528" i="5"/>
  <c r="AF528" i="5"/>
  <c r="AE528" i="5"/>
  <c r="AD528" i="5"/>
  <c r="AC528" i="5"/>
  <c r="AB528" i="5"/>
  <c r="AA528" i="5"/>
  <c r="Z528" i="5"/>
  <c r="Y528" i="5"/>
  <c r="W528" i="5"/>
  <c r="V528" i="5"/>
  <c r="U528" i="5"/>
  <c r="T528" i="5"/>
  <c r="S528" i="5"/>
  <c r="R528" i="5"/>
  <c r="Q528" i="5"/>
  <c r="P528" i="5"/>
  <c r="O528" i="5"/>
  <c r="N528" i="5"/>
  <c r="M528" i="5"/>
  <c r="AU527" i="5"/>
  <c r="AT527" i="5"/>
  <c r="AS527" i="5"/>
  <c r="AR527" i="5"/>
  <c r="AQ527" i="5"/>
  <c r="AP527" i="5"/>
  <c r="AO527" i="5"/>
  <c r="AN527" i="5"/>
  <c r="AM527" i="5"/>
  <c r="AL527" i="5"/>
  <c r="AK527" i="5"/>
  <c r="AI527" i="5"/>
  <c r="AH527" i="5"/>
  <c r="AG527" i="5"/>
  <c r="AF527" i="5"/>
  <c r="AE527" i="5"/>
  <c r="AD527" i="5"/>
  <c r="AC527" i="5"/>
  <c r="AB527" i="5"/>
  <c r="AA527" i="5"/>
  <c r="Z527" i="5"/>
  <c r="Y527" i="5"/>
  <c r="W527" i="5"/>
  <c r="V527" i="5"/>
  <c r="U527" i="5"/>
  <c r="T527" i="5"/>
  <c r="S527" i="5"/>
  <c r="R527" i="5"/>
  <c r="Q527" i="5"/>
  <c r="P527" i="5"/>
  <c r="O527" i="5"/>
  <c r="N527" i="5"/>
  <c r="M527" i="5"/>
  <c r="AU526" i="5"/>
  <c r="AT526" i="5"/>
  <c r="AS526" i="5"/>
  <c r="AR526" i="5"/>
  <c r="AQ526" i="5"/>
  <c r="AP526" i="5"/>
  <c r="AO526" i="5"/>
  <c r="AN526" i="5"/>
  <c r="AM526" i="5"/>
  <c r="AL526" i="5"/>
  <c r="AK526" i="5"/>
  <c r="AI526" i="5"/>
  <c r="AH526" i="5"/>
  <c r="AG526" i="5"/>
  <c r="AF526" i="5"/>
  <c r="AE526" i="5"/>
  <c r="AD526" i="5"/>
  <c r="AC526" i="5"/>
  <c r="AB526" i="5"/>
  <c r="AA526" i="5"/>
  <c r="Z526" i="5"/>
  <c r="Y526" i="5"/>
  <c r="W526" i="5"/>
  <c r="V526" i="5"/>
  <c r="U526" i="5"/>
  <c r="T526" i="5"/>
  <c r="S526" i="5"/>
  <c r="R526" i="5"/>
  <c r="Q526" i="5"/>
  <c r="P526" i="5"/>
  <c r="O526" i="5"/>
  <c r="N526" i="5"/>
  <c r="M526" i="5"/>
  <c r="AU525" i="5"/>
  <c r="AT525" i="5"/>
  <c r="AS525" i="5"/>
  <c r="AR525" i="5"/>
  <c r="AQ525" i="5"/>
  <c r="AP525" i="5"/>
  <c r="AO525" i="5"/>
  <c r="AN525" i="5"/>
  <c r="AM525" i="5"/>
  <c r="AL525" i="5"/>
  <c r="AK525" i="5"/>
  <c r="AI525" i="5"/>
  <c r="AH525" i="5"/>
  <c r="AG525" i="5"/>
  <c r="AF525" i="5"/>
  <c r="AE525" i="5"/>
  <c r="AD525" i="5"/>
  <c r="AC525" i="5"/>
  <c r="AB525" i="5"/>
  <c r="AA525" i="5"/>
  <c r="Z525" i="5"/>
  <c r="Y525" i="5"/>
  <c r="W525" i="5"/>
  <c r="V525" i="5"/>
  <c r="U525" i="5"/>
  <c r="T525" i="5"/>
  <c r="S525" i="5"/>
  <c r="R525" i="5"/>
  <c r="Q525" i="5"/>
  <c r="P525" i="5"/>
  <c r="O525" i="5"/>
  <c r="N525" i="5"/>
  <c r="M525" i="5"/>
  <c r="I525" i="5"/>
  <c r="AU524" i="5"/>
  <c r="AT524" i="5"/>
  <c r="AS524" i="5"/>
  <c r="AR524" i="5"/>
  <c r="AQ524" i="5"/>
  <c r="AP524" i="5"/>
  <c r="AO524" i="5"/>
  <c r="AN524" i="5"/>
  <c r="AM524" i="5"/>
  <c r="AL524" i="5"/>
  <c r="AK524" i="5"/>
  <c r="AI524" i="5"/>
  <c r="AH524" i="5"/>
  <c r="AG524" i="5"/>
  <c r="AF524" i="5"/>
  <c r="AE524" i="5"/>
  <c r="AD524" i="5"/>
  <c r="AC524" i="5"/>
  <c r="AB524" i="5"/>
  <c r="AA524" i="5"/>
  <c r="Z524" i="5"/>
  <c r="Y524" i="5"/>
  <c r="W524" i="5"/>
  <c r="V524" i="5"/>
  <c r="U524" i="5"/>
  <c r="T524" i="5"/>
  <c r="S524" i="5"/>
  <c r="R524" i="5"/>
  <c r="Q524" i="5"/>
  <c r="P524" i="5"/>
  <c r="O524" i="5"/>
  <c r="N524" i="5"/>
  <c r="M524" i="5"/>
  <c r="AU523" i="5"/>
  <c r="AT523" i="5"/>
  <c r="AS523" i="5"/>
  <c r="AR523" i="5"/>
  <c r="AQ523" i="5"/>
  <c r="AP523" i="5"/>
  <c r="AO523" i="5"/>
  <c r="AN523" i="5"/>
  <c r="AM523" i="5"/>
  <c r="AL523" i="5"/>
  <c r="AK523" i="5"/>
  <c r="AI523" i="5"/>
  <c r="AH523" i="5"/>
  <c r="AG523" i="5"/>
  <c r="AF523" i="5"/>
  <c r="AE523" i="5"/>
  <c r="AD523" i="5"/>
  <c r="AC523" i="5"/>
  <c r="AB523" i="5"/>
  <c r="AA523" i="5"/>
  <c r="Z523" i="5"/>
  <c r="Y523" i="5"/>
  <c r="W523" i="5"/>
  <c r="V523" i="5"/>
  <c r="U523" i="5"/>
  <c r="T523" i="5"/>
  <c r="S523" i="5"/>
  <c r="R523" i="5"/>
  <c r="Q523" i="5"/>
  <c r="P523" i="5"/>
  <c r="O523" i="5"/>
  <c r="N523" i="5"/>
  <c r="M523" i="5"/>
  <c r="AU522" i="5"/>
  <c r="AT522" i="5"/>
  <c r="AS522" i="5"/>
  <c r="AR522" i="5"/>
  <c r="AQ522" i="5"/>
  <c r="AP522" i="5"/>
  <c r="AO522" i="5"/>
  <c r="AN522" i="5"/>
  <c r="AM522" i="5"/>
  <c r="AL522" i="5"/>
  <c r="AK522" i="5"/>
  <c r="AI522" i="5"/>
  <c r="AH522" i="5"/>
  <c r="AG522" i="5"/>
  <c r="AF522" i="5"/>
  <c r="AE522" i="5"/>
  <c r="AD522" i="5"/>
  <c r="AC522" i="5"/>
  <c r="AB522" i="5"/>
  <c r="AA522" i="5"/>
  <c r="Z522" i="5"/>
  <c r="Y522" i="5"/>
  <c r="W522" i="5"/>
  <c r="V522" i="5"/>
  <c r="U522" i="5"/>
  <c r="T522" i="5"/>
  <c r="S522" i="5"/>
  <c r="R522" i="5"/>
  <c r="Q522" i="5"/>
  <c r="P522" i="5"/>
  <c r="O522" i="5"/>
  <c r="N522" i="5"/>
  <c r="M522" i="5"/>
  <c r="AU521" i="5"/>
  <c r="AT521" i="5"/>
  <c r="AS521" i="5"/>
  <c r="AR521" i="5"/>
  <c r="AQ521" i="5"/>
  <c r="AP521" i="5"/>
  <c r="AO521" i="5"/>
  <c r="AN521" i="5"/>
  <c r="AM521" i="5"/>
  <c r="AL521" i="5"/>
  <c r="AK521" i="5"/>
  <c r="AI521" i="5"/>
  <c r="AH521" i="5"/>
  <c r="AG521" i="5"/>
  <c r="AF521" i="5"/>
  <c r="AE521" i="5"/>
  <c r="AD521" i="5"/>
  <c r="AC521" i="5"/>
  <c r="AB521" i="5"/>
  <c r="AA521" i="5"/>
  <c r="Z521" i="5"/>
  <c r="Y521" i="5"/>
  <c r="W521" i="5"/>
  <c r="V521" i="5"/>
  <c r="U521" i="5"/>
  <c r="T521" i="5"/>
  <c r="S521" i="5"/>
  <c r="R521" i="5"/>
  <c r="Q521" i="5"/>
  <c r="P521" i="5"/>
  <c r="O521" i="5"/>
  <c r="N521" i="5"/>
  <c r="M521" i="5"/>
  <c r="AU520" i="5"/>
  <c r="AT520" i="5"/>
  <c r="AS520" i="5"/>
  <c r="AR520" i="5"/>
  <c r="AQ520" i="5"/>
  <c r="AP520" i="5"/>
  <c r="AO520" i="5"/>
  <c r="AN520" i="5"/>
  <c r="AM520" i="5"/>
  <c r="AL520" i="5"/>
  <c r="AK520" i="5"/>
  <c r="AI520" i="5"/>
  <c r="AH520" i="5"/>
  <c r="AG520" i="5"/>
  <c r="AF520" i="5"/>
  <c r="AE520" i="5"/>
  <c r="AD520" i="5"/>
  <c r="AC520" i="5"/>
  <c r="AB520" i="5"/>
  <c r="AA520" i="5"/>
  <c r="Z520" i="5"/>
  <c r="Y520" i="5"/>
  <c r="W520" i="5"/>
  <c r="V520" i="5"/>
  <c r="U520" i="5"/>
  <c r="T520" i="5"/>
  <c r="S520" i="5"/>
  <c r="R520" i="5"/>
  <c r="Q520" i="5"/>
  <c r="P520" i="5"/>
  <c r="O520" i="5"/>
  <c r="N520" i="5"/>
  <c r="M520" i="5"/>
  <c r="AU519" i="5"/>
  <c r="AT519" i="5"/>
  <c r="AS519" i="5"/>
  <c r="AR519" i="5"/>
  <c r="AQ519" i="5"/>
  <c r="AP519" i="5"/>
  <c r="AO519" i="5"/>
  <c r="AN519" i="5"/>
  <c r="AM519" i="5"/>
  <c r="AL519" i="5"/>
  <c r="AK519" i="5"/>
  <c r="AI519" i="5"/>
  <c r="AH519" i="5"/>
  <c r="AG519" i="5"/>
  <c r="AF519" i="5"/>
  <c r="AE519" i="5"/>
  <c r="AD519" i="5"/>
  <c r="AC519" i="5"/>
  <c r="AB519" i="5"/>
  <c r="AA519" i="5"/>
  <c r="Z519" i="5"/>
  <c r="Y519" i="5"/>
  <c r="W519" i="5"/>
  <c r="V519" i="5"/>
  <c r="U519" i="5"/>
  <c r="T519" i="5"/>
  <c r="S519" i="5"/>
  <c r="R519" i="5"/>
  <c r="Q519" i="5"/>
  <c r="P519" i="5"/>
  <c r="O519" i="5"/>
  <c r="N519" i="5"/>
  <c r="M519" i="5"/>
  <c r="I519" i="5"/>
  <c r="AU518" i="5"/>
  <c r="AT518" i="5"/>
  <c r="AS518" i="5"/>
  <c r="AR518" i="5"/>
  <c r="AQ518" i="5"/>
  <c r="AP518" i="5"/>
  <c r="AO518" i="5"/>
  <c r="AN518" i="5"/>
  <c r="AM518" i="5"/>
  <c r="AL518" i="5"/>
  <c r="AK518" i="5"/>
  <c r="AI518" i="5"/>
  <c r="AH518" i="5"/>
  <c r="AG518" i="5"/>
  <c r="AF518" i="5"/>
  <c r="AE518" i="5"/>
  <c r="AD518" i="5"/>
  <c r="AC518" i="5"/>
  <c r="AB518" i="5"/>
  <c r="AA518" i="5"/>
  <c r="Z518" i="5"/>
  <c r="Y518" i="5"/>
  <c r="W518" i="5"/>
  <c r="V518" i="5"/>
  <c r="U518" i="5"/>
  <c r="T518" i="5"/>
  <c r="S518" i="5"/>
  <c r="R518" i="5"/>
  <c r="Q518" i="5"/>
  <c r="P518" i="5"/>
  <c r="O518" i="5"/>
  <c r="N518" i="5"/>
  <c r="M518" i="5"/>
  <c r="AU517" i="5"/>
  <c r="AT517" i="5"/>
  <c r="AS517" i="5"/>
  <c r="AR517" i="5"/>
  <c r="AQ517" i="5"/>
  <c r="AP517" i="5"/>
  <c r="AO517" i="5"/>
  <c r="AN517" i="5"/>
  <c r="AM517" i="5"/>
  <c r="AL517" i="5"/>
  <c r="AK517" i="5"/>
  <c r="AI517" i="5"/>
  <c r="AH517" i="5"/>
  <c r="AG517" i="5"/>
  <c r="AF517" i="5"/>
  <c r="AE517" i="5"/>
  <c r="AD517" i="5"/>
  <c r="AC517" i="5"/>
  <c r="AB517" i="5"/>
  <c r="AA517" i="5"/>
  <c r="Z517" i="5"/>
  <c r="Y517" i="5"/>
  <c r="W517" i="5"/>
  <c r="V517" i="5"/>
  <c r="U517" i="5"/>
  <c r="T517" i="5"/>
  <c r="S517" i="5"/>
  <c r="R517" i="5"/>
  <c r="Q517" i="5"/>
  <c r="P517" i="5"/>
  <c r="O517" i="5"/>
  <c r="N517" i="5"/>
  <c r="M517" i="5"/>
  <c r="J517" i="5"/>
  <c r="AU516" i="5"/>
  <c r="AT516" i="5"/>
  <c r="AS516" i="5"/>
  <c r="AR516" i="5"/>
  <c r="AQ516" i="5"/>
  <c r="AP516" i="5"/>
  <c r="AO516" i="5"/>
  <c r="AN516" i="5"/>
  <c r="AM516" i="5"/>
  <c r="AL516" i="5"/>
  <c r="AK516" i="5"/>
  <c r="AI516" i="5"/>
  <c r="AH516" i="5"/>
  <c r="AG516" i="5"/>
  <c r="AF516" i="5"/>
  <c r="AE516" i="5"/>
  <c r="AD516" i="5"/>
  <c r="AC516" i="5"/>
  <c r="AB516" i="5"/>
  <c r="AA516" i="5"/>
  <c r="Z516" i="5"/>
  <c r="Y516" i="5"/>
  <c r="W516" i="5"/>
  <c r="V516" i="5"/>
  <c r="U516" i="5"/>
  <c r="T516" i="5"/>
  <c r="S516" i="5"/>
  <c r="R516" i="5"/>
  <c r="Q516" i="5"/>
  <c r="P516" i="5"/>
  <c r="O516" i="5"/>
  <c r="N516" i="5"/>
  <c r="M516" i="5"/>
  <c r="J516" i="5"/>
  <c r="AU515" i="5"/>
  <c r="AT515" i="5"/>
  <c r="AS515" i="5"/>
  <c r="AR515" i="5"/>
  <c r="AQ515" i="5"/>
  <c r="AP515" i="5"/>
  <c r="AO515" i="5"/>
  <c r="AN515" i="5"/>
  <c r="AM515" i="5"/>
  <c r="AL515" i="5"/>
  <c r="AK515" i="5"/>
  <c r="AI515" i="5"/>
  <c r="AH515" i="5"/>
  <c r="AG515" i="5"/>
  <c r="AF515" i="5"/>
  <c r="AE515" i="5"/>
  <c r="AD515" i="5"/>
  <c r="AC515" i="5"/>
  <c r="AB515" i="5"/>
  <c r="AA515" i="5"/>
  <c r="Z515" i="5"/>
  <c r="Y515" i="5"/>
  <c r="W515" i="5"/>
  <c r="V515" i="5"/>
  <c r="U515" i="5"/>
  <c r="T515" i="5"/>
  <c r="S515" i="5"/>
  <c r="R515" i="5"/>
  <c r="Q515" i="5"/>
  <c r="P515" i="5"/>
  <c r="O515" i="5"/>
  <c r="N515" i="5"/>
  <c r="M515" i="5"/>
  <c r="AU514" i="5"/>
  <c r="AT514" i="5"/>
  <c r="AS514" i="5"/>
  <c r="AR514" i="5"/>
  <c r="AQ514" i="5"/>
  <c r="AP514" i="5"/>
  <c r="AO514" i="5"/>
  <c r="AN514" i="5"/>
  <c r="AM514" i="5"/>
  <c r="AL514" i="5"/>
  <c r="AK514" i="5"/>
  <c r="AI514" i="5"/>
  <c r="AH514" i="5"/>
  <c r="AG514" i="5"/>
  <c r="AF514" i="5"/>
  <c r="AE514" i="5"/>
  <c r="AD514" i="5"/>
  <c r="AC514" i="5"/>
  <c r="AB514" i="5"/>
  <c r="AA514" i="5"/>
  <c r="Z514" i="5"/>
  <c r="Y514" i="5"/>
  <c r="W514" i="5"/>
  <c r="V514" i="5"/>
  <c r="U514" i="5"/>
  <c r="T514" i="5"/>
  <c r="S514" i="5"/>
  <c r="R514" i="5"/>
  <c r="Q514" i="5"/>
  <c r="P514" i="5"/>
  <c r="O514" i="5"/>
  <c r="N514" i="5"/>
  <c r="M514" i="5"/>
  <c r="AU513" i="5"/>
  <c r="AT513" i="5"/>
  <c r="AS513" i="5"/>
  <c r="AR513" i="5"/>
  <c r="AQ513" i="5"/>
  <c r="AP513" i="5"/>
  <c r="AO513" i="5"/>
  <c r="AN513" i="5"/>
  <c r="AM513" i="5"/>
  <c r="AL513" i="5"/>
  <c r="AK513" i="5"/>
  <c r="AI513" i="5"/>
  <c r="AH513" i="5"/>
  <c r="AG513" i="5"/>
  <c r="AF513" i="5"/>
  <c r="AE513" i="5"/>
  <c r="AD513" i="5"/>
  <c r="AC513" i="5"/>
  <c r="AB513" i="5"/>
  <c r="AA513" i="5"/>
  <c r="Z513" i="5"/>
  <c r="Y513" i="5"/>
  <c r="W513" i="5"/>
  <c r="V513" i="5"/>
  <c r="U513" i="5"/>
  <c r="T513" i="5"/>
  <c r="S513" i="5"/>
  <c r="R513" i="5"/>
  <c r="Q513" i="5"/>
  <c r="P513" i="5"/>
  <c r="O513" i="5"/>
  <c r="N513" i="5"/>
  <c r="M513" i="5"/>
  <c r="I513" i="5"/>
  <c r="AU512" i="5"/>
  <c r="AT512" i="5"/>
  <c r="AS512" i="5"/>
  <c r="AR512" i="5"/>
  <c r="AQ512" i="5"/>
  <c r="AP512" i="5"/>
  <c r="AO512" i="5"/>
  <c r="AN512" i="5"/>
  <c r="AM512" i="5"/>
  <c r="AL512" i="5"/>
  <c r="AK512" i="5"/>
  <c r="AI512" i="5"/>
  <c r="AH512" i="5"/>
  <c r="AG512" i="5"/>
  <c r="AF512" i="5"/>
  <c r="AE512" i="5"/>
  <c r="AD512" i="5"/>
  <c r="AC512" i="5"/>
  <c r="AB512" i="5"/>
  <c r="AA512" i="5"/>
  <c r="Z512" i="5"/>
  <c r="Y512" i="5"/>
  <c r="W512" i="5"/>
  <c r="V512" i="5"/>
  <c r="U512" i="5"/>
  <c r="T512" i="5"/>
  <c r="S512" i="5"/>
  <c r="R512" i="5"/>
  <c r="Q512" i="5"/>
  <c r="P512" i="5"/>
  <c r="O512" i="5"/>
  <c r="N512" i="5"/>
  <c r="M512" i="5"/>
  <c r="AU511" i="5"/>
  <c r="AT511" i="5"/>
  <c r="AS511" i="5"/>
  <c r="AR511" i="5"/>
  <c r="AQ511" i="5"/>
  <c r="AP511" i="5"/>
  <c r="AO511" i="5"/>
  <c r="AN511" i="5"/>
  <c r="AM511" i="5"/>
  <c r="AL511" i="5"/>
  <c r="AK511" i="5"/>
  <c r="AI511" i="5"/>
  <c r="AH511" i="5"/>
  <c r="AG511" i="5"/>
  <c r="AF511" i="5"/>
  <c r="AE511" i="5"/>
  <c r="AD511" i="5"/>
  <c r="AC511" i="5"/>
  <c r="AB511" i="5"/>
  <c r="AA511" i="5"/>
  <c r="Z511" i="5"/>
  <c r="Y511" i="5"/>
  <c r="W511" i="5"/>
  <c r="V511" i="5"/>
  <c r="U511" i="5"/>
  <c r="T511" i="5"/>
  <c r="S511" i="5"/>
  <c r="R511" i="5"/>
  <c r="Q511" i="5"/>
  <c r="P511" i="5"/>
  <c r="O511" i="5"/>
  <c r="N511" i="5"/>
  <c r="M511" i="5"/>
  <c r="AU510" i="5"/>
  <c r="AT510" i="5"/>
  <c r="AS510" i="5"/>
  <c r="AR510" i="5"/>
  <c r="AQ510" i="5"/>
  <c r="AP510" i="5"/>
  <c r="AO510" i="5"/>
  <c r="AN510" i="5"/>
  <c r="AM510" i="5"/>
  <c r="AL510" i="5"/>
  <c r="AK510" i="5"/>
  <c r="AI510" i="5"/>
  <c r="AH510" i="5"/>
  <c r="AG510" i="5"/>
  <c r="AF510" i="5"/>
  <c r="AE510" i="5"/>
  <c r="AD510" i="5"/>
  <c r="AC510" i="5"/>
  <c r="AB510" i="5"/>
  <c r="AA510" i="5"/>
  <c r="Z510" i="5"/>
  <c r="Y510" i="5"/>
  <c r="W510" i="5"/>
  <c r="V510" i="5"/>
  <c r="U510" i="5"/>
  <c r="T510" i="5"/>
  <c r="S510" i="5"/>
  <c r="R510" i="5"/>
  <c r="Q510" i="5"/>
  <c r="P510" i="5"/>
  <c r="O510" i="5"/>
  <c r="N510" i="5"/>
  <c r="M510" i="5"/>
  <c r="AU509" i="5"/>
  <c r="AT509" i="5"/>
  <c r="AS509" i="5"/>
  <c r="AR509" i="5"/>
  <c r="AQ509" i="5"/>
  <c r="AP509" i="5"/>
  <c r="AO509" i="5"/>
  <c r="AN509" i="5"/>
  <c r="AM509" i="5"/>
  <c r="AL509" i="5"/>
  <c r="AK509" i="5"/>
  <c r="AI509" i="5"/>
  <c r="AH509" i="5"/>
  <c r="AG509" i="5"/>
  <c r="AF509" i="5"/>
  <c r="AE509" i="5"/>
  <c r="AD509" i="5"/>
  <c r="AC509" i="5"/>
  <c r="AB509" i="5"/>
  <c r="AA509" i="5"/>
  <c r="Z509" i="5"/>
  <c r="Y509" i="5"/>
  <c r="W509" i="5"/>
  <c r="V509" i="5"/>
  <c r="U509" i="5"/>
  <c r="T509" i="5"/>
  <c r="S509" i="5"/>
  <c r="R509" i="5"/>
  <c r="Q509" i="5"/>
  <c r="P509" i="5"/>
  <c r="O509" i="5"/>
  <c r="N509" i="5"/>
  <c r="M509" i="5"/>
  <c r="AU508" i="5"/>
  <c r="AT508" i="5"/>
  <c r="AS508" i="5"/>
  <c r="AR508" i="5"/>
  <c r="AQ508" i="5"/>
  <c r="AP508" i="5"/>
  <c r="AO508" i="5"/>
  <c r="AN508" i="5"/>
  <c r="AM508" i="5"/>
  <c r="AL508" i="5"/>
  <c r="AK508" i="5"/>
  <c r="AI508" i="5"/>
  <c r="AH508" i="5"/>
  <c r="AG508" i="5"/>
  <c r="AF508" i="5"/>
  <c r="AE508" i="5"/>
  <c r="AD508" i="5"/>
  <c r="AC508" i="5"/>
  <c r="AB508" i="5"/>
  <c r="AA508" i="5"/>
  <c r="Z508" i="5"/>
  <c r="Y508" i="5"/>
  <c r="W508" i="5"/>
  <c r="V508" i="5"/>
  <c r="U508" i="5"/>
  <c r="T508" i="5"/>
  <c r="S508" i="5"/>
  <c r="R508" i="5"/>
  <c r="Q508" i="5"/>
  <c r="P508" i="5"/>
  <c r="O508" i="5"/>
  <c r="N508" i="5"/>
  <c r="M508" i="5"/>
  <c r="AU507" i="5"/>
  <c r="AT507" i="5"/>
  <c r="AS507" i="5"/>
  <c r="AR507" i="5"/>
  <c r="AQ507" i="5"/>
  <c r="AP507" i="5"/>
  <c r="AO507" i="5"/>
  <c r="AN507" i="5"/>
  <c r="AM507" i="5"/>
  <c r="AL507" i="5"/>
  <c r="AK507" i="5"/>
  <c r="AI507" i="5"/>
  <c r="AH507" i="5"/>
  <c r="AG507" i="5"/>
  <c r="AF507" i="5"/>
  <c r="AE507" i="5"/>
  <c r="AD507" i="5"/>
  <c r="AC507" i="5"/>
  <c r="AB507" i="5"/>
  <c r="AA507" i="5"/>
  <c r="Z507" i="5"/>
  <c r="Y507" i="5"/>
  <c r="W507" i="5"/>
  <c r="V507" i="5"/>
  <c r="U507" i="5"/>
  <c r="T507" i="5"/>
  <c r="S507" i="5"/>
  <c r="R507" i="5"/>
  <c r="Q507" i="5"/>
  <c r="P507" i="5"/>
  <c r="O507" i="5"/>
  <c r="N507" i="5"/>
  <c r="M507" i="5"/>
  <c r="I507" i="5"/>
  <c r="AU506" i="5"/>
  <c r="AT506" i="5"/>
  <c r="AS506" i="5"/>
  <c r="AR506" i="5"/>
  <c r="AQ506" i="5"/>
  <c r="AP506" i="5"/>
  <c r="AO506" i="5"/>
  <c r="AN506" i="5"/>
  <c r="AM506" i="5"/>
  <c r="AL506" i="5"/>
  <c r="AK506" i="5"/>
  <c r="AI506" i="5"/>
  <c r="AH506" i="5"/>
  <c r="AG506" i="5"/>
  <c r="AF506" i="5"/>
  <c r="AE506" i="5"/>
  <c r="AD506" i="5"/>
  <c r="AC506" i="5"/>
  <c r="AB506" i="5"/>
  <c r="AA506" i="5"/>
  <c r="Z506" i="5"/>
  <c r="Y506" i="5"/>
  <c r="W506" i="5"/>
  <c r="V506" i="5"/>
  <c r="U506" i="5"/>
  <c r="T506" i="5"/>
  <c r="S506" i="5"/>
  <c r="R506" i="5"/>
  <c r="Q506" i="5"/>
  <c r="P506" i="5"/>
  <c r="O506" i="5"/>
  <c r="N506" i="5"/>
  <c r="M506" i="5"/>
  <c r="AU505" i="5"/>
  <c r="AT505" i="5"/>
  <c r="AS505" i="5"/>
  <c r="AR505" i="5"/>
  <c r="AQ505" i="5"/>
  <c r="AP505" i="5"/>
  <c r="AO505" i="5"/>
  <c r="AN505" i="5"/>
  <c r="AM505" i="5"/>
  <c r="AL505" i="5"/>
  <c r="AK505" i="5"/>
  <c r="AI505" i="5"/>
  <c r="AH505" i="5"/>
  <c r="AG505" i="5"/>
  <c r="AF505" i="5"/>
  <c r="AE505" i="5"/>
  <c r="AD505" i="5"/>
  <c r="AC505" i="5"/>
  <c r="AB505" i="5"/>
  <c r="AA505" i="5"/>
  <c r="Z505" i="5"/>
  <c r="Y505" i="5"/>
  <c r="W505" i="5"/>
  <c r="V505" i="5"/>
  <c r="U505" i="5"/>
  <c r="T505" i="5"/>
  <c r="S505" i="5"/>
  <c r="R505" i="5"/>
  <c r="Q505" i="5"/>
  <c r="P505" i="5"/>
  <c r="O505" i="5"/>
  <c r="N505" i="5"/>
  <c r="M505" i="5"/>
  <c r="J505" i="5"/>
  <c r="AU504" i="5"/>
  <c r="AT504" i="5"/>
  <c r="AS504" i="5"/>
  <c r="AR504" i="5"/>
  <c r="AQ504" i="5"/>
  <c r="AP504" i="5"/>
  <c r="AO504" i="5"/>
  <c r="AN504" i="5"/>
  <c r="AM504" i="5"/>
  <c r="AL504" i="5"/>
  <c r="AK504" i="5"/>
  <c r="AI504" i="5"/>
  <c r="AH504" i="5"/>
  <c r="AG504" i="5"/>
  <c r="AF504" i="5"/>
  <c r="AE504" i="5"/>
  <c r="AD504" i="5"/>
  <c r="AC504" i="5"/>
  <c r="AB504" i="5"/>
  <c r="AA504" i="5"/>
  <c r="Z504" i="5"/>
  <c r="Y504" i="5"/>
  <c r="W504" i="5"/>
  <c r="V504" i="5"/>
  <c r="U504" i="5"/>
  <c r="T504" i="5"/>
  <c r="S504" i="5"/>
  <c r="R504" i="5"/>
  <c r="Q504" i="5"/>
  <c r="P504" i="5"/>
  <c r="O504" i="5"/>
  <c r="N504" i="5"/>
  <c r="M504" i="5"/>
  <c r="J504" i="5"/>
  <c r="AU503" i="5"/>
  <c r="AT503" i="5"/>
  <c r="AS503" i="5"/>
  <c r="AR503" i="5"/>
  <c r="AQ503" i="5"/>
  <c r="AP503" i="5"/>
  <c r="AO503" i="5"/>
  <c r="AN503" i="5"/>
  <c r="AM503" i="5"/>
  <c r="AL503" i="5"/>
  <c r="AK503" i="5"/>
  <c r="AI503" i="5"/>
  <c r="AH503" i="5"/>
  <c r="AG503" i="5"/>
  <c r="AF503" i="5"/>
  <c r="AE503" i="5"/>
  <c r="AD503" i="5"/>
  <c r="AC503" i="5"/>
  <c r="AB503" i="5"/>
  <c r="AA503" i="5"/>
  <c r="Z503" i="5"/>
  <c r="Y503" i="5"/>
  <c r="W503" i="5"/>
  <c r="V503" i="5"/>
  <c r="U503" i="5"/>
  <c r="T503" i="5"/>
  <c r="S503" i="5"/>
  <c r="R503" i="5"/>
  <c r="Q503" i="5"/>
  <c r="P503" i="5"/>
  <c r="O503" i="5"/>
  <c r="N503" i="5"/>
  <c r="M503" i="5"/>
  <c r="AU502" i="5"/>
  <c r="AT502" i="5"/>
  <c r="AS502" i="5"/>
  <c r="AR502" i="5"/>
  <c r="AQ502" i="5"/>
  <c r="AP502" i="5"/>
  <c r="AO502" i="5"/>
  <c r="AN502" i="5"/>
  <c r="AM502" i="5"/>
  <c r="AL502" i="5"/>
  <c r="AK502" i="5"/>
  <c r="AI502" i="5"/>
  <c r="AH502" i="5"/>
  <c r="AG502" i="5"/>
  <c r="AF502" i="5"/>
  <c r="AE502" i="5"/>
  <c r="AD502" i="5"/>
  <c r="AC502" i="5"/>
  <c r="AB502" i="5"/>
  <c r="AA502" i="5"/>
  <c r="Z502" i="5"/>
  <c r="Y502" i="5"/>
  <c r="W502" i="5"/>
  <c r="V502" i="5"/>
  <c r="U502" i="5"/>
  <c r="T502" i="5"/>
  <c r="S502" i="5"/>
  <c r="R502" i="5"/>
  <c r="Q502" i="5"/>
  <c r="P502" i="5"/>
  <c r="O502" i="5"/>
  <c r="N502" i="5"/>
  <c r="M502" i="5"/>
  <c r="AU501" i="5"/>
  <c r="AT501" i="5"/>
  <c r="AS501" i="5"/>
  <c r="AR501" i="5"/>
  <c r="AQ501" i="5"/>
  <c r="AP501" i="5"/>
  <c r="AO501" i="5"/>
  <c r="AN501" i="5"/>
  <c r="AM501" i="5"/>
  <c r="AL501" i="5"/>
  <c r="AK501" i="5"/>
  <c r="AI501" i="5"/>
  <c r="AH501" i="5"/>
  <c r="AG501" i="5"/>
  <c r="AF501" i="5"/>
  <c r="AE501" i="5"/>
  <c r="AD501" i="5"/>
  <c r="AC501" i="5"/>
  <c r="AB501" i="5"/>
  <c r="AA501" i="5"/>
  <c r="Z501" i="5"/>
  <c r="Y501" i="5"/>
  <c r="W501" i="5"/>
  <c r="V501" i="5"/>
  <c r="U501" i="5"/>
  <c r="T501" i="5"/>
  <c r="S501" i="5"/>
  <c r="R501" i="5"/>
  <c r="Q501" i="5"/>
  <c r="P501" i="5"/>
  <c r="O501" i="5"/>
  <c r="N501" i="5"/>
  <c r="M501" i="5"/>
  <c r="I501" i="5"/>
  <c r="AU500" i="5"/>
  <c r="AT500" i="5"/>
  <c r="AS500" i="5"/>
  <c r="AR500" i="5"/>
  <c r="AQ500" i="5"/>
  <c r="AP500" i="5"/>
  <c r="AO500" i="5"/>
  <c r="AN500" i="5"/>
  <c r="AM500" i="5"/>
  <c r="AL500" i="5"/>
  <c r="AK500" i="5"/>
  <c r="AI500" i="5"/>
  <c r="AH500" i="5"/>
  <c r="AG500" i="5"/>
  <c r="AF500" i="5"/>
  <c r="AE500" i="5"/>
  <c r="AD500" i="5"/>
  <c r="AC500" i="5"/>
  <c r="AB500" i="5"/>
  <c r="AA500" i="5"/>
  <c r="Z500" i="5"/>
  <c r="Y500" i="5"/>
  <c r="W500" i="5"/>
  <c r="V500" i="5"/>
  <c r="U500" i="5"/>
  <c r="T500" i="5"/>
  <c r="S500" i="5"/>
  <c r="R500" i="5"/>
  <c r="Q500" i="5"/>
  <c r="P500" i="5"/>
  <c r="O500" i="5"/>
  <c r="N500" i="5"/>
  <c r="M500" i="5"/>
  <c r="AU499" i="5"/>
  <c r="AT499" i="5"/>
  <c r="AS499" i="5"/>
  <c r="AR499" i="5"/>
  <c r="AQ499" i="5"/>
  <c r="AP499" i="5"/>
  <c r="AO499" i="5"/>
  <c r="AN499" i="5"/>
  <c r="AM499" i="5"/>
  <c r="AL499" i="5"/>
  <c r="AK499" i="5"/>
  <c r="AI499" i="5"/>
  <c r="AH499" i="5"/>
  <c r="AG499" i="5"/>
  <c r="AF499" i="5"/>
  <c r="AE499" i="5"/>
  <c r="AD499" i="5"/>
  <c r="AC499" i="5"/>
  <c r="AB499" i="5"/>
  <c r="AA499" i="5"/>
  <c r="Z499" i="5"/>
  <c r="Y499" i="5"/>
  <c r="W499" i="5"/>
  <c r="V499" i="5"/>
  <c r="U499" i="5"/>
  <c r="T499" i="5"/>
  <c r="S499" i="5"/>
  <c r="R499" i="5"/>
  <c r="Q499" i="5"/>
  <c r="P499" i="5"/>
  <c r="O499" i="5"/>
  <c r="N499" i="5"/>
  <c r="M499" i="5"/>
  <c r="AU498" i="5"/>
  <c r="AT498" i="5"/>
  <c r="AS498" i="5"/>
  <c r="AR498" i="5"/>
  <c r="AQ498" i="5"/>
  <c r="AP498" i="5"/>
  <c r="AO498" i="5"/>
  <c r="AN498" i="5"/>
  <c r="AM498" i="5"/>
  <c r="AL498" i="5"/>
  <c r="AK498" i="5"/>
  <c r="AI498" i="5"/>
  <c r="AH498" i="5"/>
  <c r="AG498" i="5"/>
  <c r="AF498" i="5"/>
  <c r="AE498" i="5"/>
  <c r="AD498" i="5"/>
  <c r="AC498" i="5"/>
  <c r="AB498" i="5"/>
  <c r="AA498" i="5"/>
  <c r="Z498" i="5"/>
  <c r="Y498" i="5"/>
  <c r="W498" i="5"/>
  <c r="V498" i="5"/>
  <c r="U498" i="5"/>
  <c r="T498" i="5"/>
  <c r="S498" i="5"/>
  <c r="R498" i="5"/>
  <c r="Q498" i="5"/>
  <c r="P498" i="5"/>
  <c r="O498" i="5"/>
  <c r="N498" i="5"/>
  <c r="M498" i="5"/>
  <c r="AU497" i="5"/>
  <c r="AT497" i="5"/>
  <c r="AS497" i="5"/>
  <c r="AR497" i="5"/>
  <c r="AQ497" i="5"/>
  <c r="AP497" i="5"/>
  <c r="AO497" i="5"/>
  <c r="AN497" i="5"/>
  <c r="AM497" i="5"/>
  <c r="AL497" i="5"/>
  <c r="AK497" i="5"/>
  <c r="AI497" i="5"/>
  <c r="AH497" i="5"/>
  <c r="AG497" i="5"/>
  <c r="AF497" i="5"/>
  <c r="AE497" i="5"/>
  <c r="AD497" i="5"/>
  <c r="AC497" i="5"/>
  <c r="AB497" i="5"/>
  <c r="AA497" i="5"/>
  <c r="Z497" i="5"/>
  <c r="Y497" i="5"/>
  <c r="W497" i="5"/>
  <c r="V497" i="5"/>
  <c r="U497" i="5"/>
  <c r="T497" i="5"/>
  <c r="S497" i="5"/>
  <c r="R497" i="5"/>
  <c r="Q497" i="5"/>
  <c r="P497" i="5"/>
  <c r="O497" i="5"/>
  <c r="N497" i="5"/>
  <c r="M497" i="5"/>
  <c r="AU496" i="5"/>
  <c r="AT496" i="5"/>
  <c r="AS496" i="5"/>
  <c r="AR496" i="5"/>
  <c r="AQ496" i="5"/>
  <c r="AP496" i="5"/>
  <c r="AO496" i="5"/>
  <c r="AN496" i="5"/>
  <c r="AM496" i="5"/>
  <c r="AL496" i="5"/>
  <c r="AK496" i="5"/>
  <c r="AI496" i="5"/>
  <c r="AH496" i="5"/>
  <c r="AG496" i="5"/>
  <c r="AF496" i="5"/>
  <c r="AE496" i="5"/>
  <c r="AD496" i="5"/>
  <c r="AC496" i="5"/>
  <c r="AB496" i="5"/>
  <c r="AA496" i="5"/>
  <c r="Z496" i="5"/>
  <c r="Y496" i="5"/>
  <c r="W496" i="5"/>
  <c r="V496" i="5"/>
  <c r="U496" i="5"/>
  <c r="T496" i="5"/>
  <c r="S496" i="5"/>
  <c r="R496" i="5"/>
  <c r="Q496" i="5"/>
  <c r="P496" i="5"/>
  <c r="O496" i="5"/>
  <c r="N496" i="5"/>
  <c r="M496" i="5"/>
  <c r="AU495" i="5"/>
  <c r="AT495" i="5"/>
  <c r="AS495" i="5"/>
  <c r="AR495" i="5"/>
  <c r="AQ495" i="5"/>
  <c r="AP495" i="5"/>
  <c r="AO495" i="5"/>
  <c r="AN495" i="5"/>
  <c r="AM495" i="5"/>
  <c r="AL495" i="5"/>
  <c r="AK495" i="5"/>
  <c r="AI495" i="5"/>
  <c r="AH495" i="5"/>
  <c r="AG495" i="5"/>
  <c r="AF495" i="5"/>
  <c r="AE495" i="5"/>
  <c r="AD495" i="5"/>
  <c r="AC495" i="5"/>
  <c r="AB495" i="5"/>
  <c r="AA495" i="5"/>
  <c r="Z495" i="5"/>
  <c r="Y495" i="5"/>
  <c r="W495" i="5"/>
  <c r="V495" i="5"/>
  <c r="U495" i="5"/>
  <c r="T495" i="5"/>
  <c r="S495" i="5"/>
  <c r="R495" i="5"/>
  <c r="Q495" i="5"/>
  <c r="P495" i="5"/>
  <c r="O495" i="5"/>
  <c r="N495" i="5"/>
  <c r="M495" i="5"/>
  <c r="I495" i="5"/>
  <c r="AU494" i="5"/>
  <c r="AT494" i="5"/>
  <c r="AS494" i="5"/>
  <c r="AR494" i="5"/>
  <c r="AQ494" i="5"/>
  <c r="AP494" i="5"/>
  <c r="AO494" i="5"/>
  <c r="AN494" i="5"/>
  <c r="AM494" i="5"/>
  <c r="AL494" i="5"/>
  <c r="AK494" i="5"/>
  <c r="AI494" i="5"/>
  <c r="AH494" i="5"/>
  <c r="AG494" i="5"/>
  <c r="AF494" i="5"/>
  <c r="AE494" i="5"/>
  <c r="AD494" i="5"/>
  <c r="AC494" i="5"/>
  <c r="AB494" i="5"/>
  <c r="AA494" i="5"/>
  <c r="Z494" i="5"/>
  <c r="Y494" i="5"/>
  <c r="W494" i="5"/>
  <c r="V494" i="5"/>
  <c r="U494" i="5"/>
  <c r="T494" i="5"/>
  <c r="S494" i="5"/>
  <c r="R494" i="5"/>
  <c r="Q494" i="5"/>
  <c r="P494" i="5"/>
  <c r="O494" i="5"/>
  <c r="N494" i="5"/>
  <c r="M494" i="5"/>
  <c r="AU493" i="5"/>
  <c r="AT493" i="5"/>
  <c r="AS493" i="5"/>
  <c r="AR493" i="5"/>
  <c r="AQ493" i="5"/>
  <c r="AP493" i="5"/>
  <c r="AO493" i="5"/>
  <c r="AN493" i="5"/>
  <c r="AM493" i="5"/>
  <c r="AL493" i="5"/>
  <c r="AK493" i="5"/>
  <c r="AI493" i="5"/>
  <c r="AH493" i="5"/>
  <c r="AG493" i="5"/>
  <c r="AF493" i="5"/>
  <c r="AE493" i="5"/>
  <c r="AD493" i="5"/>
  <c r="AC493" i="5"/>
  <c r="AB493" i="5"/>
  <c r="AA493" i="5"/>
  <c r="Z493" i="5"/>
  <c r="Y493" i="5"/>
  <c r="W493" i="5"/>
  <c r="V493" i="5"/>
  <c r="U493" i="5"/>
  <c r="T493" i="5"/>
  <c r="S493" i="5"/>
  <c r="R493" i="5"/>
  <c r="Q493" i="5"/>
  <c r="P493" i="5"/>
  <c r="O493" i="5"/>
  <c r="N493" i="5"/>
  <c r="M493" i="5"/>
  <c r="J493" i="5"/>
  <c r="AU492" i="5"/>
  <c r="AT492" i="5"/>
  <c r="AS492" i="5"/>
  <c r="AR492" i="5"/>
  <c r="AQ492" i="5"/>
  <c r="AP492" i="5"/>
  <c r="AO492" i="5"/>
  <c r="AN492" i="5"/>
  <c r="AM492" i="5"/>
  <c r="AL492" i="5"/>
  <c r="AK492" i="5"/>
  <c r="AI492" i="5"/>
  <c r="AH492" i="5"/>
  <c r="AG492" i="5"/>
  <c r="AF492" i="5"/>
  <c r="AE492" i="5"/>
  <c r="AD492" i="5"/>
  <c r="AC492" i="5"/>
  <c r="AB492" i="5"/>
  <c r="AA492" i="5"/>
  <c r="Z492" i="5"/>
  <c r="Y492" i="5"/>
  <c r="W492" i="5"/>
  <c r="V492" i="5"/>
  <c r="U492" i="5"/>
  <c r="T492" i="5"/>
  <c r="S492" i="5"/>
  <c r="R492" i="5"/>
  <c r="Q492" i="5"/>
  <c r="P492" i="5"/>
  <c r="O492" i="5"/>
  <c r="N492" i="5"/>
  <c r="M492" i="5"/>
  <c r="J492" i="5"/>
  <c r="AU491" i="5"/>
  <c r="AT491" i="5"/>
  <c r="AS491" i="5"/>
  <c r="AR491" i="5"/>
  <c r="AQ491" i="5"/>
  <c r="AP491" i="5"/>
  <c r="AO491" i="5"/>
  <c r="AN491" i="5"/>
  <c r="AM491" i="5"/>
  <c r="AL491" i="5"/>
  <c r="AK491" i="5"/>
  <c r="AI491" i="5"/>
  <c r="AH491" i="5"/>
  <c r="AG491" i="5"/>
  <c r="AF491" i="5"/>
  <c r="AE491" i="5"/>
  <c r="AD491" i="5"/>
  <c r="AC491" i="5"/>
  <c r="AB491" i="5"/>
  <c r="AA491" i="5"/>
  <c r="Z491" i="5"/>
  <c r="Y491" i="5"/>
  <c r="W491" i="5"/>
  <c r="V491" i="5"/>
  <c r="U491" i="5"/>
  <c r="T491" i="5"/>
  <c r="S491" i="5"/>
  <c r="R491" i="5"/>
  <c r="Q491" i="5"/>
  <c r="P491" i="5"/>
  <c r="O491" i="5"/>
  <c r="N491" i="5"/>
  <c r="M491" i="5"/>
  <c r="AU490" i="5"/>
  <c r="AT490" i="5"/>
  <c r="AS490" i="5"/>
  <c r="AR490" i="5"/>
  <c r="AQ490" i="5"/>
  <c r="AP490" i="5"/>
  <c r="AO490" i="5"/>
  <c r="AN490" i="5"/>
  <c r="AM490" i="5"/>
  <c r="AL490" i="5"/>
  <c r="AK490" i="5"/>
  <c r="AI490" i="5"/>
  <c r="AH490" i="5"/>
  <c r="AG490" i="5"/>
  <c r="AF490" i="5"/>
  <c r="AE490" i="5"/>
  <c r="AD490" i="5"/>
  <c r="AC490" i="5"/>
  <c r="AB490" i="5"/>
  <c r="AA490" i="5"/>
  <c r="Z490" i="5"/>
  <c r="Y490" i="5"/>
  <c r="W490" i="5"/>
  <c r="V490" i="5"/>
  <c r="U490" i="5"/>
  <c r="T490" i="5"/>
  <c r="S490" i="5"/>
  <c r="R490" i="5"/>
  <c r="Q490" i="5"/>
  <c r="P490" i="5"/>
  <c r="O490" i="5"/>
  <c r="N490" i="5"/>
  <c r="M490" i="5"/>
  <c r="AU489" i="5"/>
  <c r="AT489" i="5"/>
  <c r="AS489" i="5"/>
  <c r="AR489" i="5"/>
  <c r="AQ489" i="5"/>
  <c r="AP489" i="5"/>
  <c r="AO489" i="5"/>
  <c r="AN489" i="5"/>
  <c r="AM489" i="5"/>
  <c r="AL489" i="5"/>
  <c r="AK489" i="5"/>
  <c r="AI489" i="5"/>
  <c r="AH489" i="5"/>
  <c r="AG489" i="5"/>
  <c r="AF489" i="5"/>
  <c r="AE489" i="5"/>
  <c r="AD489" i="5"/>
  <c r="AC489" i="5"/>
  <c r="AB489" i="5"/>
  <c r="AA489" i="5"/>
  <c r="Z489" i="5"/>
  <c r="Y489" i="5"/>
  <c r="W489" i="5"/>
  <c r="V489" i="5"/>
  <c r="U489" i="5"/>
  <c r="T489" i="5"/>
  <c r="S489" i="5"/>
  <c r="R489" i="5"/>
  <c r="Q489" i="5"/>
  <c r="P489" i="5"/>
  <c r="O489" i="5"/>
  <c r="N489" i="5"/>
  <c r="M489" i="5"/>
  <c r="I489" i="5"/>
  <c r="AU488" i="5"/>
  <c r="AT488" i="5"/>
  <c r="AS488" i="5"/>
  <c r="AR488" i="5"/>
  <c r="AQ488" i="5"/>
  <c r="AP488" i="5"/>
  <c r="AO488" i="5"/>
  <c r="AN488" i="5"/>
  <c r="AM488" i="5"/>
  <c r="AL488" i="5"/>
  <c r="AK488" i="5"/>
  <c r="AI488" i="5"/>
  <c r="AH488" i="5"/>
  <c r="AG488" i="5"/>
  <c r="AF488" i="5"/>
  <c r="AE488" i="5"/>
  <c r="AD488" i="5"/>
  <c r="AC488" i="5"/>
  <c r="AB488" i="5"/>
  <c r="AA488" i="5"/>
  <c r="Z488" i="5"/>
  <c r="Y488" i="5"/>
  <c r="W488" i="5"/>
  <c r="V488" i="5"/>
  <c r="U488" i="5"/>
  <c r="T488" i="5"/>
  <c r="S488" i="5"/>
  <c r="R488" i="5"/>
  <c r="Q488" i="5"/>
  <c r="P488" i="5"/>
  <c r="O488" i="5"/>
  <c r="N488" i="5"/>
  <c r="M488" i="5"/>
  <c r="AU487" i="5"/>
  <c r="AT487" i="5"/>
  <c r="AS487" i="5"/>
  <c r="AR487" i="5"/>
  <c r="AQ487" i="5"/>
  <c r="AP487" i="5"/>
  <c r="AO487" i="5"/>
  <c r="AN487" i="5"/>
  <c r="AM487" i="5"/>
  <c r="AL487" i="5"/>
  <c r="AK487" i="5"/>
  <c r="AI487" i="5"/>
  <c r="AH487" i="5"/>
  <c r="AG487" i="5"/>
  <c r="AF487" i="5"/>
  <c r="AE487" i="5"/>
  <c r="AD487" i="5"/>
  <c r="AC487" i="5"/>
  <c r="AB487" i="5"/>
  <c r="AA487" i="5"/>
  <c r="Z487" i="5"/>
  <c r="Y487" i="5"/>
  <c r="W487" i="5"/>
  <c r="V487" i="5"/>
  <c r="U487" i="5"/>
  <c r="T487" i="5"/>
  <c r="S487" i="5"/>
  <c r="R487" i="5"/>
  <c r="Q487" i="5"/>
  <c r="P487" i="5"/>
  <c r="O487" i="5"/>
  <c r="N487" i="5"/>
  <c r="M487" i="5"/>
  <c r="AU486" i="5"/>
  <c r="AT486" i="5"/>
  <c r="AS486" i="5"/>
  <c r="AR486" i="5"/>
  <c r="AQ486" i="5"/>
  <c r="AP486" i="5"/>
  <c r="AO486" i="5"/>
  <c r="AN486" i="5"/>
  <c r="AM486" i="5"/>
  <c r="AL486" i="5"/>
  <c r="AK486" i="5"/>
  <c r="AI486" i="5"/>
  <c r="AH486" i="5"/>
  <c r="AG486" i="5"/>
  <c r="AF486" i="5"/>
  <c r="AE486" i="5"/>
  <c r="AD486" i="5"/>
  <c r="AC486" i="5"/>
  <c r="AB486" i="5"/>
  <c r="AA486" i="5"/>
  <c r="Z486" i="5"/>
  <c r="Y486" i="5"/>
  <c r="W486" i="5"/>
  <c r="V486" i="5"/>
  <c r="U486" i="5"/>
  <c r="T486" i="5"/>
  <c r="S486" i="5"/>
  <c r="R486" i="5"/>
  <c r="Q486" i="5"/>
  <c r="P486" i="5"/>
  <c r="O486" i="5"/>
  <c r="N486" i="5"/>
  <c r="M486" i="5"/>
  <c r="AU485" i="5"/>
  <c r="AT485" i="5"/>
  <c r="AS485" i="5"/>
  <c r="AR485" i="5"/>
  <c r="AQ485" i="5"/>
  <c r="AP485" i="5"/>
  <c r="AO485" i="5"/>
  <c r="AN485" i="5"/>
  <c r="AM485" i="5"/>
  <c r="AL485" i="5"/>
  <c r="AK485" i="5"/>
  <c r="AI485" i="5"/>
  <c r="AH485" i="5"/>
  <c r="AG485" i="5"/>
  <c r="AF485" i="5"/>
  <c r="AE485" i="5"/>
  <c r="AD485" i="5"/>
  <c r="AC485" i="5"/>
  <c r="AB485" i="5"/>
  <c r="AA485" i="5"/>
  <c r="Z485" i="5"/>
  <c r="Y485" i="5"/>
  <c r="W485" i="5"/>
  <c r="V485" i="5"/>
  <c r="U485" i="5"/>
  <c r="T485" i="5"/>
  <c r="S485" i="5"/>
  <c r="R485" i="5"/>
  <c r="Q485" i="5"/>
  <c r="P485" i="5"/>
  <c r="O485" i="5"/>
  <c r="N485" i="5"/>
  <c r="M485" i="5"/>
  <c r="AU484" i="5"/>
  <c r="AT484" i="5"/>
  <c r="AS484" i="5"/>
  <c r="AR484" i="5"/>
  <c r="AQ484" i="5"/>
  <c r="AP484" i="5"/>
  <c r="AO484" i="5"/>
  <c r="AN484" i="5"/>
  <c r="AM484" i="5"/>
  <c r="AL484" i="5"/>
  <c r="AK484" i="5"/>
  <c r="AI484" i="5"/>
  <c r="AH484" i="5"/>
  <c r="AG484" i="5"/>
  <c r="AF484" i="5"/>
  <c r="AE484" i="5"/>
  <c r="AD484" i="5"/>
  <c r="AC484" i="5"/>
  <c r="AB484" i="5"/>
  <c r="AA484" i="5"/>
  <c r="Z484" i="5"/>
  <c r="Y484" i="5"/>
  <c r="W484" i="5"/>
  <c r="V484" i="5"/>
  <c r="U484" i="5"/>
  <c r="T484" i="5"/>
  <c r="S484" i="5"/>
  <c r="R484" i="5"/>
  <c r="Q484" i="5"/>
  <c r="P484" i="5"/>
  <c r="O484" i="5"/>
  <c r="N484" i="5"/>
  <c r="M484" i="5"/>
  <c r="AU483" i="5"/>
  <c r="AT483" i="5"/>
  <c r="AS483" i="5"/>
  <c r="AR483" i="5"/>
  <c r="AQ483" i="5"/>
  <c r="AP483" i="5"/>
  <c r="AO483" i="5"/>
  <c r="AN483" i="5"/>
  <c r="AM483" i="5"/>
  <c r="AL483" i="5"/>
  <c r="AK483" i="5"/>
  <c r="AI483" i="5"/>
  <c r="AH483" i="5"/>
  <c r="AG483" i="5"/>
  <c r="AF483" i="5"/>
  <c r="AE483" i="5"/>
  <c r="AD483" i="5"/>
  <c r="AC483" i="5"/>
  <c r="AB483" i="5"/>
  <c r="AA483" i="5"/>
  <c r="Z483" i="5"/>
  <c r="Y483" i="5"/>
  <c r="W483" i="5"/>
  <c r="V483" i="5"/>
  <c r="U483" i="5"/>
  <c r="T483" i="5"/>
  <c r="S483" i="5"/>
  <c r="R483" i="5"/>
  <c r="Q483" i="5"/>
  <c r="P483" i="5"/>
  <c r="O483" i="5"/>
  <c r="N483" i="5"/>
  <c r="M483" i="5"/>
  <c r="I483" i="5"/>
  <c r="AU482" i="5"/>
  <c r="AT482" i="5"/>
  <c r="AS482" i="5"/>
  <c r="AR482" i="5"/>
  <c r="AQ482" i="5"/>
  <c r="AP482" i="5"/>
  <c r="AO482" i="5"/>
  <c r="AN482" i="5"/>
  <c r="AM482" i="5"/>
  <c r="AL482" i="5"/>
  <c r="AK482" i="5"/>
  <c r="AI482" i="5"/>
  <c r="AH482" i="5"/>
  <c r="AG482" i="5"/>
  <c r="AF482" i="5"/>
  <c r="AE482" i="5"/>
  <c r="AD482" i="5"/>
  <c r="AC482" i="5"/>
  <c r="AB482" i="5"/>
  <c r="AA482" i="5"/>
  <c r="Z482" i="5"/>
  <c r="Y482" i="5"/>
  <c r="W482" i="5"/>
  <c r="V482" i="5"/>
  <c r="U482" i="5"/>
  <c r="T482" i="5"/>
  <c r="S482" i="5"/>
  <c r="R482" i="5"/>
  <c r="Q482" i="5"/>
  <c r="P482" i="5"/>
  <c r="O482" i="5"/>
  <c r="N482" i="5"/>
  <c r="M482" i="5"/>
  <c r="AU481" i="5"/>
  <c r="AT481" i="5"/>
  <c r="AS481" i="5"/>
  <c r="AR481" i="5"/>
  <c r="AQ481" i="5"/>
  <c r="AP481" i="5"/>
  <c r="AO481" i="5"/>
  <c r="AN481" i="5"/>
  <c r="AM481" i="5"/>
  <c r="AL481" i="5"/>
  <c r="AK481" i="5"/>
  <c r="AI481" i="5"/>
  <c r="AH481" i="5"/>
  <c r="AG481" i="5"/>
  <c r="AF481" i="5"/>
  <c r="AE481" i="5"/>
  <c r="AD481" i="5"/>
  <c r="AC481" i="5"/>
  <c r="AB481" i="5"/>
  <c r="AA481" i="5"/>
  <c r="Z481" i="5"/>
  <c r="Y481" i="5"/>
  <c r="W481" i="5"/>
  <c r="V481" i="5"/>
  <c r="U481" i="5"/>
  <c r="T481" i="5"/>
  <c r="S481" i="5"/>
  <c r="R481" i="5"/>
  <c r="Q481" i="5"/>
  <c r="P481" i="5"/>
  <c r="O481" i="5"/>
  <c r="N481" i="5"/>
  <c r="M481" i="5"/>
  <c r="J481" i="5"/>
  <c r="AU480" i="5"/>
  <c r="AT480" i="5"/>
  <c r="AS480" i="5"/>
  <c r="AR480" i="5"/>
  <c r="AQ480" i="5"/>
  <c r="AP480" i="5"/>
  <c r="AO480" i="5"/>
  <c r="AN480" i="5"/>
  <c r="AM480" i="5"/>
  <c r="AL480" i="5"/>
  <c r="AK480" i="5"/>
  <c r="AI480" i="5"/>
  <c r="AH480" i="5"/>
  <c r="AG480" i="5"/>
  <c r="AF480" i="5"/>
  <c r="AE480" i="5"/>
  <c r="AD480" i="5"/>
  <c r="AC480" i="5"/>
  <c r="AB480" i="5"/>
  <c r="AA480" i="5"/>
  <c r="Z480" i="5"/>
  <c r="Y480" i="5"/>
  <c r="W480" i="5"/>
  <c r="V480" i="5"/>
  <c r="U480" i="5"/>
  <c r="T480" i="5"/>
  <c r="S480" i="5"/>
  <c r="R480" i="5"/>
  <c r="Q480" i="5"/>
  <c r="P480" i="5"/>
  <c r="O480" i="5"/>
  <c r="N480" i="5"/>
  <c r="M480" i="5"/>
  <c r="J480" i="5"/>
  <c r="AU479" i="5"/>
  <c r="AT479" i="5"/>
  <c r="AS479" i="5"/>
  <c r="AR479" i="5"/>
  <c r="AQ479" i="5"/>
  <c r="AP479" i="5"/>
  <c r="AO479" i="5"/>
  <c r="AN479" i="5"/>
  <c r="AM479" i="5"/>
  <c r="AL479" i="5"/>
  <c r="AK479" i="5"/>
  <c r="AI479" i="5"/>
  <c r="AH479" i="5"/>
  <c r="AG479" i="5"/>
  <c r="AF479" i="5"/>
  <c r="AE479" i="5"/>
  <c r="AD479" i="5"/>
  <c r="AC479" i="5"/>
  <c r="AB479" i="5"/>
  <c r="AA479" i="5"/>
  <c r="Z479" i="5"/>
  <c r="Y479" i="5"/>
  <c r="W479" i="5"/>
  <c r="V479" i="5"/>
  <c r="U479" i="5"/>
  <c r="T479" i="5"/>
  <c r="S479" i="5"/>
  <c r="R479" i="5"/>
  <c r="Q479" i="5"/>
  <c r="P479" i="5"/>
  <c r="O479" i="5"/>
  <c r="N479" i="5"/>
  <c r="M479" i="5"/>
  <c r="AU478" i="5"/>
  <c r="AT478" i="5"/>
  <c r="AS478" i="5"/>
  <c r="AR478" i="5"/>
  <c r="AQ478" i="5"/>
  <c r="AP478" i="5"/>
  <c r="AO478" i="5"/>
  <c r="AN478" i="5"/>
  <c r="AM478" i="5"/>
  <c r="AL478" i="5"/>
  <c r="AK478" i="5"/>
  <c r="AI478" i="5"/>
  <c r="AH478" i="5"/>
  <c r="AG478" i="5"/>
  <c r="AF478" i="5"/>
  <c r="AE478" i="5"/>
  <c r="AD478" i="5"/>
  <c r="AC478" i="5"/>
  <c r="AB478" i="5"/>
  <c r="AA478" i="5"/>
  <c r="Z478" i="5"/>
  <c r="Y478" i="5"/>
  <c r="W478" i="5"/>
  <c r="V478" i="5"/>
  <c r="U478" i="5"/>
  <c r="T478" i="5"/>
  <c r="S478" i="5"/>
  <c r="R478" i="5"/>
  <c r="Q478" i="5"/>
  <c r="P478" i="5"/>
  <c r="O478" i="5"/>
  <c r="N478" i="5"/>
  <c r="M478" i="5"/>
  <c r="AU477" i="5"/>
  <c r="AT477" i="5"/>
  <c r="AS477" i="5"/>
  <c r="AR477" i="5"/>
  <c r="AQ477" i="5"/>
  <c r="AP477" i="5"/>
  <c r="AO477" i="5"/>
  <c r="AN477" i="5"/>
  <c r="AM477" i="5"/>
  <c r="AL477" i="5"/>
  <c r="AK477" i="5"/>
  <c r="AI477" i="5"/>
  <c r="AH477" i="5"/>
  <c r="AG477" i="5"/>
  <c r="AF477" i="5"/>
  <c r="AE477" i="5"/>
  <c r="AD477" i="5"/>
  <c r="AC477" i="5"/>
  <c r="AB477" i="5"/>
  <c r="AA477" i="5"/>
  <c r="Z477" i="5"/>
  <c r="Y477" i="5"/>
  <c r="W477" i="5"/>
  <c r="V477" i="5"/>
  <c r="U477" i="5"/>
  <c r="T477" i="5"/>
  <c r="S477" i="5"/>
  <c r="R477" i="5"/>
  <c r="Q477" i="5"/>
  <c r="P477" i="5"/>
  <c r="O477" i="5"/>
  <c r="N477" i="5"/>
  <c r="M477" i="5"/>
  <c r="I477" i="5"/>
  <c r="AU476" i="5"/>
  <c r="AT476" i="5"/>
  <c r="AS476" i="5"/>
  <c r="AR476" i="5"/>
  <c r="AQ476" i="5"/>
  <c r="AP476" i="5"/>
  <c r="AO476" i="5"/>
  <c r="AN476" i="5"/>
  <c r="AM476" i="5"/>
  <c r="AL476" i="5"/>
  <c r="AK476" i="5"/>
  <c r="AI476" i="5"/>
  <c r="AH476" i="5"/>
  <c r="AG476" i="5"/>
  <c r="AF476" i="5"/>
  <c r="AE476" i="5"/>
  <c r="AD476" i="5"/>
  <c r="AC476" i="5"/>
  <c r="AB476" i="5"/>
  <c r="AA476" i="5"/>
  <c r="Z476" i="5"/>
  <c r="Y476" i="5"/>
  <c r="W476" i="5"/>
  <c r="V476" i="5"/>
  <c r="U476" i="5"/>
  <c r="T476" i="5"/>
  <c r="S476" i="5"/>
  <c r="R476" i="5"/>
  <c r="Q476" i="5"/>
  <c r="P476" i="5"/>
  <c r="O476" i="5"/>
  <c r="N476" i="5"/>
  <c r="M476" i="5"/>
  <c r="AU475" i="5"/>
  <c r="AT475" i="5"/>
  <c r="AS475" i="5"/>
  <c r="AR475" i="5"/>
  <c r="AQ475" i="5"/>
  <c r="AP475" i="5"/>
  <c r="AO475" i="5"/>
  <c r="AN475" i="5"/>
  <c r="AM475" i="5"/>
  <c r="AL475" i="5"/>
  <c r="AK475" i="5"/>
  <c r="AI475" i="5"/>
  <c r="AH475" i="5"/>
  <c r="AG475" i="5"/>
  <c r="AF475" i="5"/>
  <c r="AE475" i="5"/>
  <c r="AD475" i="5"/>
  <c r="AC475" i="5"/>
  <c r="AB475" i="5"/>
  <c r="AA475" i="5"/>
  <c r="Z475" i="5"/>
  <c r="Y475" i="5"/>
  <c r="W475" i="5"/>
  <c r="V475" i="5"/>
  <c r="U475" i="5"/>
  <c r="T475" i="5"/>
  <c r="S475" i="5"/>
  <c r="R475" i="5"/>
  <c r="Q475" i="5"/>
  <c r="P475" i="5"/>
  <c r="O475" i="5"/>
  <c r="N475" i="5"/>
  <c r="M475" i="5"/>
  <c r="AU474" i="5"/>
  <c r="AT474" i="5"/>
  <c r="AS474" i="5"/>
  <c r="AR474" i="5"/>
  <c r="AQ474" i="5"/>
  <c r="AP474" i="5"/>
  <c r="AO474" i="5"/>
  <c r="AN474" i="5"/>
  <c r="AM474" i="5"/>
  <c r="AL474" i="5"/>
  <c r="AK474" i="5"/>
  <c r="AI474" i="5"/>
  <c r="AH474" i="5"/>
  <c r="AG474" i="5"/>
  <c r="AF474" i="5"/>
  <c r="AE474" i="5"/>
  <c r="AD474" i="5"/>
  <c r="AC474" i="5"/>
  <c r="AB474" i="5"/>
  <c r="AA474" i="5"/>
  <c r="Z474" i="5"/>
  <c r="Y474" i="5"/>
  <c r="W474" i="5"/>
  <c r="V474" i="5"/>
  <c r="U474" i="5"/>
  <c r="T474" i="5"/>
  <c r="S474" i="5"/>
  <c r="R474" i="5"/>
  <c r="Q474" i="5"/>
  <c r="P474" i="5"/>
  <c r="O474" i="5"/>
  <c r="N474" i="5"/>
  <c r="M474" i="5"/>
  <c r="AU473" i="5"/>
  <c r="AT473" i="5"/>
  <c r="AS473" i="5"/>
  <c r="AR473" i="5"/>
  <c r="AQ473" i="5"/>
  <c r="AP473" i="5"/>
  <c r="AO473" i="5"/>
  <c r="AN473" i="5"/>
  <c r="AM473" i="5"/>
  <c r="AL473" i="5"/>
  <c r="AK473" i="5"/>
  <c r="AI473" i="5"/>
  <c r="AH473" i="5"/>
  <c r="AG473" i="5"/>
  <c r="AF473" i="5"/>
  <c r="AE473" i="5"/>
  <c r="AD473" i="5"/>
  <c r="AC473" i="5"/>
  <c r="AB473" i="5"/>
  <c r="AA473" i="5"/>
  <c r="Z473" i="5"/>
  <c r="Y473" i="5"/>
  <c r="W473" i="5"/>
  <c r="V473" i="5"/>
  <c r="U473" i="5"/>
  <c r="T473" i="5"/>
  <c r="S473" i="5"/>
  <c r="R473" i="5"/>
  <c r="Q473" i="5"/>
  <c r="P473" i="5"/>
  <c r="O473" i="5"/>
  <c r="N473" i="5"/>
  <c r="M473" i="5"/>
  <c r="AU472" i="5"/>
  <c r="AT472" i="5"/>
  <c r="AS472" i="5"/>
  <c r="AR472" i="5"/>
  <c r="AQ472" i="5"/>
  <c r="AP472" i="5"/>
  <c r="AO472" i="5"/>
  <c r="AN472" i="5"/>
  <c r="AM472" i="5"/>
  <c r="AL472" i="5"/>
  <c r="AK472" i="5"/>
  <c r="AI472" i="5"/>
  <c r="AH472" i="5"/>
  <c r="AG472" i="5"/>
  <c r="AF472" i="5"/>
  <c r="AE472" i="5"/>
  <c r="AD472" i="5"/>
  <c r="AC472" i="5"/>
  <c r="AB472" i="5"/>
  <c r="AA472" i="5"/>
  <c r="Z472" i="5"/>
  <c r="Y472" i="5"/>
  <c r="W472" i="5"/>
  <c r="V472" i="5"/>
  <c r="U472" i="5"/>
  <c r="T472" i="5"/>
  <c r="S472" i="5"/>
  <c r="R472" i="5"/>
  <c r="Q472" i="5"/>
  <c r="P472" i="5"/>
  <c r="O472" i="5"/>
  <c r="N472" i="5"/>
  <c r="M472" i="5"/>
  <c r="AU471" i="5"/>
  <c r="AT471" i="5"/>
  <c r="AS471" i="5"/>
  <c r="AR471" i="5"/>
  <c r="AQ471" i="5"/>
  <c r="AP471" i="5"/>
  <c r="AO471" i="5"/>
  <c r="AN471" i="5"/>
  <c r="AM471" i="5"/>
  <c r="AL471" i="5"/>
  <c r="AK471" i="5"/>
  <c r="AI471" i="5"/>
  <c r="AH471" i="5"/>
  <c r="AG471" i="5"/>
  <c r="AF471" i="5"/>
  <c r="AE471" i="5"/>
  <c r="AD471" i="5"/>
  <c r="AC471" i="5"/>
  <c r="AB471" i="5"/>
  <c r="AA471" i="5"/>
  <c r="Z471" i="5"/>
  <c r="Y471" i="5"/>
  <c r="W471" i="5"/>
  <c r="V471" i="5"/>
  <c r="U471" i="5"/>
  <c r="T471" i="5"/>
  <c r="S471" i="5"/>
  <c r="R471" i="5"/>
  <c r="Q471" i="5"/>
  <c r="P471" i="5"/>
  <c r="O471" i="5"/>
  <c r="N471" i="5"/>
  <c r="M471" i="5"/>
  <c r="I471" i="5"/>
  <c r="AU470" i="5"/>
  <c r="AT470" i="5"/>
  <c r="AS470" i="5"/>
  <c r="AR470" i="5"/>
  <c r="AQ470" i="5"/>
  <c r="AP470" i="5"/>
  <c r="AO470" i="5"/>
  <c r="AN470" i="5"/>
  <c r="AM470" i="5"/>
  <c r="AL470" i="5"/>
  <c r="AK470" i="5"/>
  <c r="AI470" i="5"/>
  <c r="AH470" i="5"/>
  <c r="AG470" i="5"/>
  <c r="AF470" i="5"/>
  <c r="AE470" i="5"/>
  <c r="AD470" i="5"/>
  <c r="AC470" i="5"/>
  <c r="AB470" i="5"/>
  <c r="AA470" i="5"/>
  <c r="Z470" i="5"/>
  <c r="Y470" i="5"/>
  <c r="W470" i="5"/>
  <c r="V470" i="5"/>
  <c r="U470" i="5"/>
  <c r="T470" i="5"/>
  <c r="S470" i="5"/>
  <c r="R470" i="5"/>
  <c r="Q470" i="5"/>
  <c r="P470" i="5"/>
  <c r="O470" i="5"/>
  <c r="N470" i="5"/>
  <c r="M470" i="5"/>
  <c r="AU469" i="5"/>
  <c r="AT469" i="5"/>
  <c r="AS469" i="5"/>
  <c r="AR469" i="5"/>
  <c r="AQ469" i="5"/>
  <c r="AP469" i="5"/>
  <c r="AO469" i="5"/>
  <c r="AN469" i="5"/>
  <c r="AM469" i="5"/>
  <c r="AL469" i="5"/>
  <c r="AK469" i="5"/>
  <c r="AI469" i="5"/>
  <c r="AH469" i="5"/>
  <c r="AG469" i="5"/>
  <c r="AF469" i="5"/>
  <c r="AE469" i="5"/>
  <c r="AD469" i="5"/>
  <c r="AC469" i="5"/>
  <c r="AB469" i="5"/>
  <c r="AA469" i="5"/>
  <c r="Z469" i="5"/>
  <c r="Y469" i="5"/>
  <c r="W469" i="5"/>
  <c r="V469" i="5"/>
  <c r="U469" i="5"/>
  <c r="T469" i="5"/>
  <c r="S469" i="5"/>
  <c r="R469" i="5"/>
  <c r="Q469" i="5"/>
  <c r="P469" i="5"/>
  <c r="O469" i="5"/>
  <c r="N469" i="5"/>
  <c r="M469" i="5"/>
  <c r="J469" i="5"/>
  <c r="AU468" i="5"/>
  <c r="AT468" i="5"/>
  <c r="AS468" i="5"/>
  <c r="AR468" i="5"/>
  <c r="AQ468" i="5"/>
  <c r="AP468" i="5"/>
  <c r="AO468" i="5"/>
  <c r="AN468" i="5"/>
  <c r="AM468" i="5"/>
  <c r="AL468" i="5"/>
  <c r="AK468" i="5"/>
  <c r="AI468" i="5"/>
  <c r="AH468" i="5"/>
  <c r="AG468" i="5"/>
  <c r="AF468" i="5"/>
  <c r="AE468" i="5"/>
  <c r="AD468" i="5"/>
  <c r="AC468" i="5"/>
  <c r="AB468" i="5"/>
  <c r="AA468" i="5"/>
  <c r="Z468" i="5"/>
  <c r="Y468" i="5"/>
  <c r="W468" i="5"/>
  <c r="V468" i="5"/>
  <c r="U468" i="5"/>
  <c r="T468" i="5"/>
  <c r="S468" i="5"/>
  <c r="R468" i="5"/>
  <c r="Q468" i="5"/>
  <c r="P468" i="5"/>
  <c r="O468" i="5"/>
  <c r="N468" i="5"/>
  <c r="M468" i="5"/>
  <c r="J468" i="5"/>
  <c r="AU467" i="5"/>
  <c r="AT467" i="5"/>
  <c r="AS467" i="5"/>
  <c r="AR467" i="5"/>
  <c r="AQ467" i="5"/>
  <c r="AP467" i="5"/>
  <c r="AO467" i="5"/>
  <c r="AN467" i="5"/>
  <c r="AM467" i="5"/>
  <c r="AL467" i="5"/>
  <c r="AK467" i="5"/>
  <c r="AI467" i="5"/>
  <c r="AH467" i="5"/>
  <c r="AG467" i="5"/>
  <c r="AF467" i="5"/>
  <c r="AE467" i="5"/>
  <c r="AD467" i="5"/>
  <c r="AC467" i="5"/>
  <c r="AB467" i="5"/>
  <c r="AA467" i="5"/>
  <c r="Z467" i="5"/>
  <c r="Y467" i="5"/>
  <c r="W467" i="5"/>
  <c r="V467" i="5"/>
  <c r="U467" i="5"/>
  <c r="T467" i="5"/>
  <c r="S467" i="5"/>
  <c r="R467" i="5"/>
  <c r="Q467" i="5"/>
  <c r="P467" i="5"/>
  <c r="O467" i="5"/>
  <c r="N467" i="5"/>
  <c r="M467" i="5"/>
  <c r="AU466" i="5"/>
  <c r="AT466" i="5"/>
  <c r="AS466" i="5"/>
  <c r="AR466" i="5"/>
  <c r="AQ466" i="5"/>
  <c r="AP466" i="5"/>
  <c r="AO466" i="5"/>
  <c r="AN466" i="5"/>
  <c r="AM466" i="5"/>
  <c r="AL466" i="5"/>
  <c r="AK466" i="5"/>
  <c r="AI466" i="5"/>
  <c r="AH466" i="5"/>
  <c r="AG466" i="5"/>
  <c r="AF466" i="5"/>
  <c r="AE466" i="5"/>
  <c r="AD466" i="5"/>
  <c r="AC466" i="5"/>
  <c r="AB466" i="5"/>
  <c r="AA466" i="5"/>
  <c r="Z466" i="5"/>
  <c r="Y466" i="5"/>
  <c r="W466" i="5"/>
  <c r="V466" i="5"/>
  <c r="U466" i="5"/>
  <c r="T466" i="5"/>
  <c r="S466" i="5"/>
  <c r="R466" i="5"/>
  <c r="Q466" i="5"/>
  <c r="P466" i="5"/>
  <c r="O466" i="5"/>
  <c r="N466" i="5"/>
  <c r="M466" i="5"/>
  <c r="AU465" i="5"/>
  <c r="AT465" i="5"/>
  <c r="AS465" i="5"/>
  <c r="AR465" i="5"/>
  <c r="AQ465" i="5"/>
  <c r="AP465" i="5"/>
  <c r="AO465" i="5"/>
  <c r="AN465" i="5"/>
  <c r="AM465" i="5"/>
  <c r="AL465" i="5"/>
  <c r="AK465" i="5"/>
  <c r="AI465" i="5"/>
  <c r="AH465" i="5"/>
  <c r="AG465" i="5"/>
  <c r="AF465" i="5"/>
  <c r="AE465" i="5"/>
  <c r="AD465" i="5"/>
  <c r="AC465" i="5"/>
  <c r="AB465" i="5"/>
  <c r="AA465" i="5"/>
  <c r="Z465" i="5"/>
  <c r="Y465" i="5"/>
  <c r="W465" i="5"/>
  <c r="V465" i="5"/>
  <c r="U465" i="5"/>
  <c r="T465" i="5"/>
  <c r="S465" i="5"/>
  <c r="R465" i="5"/>
  <c r="Q465" i="5"/>
  <c r="P465" i="5"/>
  <c r="O465" i="5"/>
  <c r="N465" i="5"/>
  <c r="M465" i="5"/>
  <c r="I465" i="5"/>
  <c r="AU464" i="5"/>
  <c r="AT464" i="5"/>
  <c r="AS464" i="5"/>
  <c r="AR464" i="5"/>
  <c r="AQ464" i="5"/>
  <c r="AP464" i="5"/>
  <c r="AO464" i="5"/>
  <c r="AN464" i="5"/>
  <c r="AM464" i="5"/>
  <c r="AL464" i="5"/>
  <c r="AK464" i="5"/>
  <c r="AI464" i="5"/>
  <c r="AH464" i="5"/>
  <c r="AG464" i="5"/>
  <c r="AF464" i="5"/>
  <c r="AE464" i="5"/>
  <c r="AD464" i="5"/>
  <c r="AC464" i="5"/>
  <c r="AB464" i="5"/>
  <c r="AA464" i="5"/>
  <c r="Z464" i="5"/>
  <c r="Y464" i="5"/>
  <c r="W464" i="5"/>
  <c r="V464" i="5"/>
  <c r="U464" i="5"/>
  <c r="T464" i="5"/>
  <c r="S464" i="5"/>
  <c r="R464" i="5"/>
  <c r="Q464" i="5"/>
  <c r="P464" i="5"/>
  <c r="O464" i="5"/>
  <c r="N464" i="5"/>
  <c r="M464" i="5"/>
  <c r="AU463" i="5"/>
  <c r="AT463" i="5"/>
  <c r="AS463" i="5"/>
  <c r="AR463" i="5"/>
  <c r="AQ463" i="5"/>
  <c r="AP463" i="5"/>
  <c r="AO463" i="5"/>
  <c r="AN463" i="5"/>
  <c r="AM463" i="5"/>
  <c r="AL463" i="5"/>
  <c r="AK463" i="5"/>
  <c r="AI463" i="5"/>
  <c r="AH463" i="5"/>
  <c r="AG463" i="5"/>
  <c r="AF463" i="5"/>
  <c r="AE463" i="5"/>
  <c r="AD463" i="5"/>
  <c r="AC463" i="5"/>
  <c r="AB463" i="5"/>
  <c r="AA463" i="5"/>
  <c r="Z463" i="5"/>
  <c r="Y463" i="5"/>
  <c r="W463" i="5"/>
  <c r="V463" i="5"/>
  <c r="U463" i="5"/>
  <c r="T463" i="5"/>
  <c r="S463" i="5"/>
  <c r="R463" i="5"/>
  <c r="Q463" i="5"/>
  <c r="P463" i="5"/>
  <c r="O463" i="5"/>
  <c r="N463" i="5"/>
  <c r="M463" i="5"/>
  <c r="AU462" i="5"/>
  <c r="AT462" i="5"/>
  <c r="AS462" i="5"/>
  <c r="AR462" i="5"/>
  <c r="AQ462" i="5"/>
  <c r="AQ765" i="5" s="1"/>
  <c r="AD770" i="5" s="1"/>
  <c r="AP462" i="5"/>
  <c r="AO462" i="5"/>
  <c r="AN462" i="5"/>
  <c r="AM462" i="5"/>
  <c r="AL462" i="5"/>
  <c r="AK462" i="5"/>
  <c r="AI462" i="5"/>
  <c r="AH462" i="5"/>
  <c r="AG462" i="5"/>
  <c r="AF462" i="5"/>
  <c r="AE462" i="5"/>
  <c r="AD462" i="5"/>
  <c r="AD765" i="5" s="1"/>
  <c r="AC462" i="5"/>
  <c r="AB462" i="5"/>
  <c r="AA462" i="5"/>
  <c r="Z462" i="5"/>
  <c r="Y462" i="5"/>
  <c r="W462" i="5"/>
  <c r="V462" i="5"/>
  <c r="U462" i="5"/>
  <c r="T462" i="5"/>
  <c r="S462" i="5"/>
  <c r="R462" i="5"/>
  <c r="Q462" i="5"/>
  <c r="Q765" i="5" s="1"/>
  <c r="O770" i="5" s="1"/>
  <c r="P462" i="5"/>
  <c r="O462" i="5"/>
  <c r="N462" i="5"/>
  <c r="M462" i="5"/>
  <c r="AU461" i="5"/>
  <c r="AT461" i="5"/>
  <c r="AS461" i="5"/>
  <c r="AR461" i="5"/>
  <c r="AQ461" i="5"/>
  <c r="AP461" i="5"/>
  <c r="AO461" i="5"/>
  <c r="AN461" i="5"/>
  <c r="AM461" i="5"/>
  <c r="AL461" i="5"/>
  <c r="AK461" i="5"/>
  <c r="AI461" i="5"/>
  <c r="AH461" i="5"/>
  <c r="AG461" i="5"/>
  <c r="AF461" i="5"/>
  <c r="AE461" i="5"/>
  <c r="AD461" i="5"/>
  <c r="AC461" i="5"/>
  <c r="AB461" i="5"/>
  <c r="AA461" i="5"/>
  <c r="Z461" i="5"/>
  <c r="Y461" i="5"/>
  <c r="W461" i="5"/>
  <c r="V461" i="5"/>
  <c r="U461" i="5"/>
  <c r="T461" i="5"/>
  <c r="S461" i="5"/>
  <c r="R461" i="5"/>
  <c r="Q461" i="5"/>
  <c r="P461" i="5"/>
  <c r="O461" i="5"/>
  <c r="N461" i="5"/>
  <c r="M461" i="5"/>
  <c r="AU460" i="5"/>
  <c r="AT460" i="5"/>
  <c r="AS460" i="5"/>
  <c r="AR460" i="5"/>
  <c r="AQ460" i="5"/>
  <c r="AP460" i="5"/>
  <c r="AO460" i="5"/>
  <c r="AN460" i="5"/>
  <c r="AM460" i="5"/>
  <c r="AL460" i="5"/>
  <c r="AK460" i="5"/>
  <c r="AI460" i="5"/>
  <c r="AH460" i="5"/>
  <c r="AG460" i="5"/>
  <c r="AF460" i="5"/>
  <c r="AE460" i="5"/>
  <c r="AD460" i="5"/>
  <c r="AC460" i="5"/>
  <c r="AB460" i="5"/>
  <c r="AA460" i="5"/>
  <c r="Z460" i="5"/>
  <c r="Y460" i="5"/>
  <c r="W460" i="5"/>
  <c r="V460" i="5"/>
  <c r="U460" i="5"/>
  <c r="T460" i="5"/>
  <c r="S460" i="5"/>
  <c r="R460" i="5"/>
  <c r="Q460" i="5"/>
  <c r="P460" i="5"/>
  <c r="O460" i="5"/>
  <c r="N460" i="5"/>
  <c r="M460" i="5"/>
  <c r="AU459" i="5"/>
  <c r="AT459" i="5"/>
  <c r="AS459" i="5"/>
  <c r="AR459" i="5"/>
  <c r="AQ459" i="5"/>
  <c r="AP459" i="5"/>
  <c r="AO459" i="5"/>
  <c r="AN459" i="5"/>
  <c r="AM459" i="5"/>
  <c r="AL459" i="5"/>
  <c r="AK459" i="5"/>
  <c r="AI459" i="5"/>
  <c r="AH459" i="5"/>
  <c r="AG459" i="5"/>
  <c r="AF459" i="5"/>
  <c r="AE459" i="5"/>
  <c r="AD459" i="5"/>
  <c r="AC459" i="5"/>
  <c r="AB459" i="5"/>
  <c r="AA459" i="5"/>
  <c r="Z459" i="5"/>
  <c r="Y459" i="5"/>
  <c r="W459" i="5"/>
  <c r="V459" i="5"/>
  <c r="U459" i="5"/>
  <c r="T459" i="5"/>
  <c r="S459" i="5"/>
  <c r="R459" i="5"/>
  <c r="Q459" i="5"/>
  <c r="P459" i="5"/>
  <c r="O459" i="5"/>
  <c r="N459" i="5"/>
  <c r="M459" i="5"/>
  <c r="I459" i="5"/>
  <c r="AU458" i="5"/>
  <c r="AT458" i="5"/>
  <c r="AS458" i="5"/>
  <c r="AR458" i="5"/>
  <c r="AQ458" i="5"/>
  <c r="AP458" i="5"/>
  <c r="AO458" i="5"/>
  <c r="AN458" i="5"/>
  <c r="AM458" i="5"/>
  <c r="AL458" i="5"/>
  <c r="AK458" i="5"/>
  <c r="AI458" i="5"/>
  <c r="AH458" i="5"/>
  <c r="AG458" i="5"/>
  <c r="AF458" i="5"/>
  <c r="AE458" i="5"/>
  <c r="AD458" i="5"/>
  <c r="AC458" i="5"/>
  <c r="AB458" i="5"/>
  <c r="AA458" i="5"/>
  <c r="Z458" i="5"/>
  <c r="Y458" i="5"/>
  <c r="W458" i="5"/>
  <c r="V458" i="5"/>
  <c r="U458" i="5"/>
  <c r="T458" i="5"/>
  <c r="S458" i="5"/>
  <c r="R458" i="5"/>
  <c r="Q458" i="5"/>
  <c r="P458" i="5"/>
  <c r="O458" i="5"/>
  <c r="N458" i="5"/>
  <c r="M458" i="5"/>
  <c r="AU457" i="5"/>
  <c r="AT457" i="5"/>
  <c r="AS457" i="5"/>
  <c r="AR457" i="5"/>
  <c r="AQ457" i="5"/>
  <c r="AP457" i="5"/>
  <c r="AO457" i="5"/>
  <c r="AN457" i="5"/>
  <c r="AM457" i="5"/>
  <c r="AL457" i="5"/>
  <c r="AK457" i="5"/>
  <c r="AI457" i="5"/>
  <c r="AH457" i="5"/>
  <c r="AG457" i="5"/>
  <c r="AF457" i="5"/>
  <c r="AE457" i="5"/>
  <c r="AD457" i="5"/>
  <c r="AC457" i="5"/>
  <c r="AB457" i="5"/>
  <c r="AA457" i="5"/>
  <c r="Z457" i="5"/>
  <c r="Y457" i="5"/>
  <c r="W457" i="5"/>
  <c r="V457" i="5"/>
  <c r="U457" i="5"/>
  <c r="T457" i="5"/>
  <c r="S457" i="5"/>
  <c r="R457" i="5"/>
  <c r="Q457" i="5"/>
  <c r="P457" i="5"/>
  <c r="O457" i="5"/>
  <c r="N457" i="5"/>
  <c r="M457" i="5"/>
  <c r="J457" i="5"/>
  <c r="AU456" i="5"/>
  <c r="AT456" i="5"/>
  <c r="AS456" i="5"/>
  <c r="AR456" i="5"/>
  <c r="AQ456" i="5"/>
  <c r="AP456" i="5"/>
  <c r="AO456" i="5"/>
  <c r="AN456" i="5"/>
  <c r="AM456" i="5"/>
  <c r="AL456" i="5"/>
  <c r="AK456" i="5"/>
  <c r="AI456" i="5"/>
  <c r="AH456" i="5"/>
  <c r="AG456" i="5"/>
  <c r="AF456" i="5"/>
  <c r="AE456" i="5"/>
  <c r="AD456" i="5"/>
  <c r="AC456" i="5"/>
  <c r="AB456" i="5"/>
  <c r="AA456" i="5"/>
  <c r="Z456" i="5"/>
  <c r="Y456" i="5"/>
  <c r="W456" i="5"/>
  <c r="V456" i="5"/>
  <c r="U456" i="5"/>
  <c r="T456" i="5"/>
  <c r="S456" i="5"/>
  <c r="R456" i="5"/>
  <c r="Q456" i="5"/>
  <c r="P456" i="5"/>
  <c r="O456" i="5"/>
  <c r="N456" i="5"/>
  <c r="M456" i="5"/>
  <c r="J456" i="5"/>
  <c r="AU455" i="5"/>
  <c r="AT455" i="5"/>
  <c r="AS455" i="5"/>
  <c r="AR455" i="5"/>
  <c r="AQ455" i="5"/>
  <c r="AP455" i="5"/>
  <c r="AO455" i="5"/>
  <c r="AN455" i="5"/>
  <c r="AM455" i="5"/>
  <c r="AL455" i="5"/>
  <c r="AK455" i="5"/>
  <c r="AI455" i="5"/>
  <c r="AH455" i="5"/>
  <c r="AG455" i="5"/>
  <c r="AF455" i="5"/>
  <c r="AE455" i="5"/>
  <c r="AD455" i="5"/>
  <c r="AC455" i="5"/>
  <c r="AB455" i="5"/>
  <c r="AA455" i="5"/>
  <c r="Z455" i="5"/>
  <c r="Y455" i="5"/>
  <c r="W455" i="5"/>
  <c r="V455" i="5"/>
  <c r="U455" i="5"/>
  <c r="T455" i="5"/>
  <c r="S455" i="5"/>
  <c r="R455" i="5"/>
  <c r="Q455" i="5"/>
  <c r="P455" i="5"/>
  <c r="O455" i="5"/>
  <c r="N455" i="5"/>
  <c r="M455" i="5"/>
  <c r="AU454" i="5"/>
  <c r="AT454" i="5"/>
  <c r="AS454" i="5"/>
  <c r="AR454" i="5"/>
  <c r="AQ454" i="5"/>
  <c r="AP454" i="5"/>
  <c r="AO454" i="5"/>
  <c r="AN454" i="5"/>
  <c r="AM454" i="5"/>
  <c r="AL454" i="5"/>
  <c r="AK454" i="5"/>
  <c r="AI454" i="5"/>
  <c r="AH454" i="5"/>
  <c r="AG454" i="5"/>
  <c r="AF454" i="5"/>
  <c r="AE454" i="5"/>
  <c r="AD454" i="5"/>
  <c r="AC454" i="5"/>
  <c r="AB454" i="5"/>
  <c r="AA454" i="5"/>
  <c r="Z454" i="5"/>
  <c r="Y454" i="5"/>
  <c r="W454" i="5"/>
  <c r="V454" i="5"/>
  <c r="U454" i="5"/>
  <c r="T454" i="5"/>
  <c r="S454" i="5"/>
  <c r="R454" i="5"/>
  <c r="Q454" i="5"/>
  <c r="P454" i="5"/>
  <c r="O454" i="5"/>
  <c r="N454" i="5"/>
  <c r="M454" i="5"/>
  <c r="AU453" i="5"/>
  <c r="AT453" i="5"/>
  <c r="AS453" i="5"/>
  <c r="AR453" i="5"/>
  <c r="AQ453" i="5"/>
  <c r="AP453" i="5"/>
  <c r="AO453" i="5"/>
  <c r="AN453" i="5"/>
  <c r="AM453" i="5"/>
  <c r="AL453" i="5"/>
  <c r="AK453" i="5"/>
  <c r="AI453" i="5"/>
  <c r="AH453" i="5"/>
  <c r="AG453" i="5"/>
  <c r="AF453" i="5"/>
  <c r="AE453" i="5"/>
  <c r="AD453" i="5"/>
  <c r="AC453" i="5"/>
  <c r="AB453" i="5"/>
  <c r="AA453" i="5"/>
  <c r="Z453" i="5"/>
  <c r="Y453" i="5"/>
  <c r="W453" i="5"/>
  <c r="V453" i="5"/>
  <c r="U453" i="5"/>
  <c r="T453" i="5"/>
  <c r="S453" i="5"/>
  <c r="R453" i="5"/>
  <c r="Q453" i="5"/>
  <c r="P453" i="5"/>
  <c r="O453" i="5"/>
  <c r="N453" i="5"/>
  <c r="M453" i="5"/>
  <c r="I453" i="5"/>
  <c r="AU452" i="5"/>
  <c r="AT452" i="5"/>
  <c r="AS452" i="5"/>
  <c r="AR452" i="5"/>
  <c r="AQ452" i="5"/>
  <c r="AP452" i="5"/>
  <c r="AO452" i="5"/>
  <c r="AN452" i="5"/>
  <c r="AM452" i="5"/>
  <c r="AL452" i="5"/>
  <c r="AK452" i="5"/>
  <c r="AI452" i="5"/>
  <c r="AH452" i="5"/>
  <c r="AG452" i="5"/>
  <c r="AF452" i="5"/>
  <c r="AE452" i="5"/>
  <c r="AD452" i="5"/>
  <c r="AC452" i="5"/>
  <c r="AB452" i="5"/>
  <c r="AA452" i="5"/>
  <c r="Z452" i="5"/>
  <c r="Y452" i="5"/>
  <c r="W452" i="5"/>
  <c r="V452" i="5"/>
  <c r="U452" i="5"/>
  <c r="T452" i="5"/>
  <c r="S452" i="5"/>
  <c r="R452" i="5"/>
  <c r="Q452" i="5"/>
  <c r="P452" i="5"/>
  <c r="O452" i="5"/>
  <c r="N452" i="5"/>
  <c r="M452" i="5"/>
  <c r="AU451" i="5"/>
  <c r="AT451" i="5"/>
  <c r="AS451" i="5"/>
  <c r="AR451" i="5"/>
  <c r="AQ451" i="5"/>
  <c r="AP451" i="5"/>
  <c r="AO451" i="5"/>
  <c r="AN451" i="5"/>
  <c r="AM451" i="5"/>
  <c r="AL451" i="5"/>
  <c r="AK451" i="5"/>
  <c r="AI451" i="5"/>
  <c r="AH451" i="5"/>
  <c r="AG451" i="5"/>
  <c r="AF451" i="5"/>
  <c r="AE451" i="5"/>
  <c r="AD451" i="5"/>
  <c r="AC451" i="5"/>
  <c r="AB451" i="5"/>
  <c r="AA451" i="5"/>
  <c r="Z451" i="5"/>
  <c r="Y451" i="5"/>
  <c r="W451" i="5"/>
  <c r="V451" i="5"/>
  <c r="U451" i="5"/>
  <c r="T451" i="5"/>
  <c r="S451" i="5"/>
  <c r="R451" i="5"/>
  <c r="Q451" i="5"/>
  <c r="P451" i="5"/>
  <c r="O451" i="5"/>
  <c r="N451" i="5"/>
  <c r="M451" i="5"/>
  <c r="AU450" i="5"/>
  <c r="AT450" i="5"/>
  <c r="AS450" i="5"/>
  <c r="AR450" i="5"/>
  <c r="AQ450" i="5"/>
  <c r="AP450" i="5"/>
  <c r="AO450" i="5"/>
  <c r="AN450" i="5"/>
  <c r="AM450" i="5"/>
  <c r="AL450" i="5"/>
  <c r="AK450" i="5"/>
  <c r="AI450" i="5"/>
  <c r="AH450" i="5"/>
  <c r="AG450" i="5"/>
  <c r="AF450" i="5"/>
  <c r="AE450" i="5"/>
  <c r="AD450" i="5"/>
  <c r="AC450" i="5"/>
  <c r="AB450" i="5"/>
  <c r="AA450" i="5"/>
  <c r="Z450" i="5"/>
  <c r="Y450" i="5"/>
  <c r="W450" i="5"/>
  <c r="V450" i="5"/>
  <c r="U450" i="5"/>
  <c r="T450" i="5"/>
  <c r="S450" i="5"/>
  <c r="R450" i="5"/>
  <c r="Q450" i="5"/>
  <c r="P450" i="5"/>
  <c r="O450" i="5"/>
  <c r="N450" i="5"/>
  <c r="M450" i="5"/>
  <c r="AU449" i="5"/>
  <c r="AT449" i="5"/>
  <c r="AS449" i="5"/>
  <c r="AR449" i="5"/>
  <c r="AQ449" i="5"/>
  <c r="AP449" i="5"/>
  <c r="AO449" i="5"/>
  <c r="AN449" i="5"/>
  <c r="AM449" i="5"/>
  <c r="AL449" i="5"/>
  <c r="AK449" i="5"/>
  <c r="AI449" i="5"/>
  <c r="AH449" i="5"/>
  <c r="AG449" i="5"/>
  <c r="AF449" i="5"/>
  <c r="AE449" i="5"/>
  <c r="AD449" i="5"/>
  <c r="AC449" i="5"/>
  <c r="AB449" i="5"/>
  <c r="AA449" i="5"/>
  <c r="Z449" i="5"/>
  <c r="Y449" i="5"/>
  <c r="W449" i="5"/>
  <c r="V449" i="5"/>
  <c r="U449" i="5"/>
  <c r="T449" i="5"/>
  <c r="S449" i="5"/>
  <c r="R449" i="5"/>
  <c r="Q449" i="5"/>
  <c r="P449" i="5"/>
  <c r="O449" i="5"/>
  <c r="N449" i="5"/>
  <c r="M449" i="5"/>
  <c r="AU448" i="5"/>
  <c r="AT448" i="5"/>
  <c r="AS448" i="5"/>
  <c r="AR448" i="5"/>
  <c r="AQ448" i="5"/>
  <c r="AP448" i="5"/>
  <c r="AO448" i="5"/>
  <c r="AN448" i="5"/>
  <c r="AM448" i="5"/>
  <c r="AL448" i="5"/>
  <c r="AK448" i="5"/>
  <c r="AI448" i="5"/>
  <c r="AH448" i="5"/>
  <c r="AG448" i="5"/>
  <c r="AF448" i="5"/>
  <c r="AE448" i="5"/>
  <c r="AD448" i="5"/>
  <c r="AC448" i="5"/>
  <c r="AB448" i="5"/>
  <c r="AA448" i="5"/>
  <c r="Z448" i="5"/>
  <c r="Y448" i="5"/>
  <c r="W448" i="5"/>
  <c r="V448" i="5"/>
  <c r="U448" i="5"/>
  <c r="T448" i="5"/>
  <c r="S448" i="5"/>
  <c r="R448" i="5"/>
  <c r="Q448" i="5"/>
  <c r="P448" i="5"/>
  <c r="O448" i="5"/>
  <c r="N448" i="5"/>
  <c r="M448" i="5"/>
  <c r="AU447" i="5"/>
  <c r="AT447" i="5"/>
  <c r="AS447" i="5"/>
  <c r="AR447" i="5"/>
  <c r="AQ447" i="5"/>
  <c r="AP447" i="5"/>
  <c r="AO447" i="5"/>
  <c r="AN447" i="5"/>
  <c r="AM447" i="5"/>
  <c r="AL447" i="5"/>
  <c r="AK447" i="5"/>
  <c r="AI447" i="5"/>
  <c r="AH447" i="5"/>
  <c r="AG447" i="5"/>
  <c r="AF447" i="5"/>
  <c r="AE447" i="5"/>
  <c r="AD447" i="5"/>
  <c r="AC447" i="5"/>
  <c r="AB447" i="5"/>
  <c r="AA447" i="5"/>
  <c r="Z447" i="5"/>
  <c r="Y447" i="5"/>
  <c r="W447" i="5"/>
  <c r="V447" i="5"/>
  <c r="U447" i="5"/>
  <c r="T447" i="5"/>
  <c r="S447" i="5"/>
  <c r="R447" i="5"/>
  <c r="Q447" i="5"/>
  <c r="P447" i="5"/>
  <c r="O447" i="5"/>
  <c r="N447" i="5"/>
  <c r="M447" i="5"/>
  <c r="I447" i="5"/>
  <c r="AU446" i="5"/>
  <c r="AT446" i="5"/>
  <c r="AS446" i="5"/>
  <c r="AR446" i="5"/>
  <c r="AQ446" i="5"/>
  <c r="AP446" i="5"/>
  <c r="AO446" i="5"/>
  <c r="AN446" i="5"/>
  <c r="AM446" i="5"/>
  <c r="AL446" i="5"/>
  <c r="AK446" i="5"/>
  <c r="AI446" i="5"/>
  <c r="AH446" i="5"/>
  <c r="AG446" i="5"/>
  <c r="AF446" i="5"/>
  <c r="AE446" i="5"/>
  <c r="AD446" i="5"/>
  <c r="AC446" i="5"/>
  <c r="AB446" i="5"/>
  <c r="AA446" i="5"/>
  <c r="Z446" i="5"/>
  <c r="Y446" i="5"/>
  <c r="W446" i="5"/>
  <c r="V446" i="5"/>
  <c r="U446" i="5"/>
  <c r="T446" i="5"/>
  <c r="S446" i="5"/>
  <c r="R446" i="5"/>
  <c r="Q446" i="5"/>
  <c r="P446" i="5"/>
  <c r="O446" i="5"/>
  <c r="N446" i="5"/>
  <c r="M446" i="5"/>
  <c r="AU445" i="5"/>
  <c r="AT445" i="5"/>
  <c r="AS445" i="5"/>
  <c r="AR445" i="5"/>
  <c r="AQ445" i="5"/>
  <c r="AP445" i="5"/>
  <c r="AO445" i="5"/>
  <c r="AN445" i="5"/>
  <c r="AM445" i="5"/>
  <c r="AL445" i="5"/>
  <c r="AK445" i="5"/>
  <c r="AI445" i="5"/>
  <c r="AH445" i="5"/>
  <c r="AG445" i="5"/>
  <c r="AF445" i="5"/>
  <c r="AE445" i="5"/>
  <c r="AD445" i="5"/>
  <c r="AC445" i="5"/>
  <c r="AB445" i="5"/>
  <c r="AA445" i="5"/>
  <c r="Z445" i="5"/>
  <c r="Y445" i="5"/>
  <c r="W445" i="5"/>
  <c r="V445" i="5"/>
  <c r="U445" i="5"/>
  <c r="T445" i="5"/>
  <c r="S445" i="5"/>
  <c r="R445" i="5"/>
  <c r="Q445" i="5"/>
  <c r="P445" i="5"/>
  <c r="O445" i="5"/>
  <c r="N445" i="5"/>
  <c r="M445" i="5"/>
  <c r="J445" i="5"/>
  <c r="AU444" i="5"/>
  <c r="AT444" i="5"/>
  <c r="AS444" i="5"/>
  <c r="AR444" i="5"/>
  <c r="AQ444" i="5"/>
  <c r="AP444" i="5"/>
  <c r="AO444" i="5"/>
  <c r="AN444" i="5"/>
  <c r="AM444" i="5"/>
  <c r="AL444" i="5"/>
  <c r="AK444" i="5"/>
  <c r="AI444" i="5"/>
  <c r="AH444" i="5"/>
  <c r="AG444" i="5"/>
  <c r="AF444" i="5"/>
  <c r="AE444" i="5"/>
  <c r="AD444" i="5"/>
  <c r="AC444" i="5"/>
  <c r="AB444" i="5"/>
  <c r="AA444" i="5"/>
  <c r="Z444" i="5"/>
  <c r="Y444" i="5"/>
  <c r="W444" i="5"/>
  <c r="V444" i="5"/>
  <c r="U444" i="5"/>
  <c r="T444" i="5"/>
  <c r="S444" i="5"/>
  <c r="R444" i="5"/>
  <c r="Q444" i="5"/>
  <c r="P444" i="5"/>
  <c r="O444" i="5"/>
  <c r="N444" i="5"/>
  <c r="M444" i="5"/>
  <c r="J444" i="5"/>
  <c r="AU443" i="5"/>
  <c r="AT443" i="5"/>
  <c r="AS443" i="5"/>
  <c r="AR443" i="5"/>
  <c r="AQ443" i="5"/>
  <c r="AP443" i="5"/>
  <c r="AO443" i="5"/>
  <c r="AN443" i="5"/>
  <c r="AM443" i="5"/>
  <c r="AL443" i="5"/>
  <c r="AK443" i="5"/>
  <c r="AI443" i="5"/>
  <c r="AH443" i="5"/>
  <c r="AG443" i="5"/>
  <c r="AF443" i="5"/>
  <c r="AE443" i="5"/>
  <c r="AD443" i="5"/>
  <c r="AC443" i="5"/>
  <c r="AB443" i="5"/>
  <c r="AA443" i="5"/>
  <c r="Z443" i="5"/>
  <c r="Y443" i="5"/>
  <c r="W443" i="5"/>
  <c r="V443" i="5"/>
  <c r="U443" i="5"/>
  <c r="T443" i="5"/>
  <c r="S443" i="5"/>
  <c r="R443" i="5"/>
  <c r="Q443" i="5"/>
  <c r="P443" i="5"/>
  <c r="O443" i="5"/>
  <c r="N443" i="5"/>
  <c r="M443" i="5"/>
  <c r="AU442" i="5"/>
  <c r="AT442" i="5"/>
  <c r="AS442" i="5"/>
  <c r="AR442" i="5"/>
  <c r="AQ442" i="5"/>
  <c r="AP442" i="5"/>
  <c r="AO442" i="5"/>
  <c r="AN442" i="5"/>
  <c r="AM442" i="5"/>
  <c r="AL442" i="5"/>
  <c r="AK442" i="5"/>
  <c r="AI442" i="5"/>
  <c r="AH442" i="5"/>
  <c r="AG442" i="5"/>
  <c r="AF442" i="5"/>
  <c r="AE442" i="5"/>
  <c r="AD442" i="5"/>
  <c r="AC442" i="5"/>
  <c r="AB442" i="5"/>
  <c r="AA442" i="5"/>
  <c r="Z442" i="5"/>
  <c r="Y442" i="5"/>
  <c r="W442" i="5"/>
  <c r="V442" i="5"/>
  <c r="U442" i="5"/>
  <c r="T442" i="5"/>
  <c r="S442" i="5"/>
  <c r="R442" i="5"/>
  <c r="Q442" i="5"/>
  <c r="P442" i="5"/>
  <c r="O442" i="5"/>
  <c r="N442" i="5"/>
  <c r="M442" i="5"/>
  <c r="AU441" i="5"/>
  <c r="AT441" i="5"/>
  <c r="AS441" i="5"/>
  <c r="AR441" i="5"/>
  <c r="AQ441" i="5"/>
  <c r="AP441" i="5"/>
  <c r="AO441" i="5"/>
  <c r="AN441" i="5"/>
  <c r="AM441" i="5"/>
  <c r="AL441" i="5"/>
  <c r="AK441" i="5"/>
  <c r="AI441" i="5"/>
  <c r="AH441" i="5"/>
  <c r="AG441" i="5"/>
  <c r="AF441" i="5"/>
  <c r="AE441" i="5"/>
  <c r="AD441" i="5"/>
  <c r="AC441" i="5"/>
  <c r="AB441" i="5"/>
  <c r="AA441" i="5"/>
  <c r="Z441" i="5"/>
  <c r="Y441" i="5"/>
  <c r="W441" i="5"/>
  <c r="V441" i="5"/>
  <c r="U441" i="5"/>
  <c r="T441" i="5"/>
  <c r="S441" i="5"/>
  <c r="R441" i="5"/>
  <c r="Q441" i="5"/>
  <c r="P441" i="5"/>
  <c r="O441" i="5"/>
  <c r="N441" i="5"/>
  <c r="M441" i="5"/>
  <c r="I441" i="5"/>
  <c r="AU440" i="5"/>
  <c r="AT440" i="5"/>
  <c r="AS440" i="5"/>
  <c r="AR440" i="5"/>
  <c r="AQ440" i="5"/>
  <c r="AP440" i="5"/>
  <c r="AO440" i="5"/>
  <c r="AN440" i="5"/>
  <c r="AM440" i="5"/>
  <c r="AL440" i="5"/>
  <c r="AK440" i="5"/>
  <c r="AI440" i="5"/>
  <c r="AH440" i="5"/>
  <c r="AG440" i="5"/>
  <c r="AF440" i="5"/>
  <c r="AE440" i="5"/>
  <c r="AD440" i="5"/>
  <c r="AC440" i="5"/>
  <c r="AB440" i="5"/>
  <c r="AA440" i="5"/>
  <c r="Z440" i="5"/>
  <c r="Y440" i="5"/>
  <c r="W440" i="5"/>
  <c r="V440" i="5"/>
  <c r="U440" i="5"/>
  <c r="T440" i="5"/>
  <c r="S440" i="5"/>
  <c r="R440" i="5"/>
  <c r="Q440" i="5"/>
  <c r="P440" i="5"/>
  <c r="O440" i="5"/>
  <c r="N440" i="5"/>
  <c r="M440" i="5"/>
  <c r="AU439" i="5"/>
  <c r="AT439" i="5"/>
  <c r="AS439" i="5"/>
  <c r="AR439" i="5"/>
  <c r="AQ439" i="5"/>
  <c r="AP439" i="5"/>
  <c r="AO439" i="5"/>
  <c r="AN439" i="5"/>
  <c r="AM439" i="5"/>
  <c r="AL439" i="5"/>
  <c r="AK439" i="5"/>
  <c r="AI439" i="5"/>
  <c r="AH439" i="5"/>
  <c r="AG439" i="5"/>
  <c r="AF439" i="5"/>
  <c r="AE439" i="5"/>
  <c r="AD439" i="5"/>
  <c r="AC439" i="5"/>
  <c r="AB439" i="5"/>
  <c r="AA439" i="5"/>
  <c r="Z439" i="5"/>
  <c r="Y439" i="5"/>
  <c r="W439" i="5"/>
  <c r="V439" i="5"/>
  <c r="U439" i="5"/>
  <c r="T439" i="5"/>
  <c r="S439" i="5"/>
  <c r="R439" i="5"/>
  <c r="Q439" i="5"/>
  <c r="P439" i="5"/>
  <c r="O439" i="5"/>
  <c r="N439" i="5"/>
  <c r="M439" i="5"/>
  <c r="AU438" i="5"/>
  <c r="AT438" i="5"/>
  <c r="AS438" i="5"/>
  <c r="AR438" i="5"/>
  <c r="AQ438" i="5"/>
  <c r="AP438" i="5"/>
  <c r="AO438" i="5"/>
  <c r="AN438" i="5"/>
  <c r="AM438" i="5"/>
  <c r="AL438" i="5"/>
  <c r="AK438" i="5"/>
  <c r="AI438" i="5"/>
  <c r="AH438" i="5"/>
  <c r="AG438" i="5"/>
  <c r="AF438" i="5"/>
  <c r="AE438" i="5"/>
  <c r="AD438" i="5"/>
  <c r="AC438" i="5"/>
  <c r="AB438" i="5"/>
  <c r="AA438" i="5"/>
  <c r="Z438" i="5"/>
  <c r="Y438" i="5"/>
  <c r="W438" i="5"/>
  <c r="V438" i="5"/>
  <c r="U438" i="5"/>
  <c r="T438" i="5"/>
  <c r="S438" i="5"/>
  <c r="R438" i="5"/>
  <c r="Q438" i="5"/>
  <c r="P438" i="5"/>
  <c r="O438" i="5"/>
  <c r="N438" i="5"/>
  <c r="M438" i="5"/>
  <c r="AU437" i="5"/>
  <c r="AT437" i="5"/>
  <c r="AS437" i="5"/>
  <c r="AR437" i="5"/>
  <c r="AQ437" i="5"/>
  <c r="AP437" i="5"/>
  <c r="AO437" i="5"/>
  <c r="AN437" i="5"/>
  <c r="AM437" i="5"/>
  <c r="AL437" i="5"/>
  <c r="AK437" i="5"/>
  <c r="AI437" i="5"/>
  <c r="AH437" i="5"/>
  <c r="AG437" i="5"/>
  <c r="AF437" i="5"/>
  <c r="AE437" i="5"/>
  <c r="AD437" i="5"/>
  <c r="AC437" i="5"/>
  <c r="AB437" i="5"/>
  <c r="AA437" i="5"/>
  <c r="Z437" i="5"/>
  <c r="Y437" i="5"/>
  <c r="W437" i="5"/>
  <c r="V437" i="5"/>
  <c r="U437" i="5"/>
  <c r="T437" i="5"/>
  <c r="S437" i="5"/>
  <c r="R437" i="5"/>
  <c r="Q437" i="5"/>
  <c r="P437" i="5"/>
  <c r="O437" i="5"/>
  <c r="N437" i="5"/>
  <c r="M437" i="5"/>
  <c r="AU436" i="5"/>
  <c r="AT436" i="5"/>
  <c r="AS436" i="5"/>
  <c r="AR436" i="5"/>
  <c r="AQ436" i="5"/>
  <c r="AP436" i="5"/>
  <c r="AO436" i="5"/>
  <c r="AN436" i="5"/>
  <c r="AM436" i="5"/>
  <c r="AL436" i="5"/>
  <c r="AK436" i="5"/>
  <c r="AI436" i="5"/>
  <c r="AH436" i="5"/>
  <c r="AG436" i="5"/>
  <c r="AF436" i="5"/>
  <c r="AE436" i="5"/>
  <c r="AD436" i="5"/>
  <c r="AC436" i="5"/>
  <c r="AB436" i="5"/>
  <c r="AA436" i="5"/>
  <c r="Z436" i="5"/>
  <c r="Y436" i="5"/>
  <c r="W436" i="5"/>
  <c r="V436" i="5"/>
  <c r="U436" i="5"/>
  <c r="T436" i="5"/>
  <c r="S436" i="5"/>
  <c r="R436" i="5"/>
  <c r="Q436" i="5"/>
  <c r="P436" i="5"/>
  <c r="O436" i="5"/>
  <c r="N436" i="5"/>
  <c r="M436" i="5"/>
  <c r="AU435" i="5"/>
  <c r="AT435" i="5"/>
  <c r="AS435" i="5"/>
  <c r="AR435" i="5"/>
  <c r="AQ435" i="5"/>
  <c r="AP435" i="5"/>
  <c r="AO435" i="5"/>
  <c r="AN435" i="5"/>
  <c r="AM435" i="5"/>
  <c r="AL435" i="5"/>
  <c r="AK435" i="5"/>
  <c r="AI435" i="5"/>
  <c r="AH435" i="5"/>
  <c r="AG435" i="5"/>
  <c r="AF435" i="5"/>
  <c r="AE435" i="5"/>
  <c r="AD435" i="5"/>
  <c r="AC435" i="5"/>
  <c r="AB435" i="5"/>
  <c r="AA435" i="5"/>
  <c r="Z435" i="5"/>
  <c r="Y435" i="5"/>
  <c r="W435" i="5"/>
  <c r="V435" i="5"/>
  <c r="U435" i="5"/>
  <c r="T435" i="5"/>
  <c r="S435" i="5"/>
  <c r="R435" i="5"/>
  <c r="Q435" i="5"/>
  <c r="P435" i="5"/>
  <c r="O435" i="5"/>
  <c r="N435" i="5"/>
  <c r="M435" i="5"/>
  <c r="I435" i="5"/>
  <c r="AU434" i="5"/>
  <c r="AT434" i="5"/>
  <c r="AS434" i="5"/>
  <c r="AR434" i="5"/>
  <c r="AQ434" i="5"/>
  <c r="AP434" i="5"/>
  <c r="AO434" i="5"/>
  <c r="AN434" i="5"/>
  <c r="AM434" i="5"/>
  <c r="AL434" i="5"/>
  <c r="AK434" i="5"/>
  <c r="AI434" i="5"/>
  <c r="AH434" i="5"/>
  <c r="AG434" i="5"/>
  <c r="AF434" i="5"/>
  <c r="AE434" i="5"/>
  <c r="AD434" i="5"/>
  <c r="AC434" i="5"/>
  <c r="AB434" i="5"/>
  <c r="AA434" i="5"/>
  <c r="Z434" i="5"/>
  <c r="Y434" i="5"/>
  <c r="W434" i="5"/>
  <c r="V434" i="5"/>
  <c r="U434" i="5"/>
  <c r="T434" i="5"/>
  <c r="S434" i="5"/>
  <c r="R434" i="5"/>
  <c r="Q434" i="5"/>
  <c r="P434" i="5"/>
  <c r="O434" i="5"/>
  <c r="N434" i="5"/>
  <c r="M434" i="5"/>
  <c r="AU433" i="5"/>
  <c r="AT433" i="5"/>
  <c r="AS433" i="5"/>
  <c r="AR433" i="5"/>
  <c r="AQ433" i="5"/>
  <c r="AP433" i="5"/>
  <c r="AO433" i="5"/>
  <c r="AN433" i="5"/>
  <c r="AM433" i="5"/>
  <c r="AL433" i="5"/>
  <c r="AK433" i="5"/>
  <c r="AI433" i="5"/>
  <c r="AH433" i="5"/>
  <c r="AG433" i="5"/>
  <c r="AF433" i="5"/>
  <c r="AE433" i="5"/>
  <c r="AD433" i="5"/>
  <c r="AC433" i="5"/>
  <c r="AB433" i="5"/>
  <c r="AA433" i="5"/>
  <c r="Z433" i="5"/>
  <c r="Y433" i="5"/>
  <c r="W433" i="5"/>
  <c r="V433" i="5"/>
  <c r="U433" i="5"/>
  <c r="T433" i="5"/>
  <c r="S433" i="5"/>
  <c r="R433" i="5"/>
  <c r="Q433" i="5"/>
  <c r="P433" i="5"/>
  <c r="O433" i="5"/>
  <c r="N433" i="5"/>
  <c r="M433" i="5"/>
  <c r="J433" i="5"/>
  <c r="AU432" i="5"/>
  <c r="AT432" i="5"/>
  <c r="AS432" i="5"/>
  <c r="AR432" i="5"/>
  <c r="AQ432" i="5"/>
  <c r="AP432" i="5"/>
  <c r="AO432" i="5"/>
  <c r="AN432" i="5"/>
  <c r="AM432" i="5"/>
  <c r="AL432" i="5"/>
  <c r="AK432" i="5"/>
  <c r="AI432" i="5"/>
  <c r="AH432" i="5"/>
  <c r="AG432" i="5"/>
  <c r="AF432" i="5"/>
  <c r="AE432" i="5"/>
  <c r="AD432" i="5"/>
  <c r="AC432" i="5"/>
  <c r="AB432" i="5"/>
  <c r="AA432" i="5"/>
  <c r="Z432" i="5"/>
  <c r="Y432" i="5"/>
  <c r="W432" i="5"/>
  <c r="V432" i="5"/>
  <c r="U432" i="5"/>
  <c r="T432" i="5"/>
  <c r="S432" i="5"/>
  <c r="R432" i="5"/>
  <c r="Q432" i="5"/>
  <c r="P432" i="5"/>
  <c r="O432" i="5"/>
  <c r="N432" i="5"/>
  <c r="M432" i="5"/>
  <c r="J432" i="5"/>
  <c r="AU431" i="5"/>
  <c r="AT431" i="5"/>
  <c r="AS431" i="5"/>
  <c r="AR431" i="5"/>
  <c r="AQ431" i="5"/>
  <c r="AP431" i="5"/>
  <c r="AO431" i="5"/>
  <c r="AN431" i="5"/>
  <c r="AM431" i="5"/>
  <c r="AL431" i="5"/>
  <c r="AK431" i="5"/>
  <c r="AI431" i="5"/>
  <c r="AH431" i="5"/>
  <c r="AG431" i="5"/>
  <c r="AF431" i="5"/>
  <c r="AE431" i="5"/>
  <c r="AD431" i="5"/>
  <c r="AC431" i="5"/>
  <c r="AB431" i="5"/>
  <c r="AA431" i="5"/>
  <c r="Z431" i="5"/>
  <c r="Y431" i="5"/>
  <c r="W431" i="5"/>
  <c r="V431" i="5"/>
  <c r="U431" i="5"/>
  <c r="T431" i="5"/>
  <c r="S431" i="5"/>
  <c r="R431" i="5"/>
  <c r="Q431" i="5"/>
  <c r="P431" i="5"/>
  <c r="O431" i="5"/>
  <c r="N431" i="5"/>
  <c r="M431" i="5"/>
  <c r="AU430" i="5"/>
  <c r="AT430" i="5"/>
  <c r="AS430" i="5"/>
  <c r="AR430" i="5"/>
  <c r="AQ430" i="5"/>
  <c r="AP430" i="5"/>
  <c r="AO430" i="5"/>
  <c r="AN430" i="5"/>
  <c r="AM430" i="5"/>
  <c r="AL430" i="5"/>
  <c r="AK430" i="5"/>
  <c r="AI430" i="5"/>
  <c r="AH430" i="5"/>
  <c r="AG430" i="5"/>
  <c r="AF430" i="5"/>
  <c r="AE430" i="5"/>
  <c r="AD430" i="5"/>
  <c r="AC430" i="5"/>
  <c r="AB430" i="5"/>
  <c r="AA430" i="5"/>
  <c r="Z430" i="5"/>
  <c r="Y430" i="5"/>
  <c r="W430" i="5"/>
  <c r="V430" i="5"/>
  <c r="U430" i="5"/>
  <c r="T430" i="5"/>
  <c r="S430" i="5"/>
  <c r="R430" i="5"/>
  <c r="Q430" i="5"/>
  <c r="P430" i="5"/>
  <c r="O430" i="5"/>
  <c r="N430" i="5"/>
  <c r="M430" i="5"/>
  <c r="AU429" i="5"/>
  <c r="AT429" i="5"/>
  <c r="AS429" i="5"/>
  <c r="AR429" i="5"/>
  <c r="AQ429" i="5"/>
  <c r="AP429" i="5"/>
  <c r="AO429" i="5"/>
  <c r="AN429" i="5"/>
  <c r="AM429" i="5"/>
  <c r="AL429" i="5"/>
  <c r="AK429" i="5"/>
  <c r="AI429" i="5"/>
  <c r="AH429" i="5"/>
  <c r="AG429" i="5"/>
  <c r="AF429" i="5"/>
  <c r="AE429" i="5"/>
  <c r="AD429" i="5"/>
  <c r="AC429" i="5"/>
  <c r="AB429" i="5"/>
  <c r="AA429" i="5"/>
  <c r="Z429" i="5"/>
  <c r="Y429" i="5"/>
  <c r="W429" i="5"/>
  <c r="V429" i="5"/>
  <c r="U429" i="5"/>
  <c r="T429" i="5"/>
  <c r="S429" i="5"/>
  <c r="R429" i="5"/>
  <c r="Q429" i="5"/>
  <c r="P429" i="5"/>
  <c r="O429" i="5"/>
  <c r="N429" i="5"/>
  <c r="M429" i="5"/>
  <c r="I429" i="5"/>
  <c r="AU428" i="5"/>
  <c r="AT428" i="5"/>
  <c r="AS428" i="5"/>
  <c r="AR428" i="5"/>
  <c r="AQ428" i="5"/>
  <c r="AP428" i="5"/>
  <c r="AO428" i="5"/>
  <c r="AN428" i="5"/>
  <c r="AM428" i="5"/>
  <c r="AL428" i="5"/>
  <c r="AK428" i="5"/>
  <c r="AI428" i="5"/>
  <c r="AH428" i="5"/>
  <c r="AG428" i="5"/>
  <c r="AF428" i="5"/>
  <c r="AE428" i="5"/>
  <c r="AD428" i="5"/>
  <c r="AC428" i="5"/>
  <c r="AB428" i="5"/>
  <c r="AA428" i="5"/>
  <c r="Z428" i="5"/>
  <c r="Y428" i="5"/>
  <c r="W428" i="5"/>
  <c r="V428" i="5"/>
  <c r="U428" i="5"/>
  <c r="T428" i="5"/>
  <c r="S428" i="5"/>
  <c r="R428" i="5"/>
  <c r="Q428" i="5"/>
  <c r="P428" i="5"/>
  <c r="O428" i="5"/>
  <c r="N428" i="5"/>
  <c r="M428" i="5"/>
  <c r="AU427" i="5"/>
  <c r="AT427" i="5"/>
  <c r="AS427" i="5"/>
  <c r="AR427" i="5"/>
  <c r="AQ427" i="5"/>
  <c r="AP427" i="5"/>
  <c r="AO427" i="5"/>
  <c r="AN427" i="5"/>
  <c r="AM427" i="5"/>
  <c r="AL427" i="5"/>
  <c r="AK427" i="5"/>
  <c r="AI427" i="5"/>
  <c r="AH427" i="5"/>
  <c r="AG427" i="5"/>
  <c r="AF427" i="5"/>
  <c r="AE427" i="5"/>
  <c r="AD427" i="5"/>
  <c r="AC427" i="5"/>
  <c r="AB427" i="5"/>
  <c r="AA427" i="5"/>
  <c r="Z427" i="5"/>
  <c r="Y427" i="5"/>
  <c r="W427" i="5"/>
  <c r="V427" i="5"/>
  <c r="U427" i="5"/>
  <c r="T427" i="5"/>
  <c r="S427" i="5"/>
  <c r="R427" i="5"/>
  <c r="Q427" i="5"/>
  <c r="P427" i="5"/>
  <c r="O427" i="5"/>
  <c r="N427" i="5"/>
  <c r="M427" i="5"/>
  <c r="AU426" i="5"/>
  <c r="AT426" i="5"/>
  <c r="AS426" i="5"/>
  <c r="AR426" i="5"/>
  <c r="AQ426" i="5"/>
  <c r="AP426" i="5"/>
  <c r="AO426" i="5"/>
  <c r="AN426" i="5"/>
  <c r="AM426" i="5"/>
  <c r="AL426" i="5"/>
  <c r="AK426" i="5"/>
  <c r="AI426" i="5"/>
  <c r="AH426" i="5"/>
  <c r="AG426" i="5"/>
  <c r="AF426" i="5"/>
  <c r="AE426" i="5"/>
  <c r="AD426" i="5"/>
  <c r="AC426" i="5"/>
  <c r="AB426" i="5"/>
  <c r="AA426" i="5"/>
  <c r="Z426" i="5"/>
  <c r="Y426" i="5"/>
  <c r="W426" i="5"/>
  <c r="V426" i="5"/>
  <c r="U426" i="5"/>
  <c r="T426" i="5"/>
  <c r="S426" i="5"/>
  <c r="R426" i="5"/>
  <c r="Q426" i="5"/>
  <c r="P426" i="5"/>
  <c r="O426" i="5"/>
  <c r="N426" i="5"/>
  <c r="M426" i="5"/>
  <c r="AU425" i="5"/>
  <c r="AT425" i="5"/>
  <c r="AS425" i="5"/>
  <c r="AR425" i="5"/>
  <c r="AQ425" i="5"/>
  <c r="AP425" i="5"/>
  <c r="AO425" i="5"/>
  <c r="AN425" i="5"/>
  <c r="AM425" i="5"/>
  <c r="AL425" i="5"/>
  <c r="AK425" i="5"/>
  <c r="AI425" i="5"/>
  <c r="AH425" i="5"/>
  <c r="AG425" i="5"/>
  <c r="AF425" i="5"/>
  <c r="AE425" i="5"/>
  <c r="AD425" i="5"/>
  <c r="AC425" i="5"/>
  <c r="AB425" i="5"/>
  <c r="AA425" i="5"/>
  <c r="Z425" i="5"/>
  <c r="Y425" i="5"/>
  <c r="W425" i="5"/>
  <c r="V425" i="5"/>
  <c r="U425" i="5"/>
  <c r="T425" i="5"/>
  <c r="S425" i="5"/>
  <c r="R425" i="5"/>
  <c r="Q425" i="5"/>
  <c r="P425" i="5"/>
  <c r="O425" i="5"/>
  <c r="N425" i="5"/>
  <c r="M425" i="5"/>
  <c r="AU424" i="5"/>
  <c r="AT424" i="5"/>
  <c r="AS424" i="5"/>
  <c r="AR424" i="5"/>
  <c r="AQ424" i="5"/>
  <c r="AP424" i="5"/>
  <c r="AO424" i="5"/>
  <c r="AN424" i="5"/>
  <c r="AM424" i="5"/>
  <c r="AL424" i="5"/>
  <c r="AK424" i="5"/>
  <c r="AI424" i="5"/>
  <c r="AH424" i="5"/>
  <c r="AG424" i="5"/>
  <c r="AF424" i="5"/>
  <c r="AE424" i="5"/>
  <c r="AD424" i="5"/>
  <c r="AC424" i="5"/>
  <c r="AB424" i="5"/>
  <c r="AA424" i="5"/>
  <c r="Z424" i="5"/>
  <c r="Y424" i="5"/>
  <c r="W424" i="5"/>
  <c r="V424" i="5"/>
  <c r="U424" i="5"/>
  <c r="T424" i="5"/>
  <c r="S424" i="5"/>
  <c r="R424" i="5"/>
  <c r="Q424" i="5"/>
  <c r="P424" i="5"/>
  <c r="O424" i="5"/>
  <c r="N424" i="5"/>
  <c r="M424" i="5"/>
  <c r="AU423" i="5"/>
  <c r="AT423" i="5"/>
  <c r="AS423" i="5"/>
  <c r="AR423" i="5"/>
  <c r="AQ423" i="5"/>
  <c r="AP423" i="5"/>
  <c r="AO423" i="5"/>
  <c r="AN423" i="5"/>
  <c r="AM423" i="5"/>
  <c r="AL423" i="5"/>
  <c r="AK423" i="5"/>
  <c r="AI423" i="5"/>
  <c r="AH423" i="5"/>
  <c r="AG423" i="5"/>
  <c r="AF423" i="5"/>
  <c r="AE423" i="5"/>
  <c r="AD423" i="5"/>
  <c r="AC423" i="5"/>
  <c r="AB423" i="5"/>
  <c r="AA423" i="5"/>
  <c r="Z423" i="5"/>
  <c r="Y423" i="5"/>
  <c r="W423" i="5"/>
  <c r="V423" i="5"/>
  <c r="U423" i="5"/>
  <c r="T423" i="5"/>
  <c r="S423" i="5"/>
  <c r="R423" i="5"/>
  <c r="Q423" i="5"/>
  <c r="P423" i="5"/>
  <c r="O423" i="5"/>
  <c r="N423" i="5"/>
  <c r="M423" i="5"/>
  <c r="J423" i="5"/>
  <c r="I423" i="5"/>
  <c r="AU422" i="5"/>
  <c r="AT422" i="5"/>
  <c r="AS422" i="5"/>
  <c r="AR422" i="5"/>
  <c r="AQ422" i="5"/>
  <c r="AP422" i="5"/>
  <c r="AO422" i="5"/>
  <c r="AN422" i="5"/>
  <c r="AM422" i="5"/>
  <c r="AL422" i="5"/>
  <c r="AK422" i="5"/>
  <c r="AI422" i="5"/>
  <c r="AH422" i="5"/>
  <c r="AG422" i="5"/>
  <c r="AF422" i="5"/>
  <c r="AE422" i="5"/>
  <c r="AD422" i="5"/>
  <c r="AC422" i="5"/>
  <c r="AB422" i="5"/>
  <c r="AA422" i="5"/>
  <c r="Z422" i="5"/>
  <c r="Y422" i="5"/>
  <c r="W422" i="5"/>
  <c r="V422" i="5"/>
  <c r="U422" i="5"/>
  <c r="T422" i="5"/>
  <c r="S422" i="5"/>
  <c r="R422" i="5"/>
  <c r="Q422" i="5"/>
  <c r="P422" i="5"/>
  <c r="O422" i="5"/>
  <c r="N422" i="5"/>
  <c r="M422" i="5"/>
  <c r="AU421" i="5"/>
  <c r="AT421" i="5"/>
  <c r="AS421" i="5"/>
  <c r="AR421" i="5"/>
  <c r="AQ421" i="5"/>
  <c r="AP421" i="5"/>
  <c r="AO421" i="5"/>
  <c r="AN421" i="5"/>
  <c r="AM421" i="5"/>
  <c r="AL421" i="5"/>
  <c r="AK421" i="5"/>
  <c r="AI421" i="5"/>
  <c r="AH421" i="5"/>
  <c r="AG421" i="5"/>
  <c r="AF421" i="5"/>
  <c r="AE421" i="5"/>
  <c r="AD421" i="5"/>
  <c r="AC421" i="5"/>
  <c r="AB421" i="5"/>
  <c r="AA421" i="5"/>
  <c r="Z421" i="5"/>
  <c r="Y421" i="5"/>
  <c r="W421" i="5"/>
  <c r="V421" i="5"/>
  <c r="U421" i="5"/>
  <c r="T421" i="5"/>
  <c r="S421" i="5"/>
  <c r="R421" i="5"/>
  <c r="Q421" i="5"/>
  <c r="P421" i="5"/>
  <c r="O421" i="5"/>
  <c r="N421" i="5"/>
  <c r="M421" i="5"/>
  <c r="J421" i="5"/>
  <c r="AU420" i="5"/>
  <c r="AT420" i="5"/>
  <c r="AS420" i="5"/>
  <c r="AR420" i="5"/>
  <c r="AQ420" i="5"/>
  <c r="AP420" i="5"/>
  <c r="AO420" i="5"/>
  <c r="AN420" i="5"/>
  <c r="AM420" i="5"/>
  <c r="AL420" i="5"/>
  <c r="AK420" i="5"/>
  <c r="AI420" i="5"/>
  <c r="AH420" i="5"/>
  <c r="AG420" i="5"/>
  <c r="AF420" i="5"/>
  <c r="AE420" i="5"/>
  <c r="AD420" i="5"/>
  <c r="AC420" i="5"/>
  <c r="AB420" i="5"/>
  <c r="AA420" i="5"/>
  <c r="Z420" i="5"/>
  <c r="Y420" i="5"/>
  <c r="W420" i="5"/>
  <c r="V420" i="5"/>
  <c r="U420" i="5"/>
  <c r="T420" i="5"/>
  <c r="S420" i="5"/>
  <c r="R420" i="5"/>
  <c r="Q420" i="5"/>
  <c r="P420" i="5"/>
  <c r="O420" i="5"/>
  <c r="N420" i="5"/>
  <c r="M420" i="5"/>
  <c r="J420" i="5"/>
  <c r="AU419" i="5"/>
  <c r="AT419" i="5"/>
  <c r="AS419" i="5"/>
  <c r="AR419" i="5"/>
  <c r="AQ419" i="5"/>
  <c r="AP419" i="5"/>
  <c r="AO419" i="5"/>
  <c r="AN419" i="5"/>
  <c r="AM419" i="5"/>
  <c r="AL419" i="5"/>
  <c r="AK419" i="5"/>
  <c r="AI419" i="5"/>
  <c r="AH419" i="5"/>
  <c r="AG419" i="5"/>
  <c r="AF419" i="5"/>
  <c r="AE419" i="5"/>
  <c r="AD419" i="5"/>
  <c r="AC419" i="5"/>
  <c r="AB419" i="5"/>
  <c r="AA419" i="5"/>
  <c r="Z419" i="5"/>
  <c r="Y419" i="5"/>
  <c r="W419" i="5"/>
  <c r="V419" i="5"/>
  <c r="U419" i="5"/>
  <c r="T419" i="5"/>
  <c r="S419" i="5"/>
  <c r="R419" i="5"/>
  <c r="Q419" i="5"/>
  <c r="P419" i="5"/>
  <c r="O419" i="5"/>
  <c r="N419" i="5"/>
  <c r="M419" i="5"/>
  <c r="AU418" i="5"/>
  <c r="AT418" i="5"/>
  <c r="AS418" i="5"/>
  <c r="AR418" i="5"/>
  <c r="AQ418" i="5"/>
  <c r="AP418" i="5"/>
  <c r="AO418" i="5"/>
  <c r="AN418" i="5"/>
  <c r="AM418" i="5"/>
  <c r="AL418" i="5"/>
  <c r="AK418" i="5"/>
  <c r="AI418" i="5"/>
  <c r="AH418" i="5"/>
  <c r="AG418" i="5"/>
  <c r="AF418" i="5"/>
  <c r="AE418" i="5"/>
  <c r="AD418" i="5"/>
  <c r="AC418" i="5"/>
  <c r="AB418" i="5"/>
  <c r="AA418" i="5"/>
  <c r="Z418" i="5"/>
  <c r="Y418" i="5"/>
  <c r="W418" i="5"/>
  <c r="V418" i="5"/>
  <c r="U418" i="5"/>
  <c r="T418" i="5"/>
  <c r="S418" i="5"/>
  <c r="R418" i="5"/>
  <c r="Q418" i="5"/>
  <c r="P418" i="5"/>
  <c r="O418" i="5"/>
  <c r="N418" i="5"/>
  <c r="M418" i="5"/>
  <c r="AU417" i="5"/>
  <c r="AT417" i="5"/>
  <c r="AS417" i="5"/>
  <c r="AR417" i="5"/>
  <c r="AQ417" i="5"/>
  <c r="AP417" i="5"/>
  <c r="AO417" i="5"/>
  <c r="AN417" i="5"/>
  <c r="AM417" i="5"/>
  <c r="AL417" i="5"/>
  <c r="AK417" i="5"/>
  <c r="AI417" i="5"/>
  <c r="AH417" i="5"/>
  <c r="AG417" i="5"/>
  <c r="AF417" i="5"/>
  <c r="AE417" i="5"/>
  <c r="AD417" i="5"/>
  <c r="AC417" i="5"/>
  <c r="AB417" i="5"/>
  <c r="AA417" i="5"/>
  <c r="Z417" i="5"/>
  <c r="Y417" i="5"/>
  <c r="W417" i="5"/>
  <c r="V417" i="5"/>
  <c r="U417" i="5"/>
  <c r="T417" i="5"/>
  <c r="S417" i="5"/>
  <c r="R417" i="5"/>
  <c r="Q417" i="5"/>
  <c r="P417" i="5"/>
  <c r="O417" i="5"/>
  <c r="N417" i="5"/>
  <c r="M417" i="5"/>
  <c r="I417" i="5"/>
  <c r="AU416" i="5"/>
  <c r="AT416" i="5"/>
  <c r="AS416" i="5"/>
  <c r="AR416" i="5"/>
  <c r="AQ416" i="5"/>
  <c r="AP416" i="5"/>
  <c r="AO416" i="5"/>
  <c r="AN416" i="5"/>
  <c r="AM416" i="5"/>
  <c r="AL416" i="5"/>
  <c r="AK416" i="5"/>
  <c r="AI416" i="5"/>
  <c r="AH416" i="5"/>
  <c r="AG416" i="5"/>
  <c r="AF416" i="5"/>
  <c r="AE416" i="5"/>
  <c r="AD416" i="5"/>
  <c r="AC416" i="5"/>
  <c r="AB416" i="5"/>
  <c r="AA416" i="5"/>
  <c r="Z416" i="5"/>
  <c r="Y416" i="5"/>
  <c r="W416" i="5"/>
  <c r="V416" i="5"/>
  <c r="U416" i="5"/>
  <c r="T416" i="5"/>
  <c r="S416" i="5"/>
  <c r="R416" i="5"/>
  <c r="Q416" i="5"/>
  <c r="P416" i="5"/>
  <c r="O416" i="5"/>
  <c r="N416" i="5"/>
  <c r="M416" i="5"/>
  <c r="AU415" i="5"/>
  <c r="AT415" i="5"/>
  <c r="AS415" i="5"/>
  <c r="AR415" i="5"/>
  <c r="AQ415" i="5"/>
  <c r="AP415" i="5"/>
  <c r="AO415" i="5"/>
  <c r="AN415" i="5"/>
  <c r="AM415" i="5"/>
  <c r="AL415" i="5"/>
  <c r="AK415" i="5"/>
  <c r="AI415" i="5"/>
  <c r="AH415" i="5"/>
  <c r="AG415" i="5"/>
  <c r="AF415" i="5"/>
  <c r="AE415" i="5"/>
  <c r="AD415" i="5"/>
  <c r="AC415" i="5"/>
  <c r="AB415" i="5"/>
  <c r="AA415" i="5"/>
  <c r="Z415" i="5"/>
  <c r="Y415" i="5"/>
  <c r="W415" i="5"/>
  <c r="V415" i="5"/>
  <c r="U415" i="5"/>
  <c r="T415" i="5"/>
  <c r="S415" i="5"/>
  <c r="R415" i="5"/>
  <c r="Q415" i="5"/>
  <c r="P415" i="5"/>
  <c r="O415" i="5"/>
  <c r="N415" i="5"/>
  <c r="M415" i="5"/>
  <c r="AU414" i="5"/>
  <c r="AT414" i="5"/>
  <c r="AS414" i="5"/>
  <c r="AR414" i="5"/>
  <c r="AQ414" i="5"/>
  <c r="AP414" i="5"/>
  <c r="AO414" i="5"/>
  <c r="AN414" i="5"/>
  <c r="AM414" i="5"/>
  <c r="AL414" i="5"/>
  <c r="AK414" i="5"/>
  <c r="AI414" i="5"/>
  <c r="AH414" i="5"/>
  <c r="AG414" i="5"/>
  <c r="AF414" i="5"/>
  <c r="AE414" i="5"/>
  <c r="AD414" i="5"/>
  <c r="AC414" i="5"/>
  <c r="AB414" i="5"/>
  <c r="AA414" i="5"/>
  <c r="Z414" i="5"/>
  <c r="Y414" i="5"/>
  <c r="W414" i="5"/>
  <c r="V414" i="5"/>
  <c r="U414" i="5"/>
  <c r="T414" i="5"/>
  <c r="S414" i="5"/>
  <c r="R414" i="5"/>
  <c r="Q414" i="5"/>
  <c r="P414" i="5"/>
  <c r="O414" i="5"/>
  <c r="N414" i="5"/>
  <c r="M414" i="5"/>
  <c r="AU413" i="5"/>
  <c r="AT413" i="5"/>
  <c r="AS413" i="5"/>
  <c r="AR413" i="5"/>
  <c r="AQ413" i="5"/>
  <c r="AP413" i="5"/>
  <c r="AO413" i="5"/>
  <c r="AN413" i="5"/>
  <c r="AM413" i="5"/>
  <c r="AL413" i="5"/>
  <c r="AK413" i="5"/>
  <c r="AI413" i="5"/>
  <c r="AH413" i="5"/>
  <c r="AG413" i="5"/>
  <c r="AF413" i="5"/>
  <c r="AE413" i="5"/>
  <c r="AD413" i="5"/>
  <c r="AC413" i="5"/>
  <c r="AB413" i="5"/>
  <c r="AA413" i="5"/>
  <c r="Z413" i="5"/>
  <c r="Y413" i="5"/>
  <c r="W413" i="5"/>
  <c r="V413" i="5"/>
  <c r="U413" i="5"/>
  <c r="T413" i="5"/>
  <c r="S413" i="5"/>
  <c r="R413" i="5"/>
  <c r="Q413" i="5"/>
  <c r="P413" i="5"/>
  <c r="O413" i="5"/>
  <c r="N413" i="5"/>
  <c r="M413" i="5"/>
  <c r="AU412" i="5"/>
  <c r="AT412" i="5"/>
  <c r="AS412" i="5"/>
  <c r="AR412" i="5"/>
  <c r="AQ412" i="5"/>
  <c r="AP412" i="5"/>
  <c r="AO412" i="5"/>
  <c r="AN412" i="5"/>
  <c r="AM412" i="5"/>
  <c r="AL412" i="5"/>
  <c r="AK412" i="5"/>
  <c r="AI412" i="5"/>
  <c r="AH412" i="5"/>
  <c r="AG412" i="5"/>
  <c r="AF412" i="5"/>
  <c r="AE412" i="5"/>
  <c r="AD412" i="5"/>
  <c r="AC412" i="5"/>
  <c r="AB412" i="5"/>
  <c r="AA412" i="5"/>
  <c r="Z412" i="5"/>
  <c r="Y412" i="5"/>
  <c r="W412" i="5"/>
  <c r="V412" i="5"/>
  <c r="U412" i="5"/>
  <c r="T412" i="5"/>
  <c r="S412" i="5"/>
  <c r="R412" i="5"/>
  <c r="Q412" i="5"/>
  <c r="P412" i="5"/>
  <c r="O412" i="5"/>
  <c r="N412" i="5"/>
  <c r="M412" i="5"/>
  <c r="AU411" i="5"/>
  <c r="AT411" i="5"/>
  <c r="AS411" i="5"/>
  <c r="AR411" i="5"/>
  <c r="AQ411" i="5"/>
  <c r="AP411" i="5"/>
  <c r="AO411" i="5"/>
  <c r="AN411" i="5"/>
  <c r="AM411" i="5"/>
  <c r="AL411" i="5"/>
  <c r="AK411" i="5"/>
  <c r="AI411" i="5"/>
  <c r="AH411" i="5"/>
  <c r="AG411" i="5"/>
  <c r="AF411" i="5"/>
  <c r="AE411" i="5"/>
  <c r="AD411" i="5"/>
  <c r="AC411" i="5"/>
  <c r="AB411" i="5"/>
  <c r="AA411" i="5"/>
  <c r="Z411" i="5"/>
  <c r="Y411" i="5"/>
  <c r="W411" i="5"/>
  <c r="V411" i="5"/>
  <c r="U411" i="5"/>
  <c r="T411" i="5"/>
  <c r="S411" i="5"/>
  <c r="R411" i="5"/>
  <c r="Q411" i="5"/>
  <c r="P411" i="5"/>
  <c r="O411" i="5"/>
  <c r="N411" i="5"/>
  <c r="M411" i="5"/>
  <c r="J411" i="5"/>
  <c r="I411" i="5"/>
  <c r="AU410" i="5"/>
  <c r="AT410" i="5"/>
  <c r="AS410" i="5"/>
  <c r="AR410" i="5"/>
  <c r="AQ410" i="5"/>
  <c r="AP410" i="5"/>
  <c r="AO410" i="5"/>
  <c r="AN410" i="5"/>
  <c r="AM410" i="5"/>
  <c r="AL410" i="5"/>
  <c r="AK410" i="5"/>
  <c r="AI410" i="5"/>
  <c r="AH410" i="5"/>
  <c r="AG410" i="5"/>
  <c r="AF410" i="5"/>
  <c r="AE410" i="5"/>
  <c r="AD410" i="5"/>
  <c r="AC410" i="5"/>
  <c r="AB410" i="5"/>
  <c r="AA410" i="5"/>
  <c r="Z410" i="5"/>
  <c r="Y410" i="5"/>
  <c r="W410" i="5"/>
  <c r="V410" i="5"/>
  <c r="U410" i="5"/>
  <c r="T410" i="5"/>
  <c r="S410" i="5"/>
  <c r="R410" i="5"/>
  <c r="Q410" i="5"/>
  <c r="P410" i="5"/>
  <c r="O410" i="5"/>
  <c r="N410" i="5"/>
  <c r="M410" i="5"/>
  <c r="AU409" i="5"/>
  <c r="AT409" i="5"/>
  <c r="AS409" i="5"/>
  <c r="AR409" i="5"/>
  <c r="AQ409" i="5"/>
  <c r="AP409" i="5"/>
  <c r="AO409" i="5"/>
  <c r="AN409" i="5"/>
  <c r="AM409" i="5"/>
  <c r="AL409" i="5"/>
  <c r="AK409" i="5"/>
  <c r="AI409" i="5"/>
  <c r="AH409" i="5"/>
  <c r="AG409" i="5"/>
  <c r="AF409" i="5"/>
  <c r="AE409" i="5"/>
  <c r="AD409" i="5"/>
  <c r="AC409" i="5"/>
  <c r="AB409" i="5"/>
  <c r="AA409" i="5"/>
  <c r="Z409" i="5"/>
  <c r="Y409" i="5"/>
  <c r="W409" i="5"/>
  <c r="V409" i="5"/>
  <c r="U409" i="5"/>
  <c r="T409" i="5"/>
  <c r="S409" i="5"/>
  <c r="R409" i="5"/>
  <c r="Q409" i="5"/>
  <c r="P409" i="5"/>
  <c r="O409" i="5"/>
  <c r="N409" i="5"/>
  <c r="M409" i="5"/>
  <c r="J409" i="5"/>
  <c r="AU408" i="5"/>
  <c r="AT408" i="5"/>
  <c r="AS408" i="5"/>
  <c r="AR408" i="5"/>
  <c r="AQ408" i="5"/>
  <c r="AP408" i="5"/>
  <c r="AO408" i="5"/>
  <c r="AN408" i="5"/>
  <c r="AM408" i="5"/>
  <c r="AL408" i="5"/>
  <c r="AK408" i="5"/>
  <c r="AI408" i="5"/>
  <c r="AH408" i="5"/>
  <c r="AG408" i="5"/>
  <c r="AF408" i="5"/>
  <c r="AE408" i="5"/>
  <c r="AD408" i="5"/>
  <c r="AC408" i="5"/>
  <c r="AB408" i="5"/>
  <c r="AA408" i="5"/>
  <c r="Z408" i="5"/>
  <c r="Y408" i="5"/>
  <c r="W408" i="5"/>
  <c r="V408" i="5"/>
  <c r="U408" i="5"/>
  <c r="T408" i="5"/>
  <c r="S408" i="5"/>
  <c r="R408" i="5"/>
  <c r="Q408" i="5"/>
  <c r="P408" i="5"/>
  <c r="O408" i="5"/>
  <c r="N408" i="5"/>
  <c r="M408" i="5"/>
  <c r="J408" i="5"/>
  <c r="AU407" i="5"/>
  <c r="AT407" i="5"/>
  <c r="AS407" i="5"/>
  <c r="AR407" i="5"/>
  <c r="AQ407" i="5"/>
  <c r="AP407" i="5"/>
  <c r="AO407" i="5"/>
  <c r="AN407" i="5"/>
  <c r="AM407" i="5"/>
  <c r="AL407" i="5"/>
  <c r="AK407" i="5"/>
  <c r="AI407" i="5"/>
  <c r="AH407" i="5"/>
  <c r="AG407" i="5"/>
  <c r="AF407" i="5"/>
  <c r="AE407" i="5"/>
  <c r="AD407" i="5"/>
  <c r="AC407" i="5"/>
  <c r="AB407" i="5"/>
  <c r="AA407" i="5"/>
  <c r="Z407" i="5"/>
  <c r="Y407" i="5"/>
  <c r="W407" i="5"/>
  <c r="V407" i="5"/>
  <c r="U407" i="5"/>
  <c r="T407" i="5"/>
  <c r="S407" i="5"/>
  <c r="R407" i="5"/>
  <c r="Q407" i="5"/>
  <c r="P407" i="5"/>
  <c r="O407" i="5"/>
  <c r="N407" i="5"/>
  <c r="M407" i="5"/>
  <c r="AU406" i="5"/>
  <c r="AT406" i="5"/>
  <c r="AS406" i="5"/>
  <c r="AR406" i="5"/>
  <c r="AR765" i="5" s="1"/>
  <c r="AQ406" i="5"/>
  <c r="AP406" i="5"/>
  <c r="AO406" i="5"/>
  <c r="AN406" i="5"/>
  <c r="AM406" i="5"/>
  <c r="AL406" i="5"/>
  <c r="AK406" i="5"/>
  <c r="AI406" i="5"/>
  <c r="AI765" i="5" s="1"/>
  <c r="Y770" i="5" s="1"/>
  <c r="AH406" i="5"/>
  <c r="AG406" i="5"/>
  <c r="AF406" i="5"/>
  <c r="AE406" i="5"/>
  <c r="AE765" i="5" s="1"/>
  <c r="W770" i="5" s="1"/>
  <c r="AD406" i="5"/>
  <c r="AC406" i="5"/>
  <c r="AB406" i="5"/>
  <c r="AA406" i="5"/>
  <c r="Z406" i="5"/>
  <c r="Y406" i="5"/>
  <c r="W406" i="5"/>
  <c r="V406" i="5"/>
  <c r="V765" i="5" s="1"/>
  <c r="U406" i="5"/>
  <c r="T406" i="5"/>
  <c r="S406" i="5"/>
  <c r="R406" i="5"/>
  <c r="R765" i="5" s="1"/>
  <c r="Q406" i="5"/>
  <c r="P406" i="5"/>
  <c r="O406" i="5"/>
  <c r="N406" i="5"/>
  <c r="M406" i="5"/>
  <c r="AU405" i="5"/>
  <c r="AT405" i="5"/>
  <c r="AS405" i="5"/>
  <c r="AR405" i="5"/>
  <c r="AQ405" i="5"/>
  <c r="AP405" i="5"/>
  <c r="AO405" i="5"/>
  <c r="AN405" i="5"/>
  <c r="AM405" i="5"/>
  <c r="AL405" i="5"/>
  <c r="AK405" i="5"/>
  <c r="AI405" i="5"/>
  <c r="AH405" i="5"/>
  <c r="AG405" i="5"/>
  <c r="AF405" i="5"/>
  <c r="AE405" i="5"/>
  <c r="AD405" i="5"/>
  <c r="AC405" i="5"/>
  <c r="AB405" i="5"/>
  <c r="AA405" i="5"/>
  <c r="Z405" i="5"/>
  <c r="Y405" i="5"/>
  <c r="W405" i="5"/>
  <c r="V405" i="5"/>
  <c r="U405" i="5"/>
  <c r="T405" i="5"/>
  <c r="S405" i="5"/>
  <c r="R405" i="5"/>
  <c r="Q405" i="5"/>
  <c r="P405" i="5"/>
  <c r="O405" i="5"/>
  <c r="N405" i="5"/>
  <c r="M405" i="5"/>
  <c r="I405" i="5"/>
  <c r="AU404" i="5"/>
  <c r="AT404" i="5"/>
  <c r="AS404" i="5"/>
  <c r="AR404" i="5"/>
  <c r="AQ404" i="5"/>
  <c r="AP404" i="5"/>
  <c r="AO404" i="5"/>
  <c r="AN404" i="5"/>
  <c r="AM404" i="5"/>
  <c r="AL404" i="5"/>
  <c r="AK404" i="5"/>
  <c r="AI404" i="5"/>
  <c r="AH404" i="5"/>
  <c r="AG404" i="5"/>
  <c r="AF404" i="5"/>
  <c r="AE404" i="5"/>
  <c r="AD404" i="5"/>
  <c r="AC404" i="5"/>
  <c r="AB404" i="5"/>
  <c r="AA404" i="5"/>
  <c r="Z404" i="5"/>
  <c r="Y404" i="5"/>
  <c r="W404" i="5"/>
  <c r="V404" i="5"/>
  <c r="U404" i="5"/>
  <c r="T404" i="5"/>
  <c r="S404" i="5"/>
  <c r="R404" i="5"/>
  <c r="Q404" i="5"/>
  <c r="P404" i="5"/>
  <c r="O404" i="5"/>
  <c r="N404" i="5"/>
  <c r="M404" i="5"/>
  <c r="AU403" i="5"/>
  <c r="AT403" i="5"/>
  <c r="AS403" i="5"/>
  <c r="AR403" i="5"/>
  <c r="AQ403" i="5"/>
  <c r="AP403" i="5"/>
  <c r="AO403" i="5"/>
  <c r="AN403" i="5"/>
  <c r="AM403" i="5"/>
  <c r="AL403" i="5"/>
  <c r="AK403" i="5"/>
  <c r="AI403" i="5"/>
  <c r="AH403" i="5"/>
  <c r="AG403" i="5"/>
  <c r="AF403" i="5"/>
  <c r="AE403" i="5"/>
  <c r="AD403" i="5"/>
  <c r="AC403" i="5"/>
  <c r="AB403" i="5"/>
  <c r="AA403" i="5"/>
  <c r="Z403" i="5"/>
  <c r="Y403" i="5"/>
  <c r="W403" i="5"/>
  <c r="V403" i="5"/>
  <c r="U403" i="5"/>
  <c r="T403" i="5"/>
  <c r="S403" i="5"/>
  <c r="R403" i="5"/>
  <c r="Q403" i="5"/>
  <c r="P403" i="5"/>
  <c r="O403" i="5"/>
  <c r="N403" i="5"/>
  <c r="M403" i="5"/>
  <c r="AU402" i="5"/>
  <c r="AT402" i="5"/>
  <c r="AS402" i="5"/>
  <c r="AR402" i="5"/>
  <c r="AQ402" i="5"/>
  <c r="AP402" i="5"/>
  <c r="AO402" i="5"/>
  <c r="AN402" i="5"/>
  <c r="AM402" i="5"/>
  <c r="AL402" i="5"/>
  <c r="AK402" i="5"/>
  <c r="AI402" i="5"/>
  <c r="AH402" i="5"/>
  <c r="AG402" i="5"/>
  <c r="AF402" i="5"/>
  <c r="AE402" i="5"/>
  <c r="AD402" i="5"/>
  <c r="AC402" i="5"/>
  <c r="AB402" i="5"/>
  <c r="AA402" i="5"/>
  <c r="Z402" i="5"/>
  <c r="Y402" i="5"/>
  <c r="W402" i="5"/>
  <c r="V402" i="5"/>
  <c r="U402" i="5"/>
  <c r="T402" i="5"/>
  <c r="S402" i="5"/>
  <c r="R402" i="5"/>
  <c r="Q402" i="5"/>
  <c r="P402" i="5"/>
  <c r="O402" i="5"/>
  <c r="N402" i="5"/>
  <c r="M402" i="5"/>
  <c r="AU401" i="5"/>
  <c r="AT401" i="5"/>
  <c r="AS401" i="5"/>
  <c r="AR401" i="5"/>
  <c r="AQ401" i="5"/>
  <c r="AP401" i="5"/>
  <c r="AO401" i="5"/>
  <c r="AN401" i="5"/>
  <c r="AM401" i="5"/>
  <c r="AL401" i="5"/>
  <c r="AK401" i="5"/>
  <c r="AI401" i="5"/>
  <c r="AH401" i="5"/>
  <c r="AG401" i="5"/>
  <c r="AF401" i="5"/>
  <c r="AE401" i="5"/>
  <c r="AD401" i="5"/>
  <c r="AC401" i="5"/>
  <c r="AB401" i="5"/>
  <c r="AA401" i="5"/>
  <c r="Z401" i="5"/>
  <c r="Y401" i="5"/>
  <c r="W401" i="5"/>
  <c r="V401" i="5"/>
  <c r="U401" i="5"/>
  <c r="T401" i="5"/>
  <c r="S401" i="5"/>
  <c r="R401" i="5"/>
  <c r="Q401" i="5"/>
  <c r="Q766" i="5" s="1" a="1"/>
  <c r="Q766" i="5" s="1"/>
  <c r="O771" i="5" s="1"/>
  <c r="P401" i="5"/>
  <c r="O401" i="5"/>
  <c r="N401" i="5"/>
  <c r="M401" i="5"/>
  <c r="M766" i="5" s="1" a="1"/>
  <c r="M766" i="5" s="1"/>
  <c r="AU400" i="5"/>
  <c r="AT400" i="5"/>
  <c r="AS400" i="5"/>
  <c r="AR400" i="5"/>
  <c r="AQ400" i="5"/>
  <c r="AP400" i="5"/>
  <c r="AO400" i="5"/>
  <c r="AN400" i="5"/>
  <c r="AM400" i="5"/>
  <c r="AL400" i="5"/>
  <c r="AK400" i="5"/>
  <c r="AI400" i="5"/>
  <c r="AH400" i="5"/>
  <c r="AG400" i="5"/>
  <c r="AF400" i="5"/>
  <c r="AE400" i="5"/>
  <c r="AD400" i="5"/>
  <c r="AC400" i="5"/>
  <c r="AB400" i="5"/>
  <c r="AA400" i="5"/>
  <c r="Z400" i="5"/>
  <c r="Y400" i="5"/>
  <c r="W400" i="5"/>
  <c r="V400" i="5"/>
  <c r="U400" i="5"/>
  <c r="T400" i="5"/>
  <c r="S400" i="5"/>
  <c r="R400" i="5"/>
  <c r="Q400" i="5"/>
  <c r="P400" i="5"/>
  <c r="O400" i="5"/>
  <c r="N400" i="5"/>
  <c r="M400" i="5"/>
  <c r="AU399" i="5"/>
  <c r="AT399" i="5"/>
  <c r="AS399" i="5"/>
  <c r="AR399" i="5"/>
  <c r="AQ399" i="5"/>
  <c r="AQ766" i="5" s="1" a="1"/>
  <c r="AQ766" i="5" s="1"/>
  <c r="AD771" i="5" s="1"/>
  <c r="AP399" i="5"/>
  <c r="AO399" i="5"/>
  <c r="AN399" i="5"/>
  <c r="AM399" i="5"/>
  <c r="AL399" i="5"/>
  <c r="AK399" i="5"/>
  <c r="AI399" i="5"/>
  <c r="AH399" i="5"/>
  <c r="AG399" i="5"/>
  <c r="AF399" i="5"/>
  <c r="AE399" i="5"/>
  <c r="AD399" i="5"/>
  <c r="AD766" i="5" s="1" a="1"/>
  <c r="AD766" i="5" s="1"/>
  <c r="AC399" i="5"/>
  <c r="AB399" i="5"/>
  <c r="AB766" i="5" s="1" a="1"/>
  <c r="AB766" i="5" s="1"/>
  <c r="AA399" i="5"/>
  <c r="Z399" i="5"/>
  <c r="Y399" i="5"/>
  <c r="W399" i="5"/>
  <c r="V399" i="5"/>
  <c r="U399" i="5"/>
  <c r="T399" i="5"/>
  <c r="S399" i="5"/>
  <c r="S766" i="5" s="1" a="1"/>
  <c r="S766" i="5" s="1"/>
  <c r="P771" i="5" s="1"/>
  <c r="R399" i="5"/>
  <c r="Q399" i="5"/>
  <c r="P399" i="5"/>
  <c r="O399" i="5"/>
  <c r="O766" i="5" s="1" a="1"/>
  <c r="O766" i="5" s="1"/>
  <c r="N771" i="5" s="1"/>
  <c r="N399" i="5"/>
  <c r="M399" i="5"/>
  <c r="J399" i="5"/>
  <c r="I399" i="5"/>
  <c r="AU398" i="5"/>
  <c r="AT398" i="5"/>
  <c r="AS398" i="5"/>
  <c r="AR398" i="5"/>
  <c r="AQ398" i="5"/>
  <c r="AP398" i="5"/>
  <c r="AO398" i="5"/>
  <c r="AN398" i="5"/>
  <c r="AM398" i="5"/>
  <c r="AL398" i="5"/>
  <c r="AK398" i="5"/>
  <c r="AI398" i="5"/>
  <c r="AH398" i="5"/>
  <c r="AG398" i="5"/>
  <c r="AF398" i="5"/>
  <c r="AE398" i="5"/>
  <c r="AD398" i="5"/>
  <c r="AC398" i="5"/>
  <c r="AB398" i="5"/>
  <c r="AA398" i="5"/>
  <c r="Z398" i="5"/>
  <c r="Y398" i="5"/>
  <c r="W398" i="5"/>
  <c r="V398" i="5"/>
  <c r="U398" i="5"/>
  <c r="T398" i="5"/>
  <c r="S398" i="5"/>
  <c r="R398" i="5"/>
  <c r="Q398" i="5"/>
  <c r="P398" i="5"/>
  <c r="O398" i="5"/>
  <c r="N398" i="5"/>
  <c r="M398" i="5"/>
  <c r="AU397" i="5"/>
  <c r="AT397" i="5"/>
  <c r="AS397" i="5"/>
  <c r="AR397" i="5"/>
  <c r="AQ397" i="5"/>
  <c r="AP397" i="5"/>
  <c r="AO397" i="5"/>
  <c r="AN397" i="5"/>
  <c r="AM397" i="5"/>
  <c r="AL397" i="5"/>
  <c r="AK397" i="5"/>
  <c r="AI397" i="5"/>
  <c r="AH397" i="5"/>
  <c r="AG397" i="5"/>
  <c r="AF397" i="5"/>
  <c r="AE397" i="5"/>
  <c r="AD397" i="5"/>
  <c r="AC397" i="5"/>
  <c r="AB397" i="5"/>
  <c r="AA397" i="5"/>
  <c r="Z397" i="5"/>
  <c r="Y397" i="5"/>
  <c r="W397" i="5"/>
  <c r="V397" i="5"/>
  <c r="U397" i="5"/>
  <c r="T397" i="5"/>
  <c r="S397" i="5"/>
  <c r="R397" i="5"/>
  <c r="Q397" i="5"/>
  <c r="P397" i="5"/>
  <c r="O397" i="5"/>
  <c r="N397" i="5"/>
  <c r="M397" i="5"/>
  <c r="J397" i="5"/>
  <c r="AU396" i="5"/>
  <c r="AT396" i="5"/>
  <c r="AS396" i="5"/>
  <c r="AR396" i="5"/>
  <c r="AQ396" i="5"/>
  <c r="AP396" i="5"/>
  <c r="AO396" i="5"/>
  <c r="AN396" i="5"/>
  <c r="AM396" i="5"/>
  <c r="AL396" i="5"/>
  <c r="AK396" i="5"/>
  <c r="AI396" i="5"/>
  <c r="AH396" i="5"/>
  <c r="AG396" i="5"/>
  <c r="AF396" i="5"/>
  <c r="AE396" i="5"/>
  <c r="AD396" i="5"/>
  <c r="AC396" i="5"/>
  <c r="AB396" i="5"/>
  <c r="AA396" i="5"/>
  <c r="Z396" i="5"/>
  <c r="Y396" i="5"/>
  <c r="W396" i="5"/>
  <c r="V396" i="5"/>
  <c r="U396" i="5"/>
  <c r="T396" i="5"/>
  <c r="S396" i="5"/>
  <c r="R396" i="5"/>
  <c r="Q396" i="5"/>
  <c r="P396" i="5"/>
  <c r="O396" i="5"/>
  <c r="N396" i="5"/>
  <c r="M396" i="5"/>
  <c r="J396" i="5"/>
  <c r="AU395" i="5"/>
  <c r="AT395" i="5"/>
  <c r="AS395" i="5"/>
  <c r="AR395" i="5"/>
  <c r="AQ395" i="5"/>
  <c r="AP395" i="5"/>
  <c r="AO395" i="5"/>
  <c r="AN395" i="5"/>
  <c r="AM395" i="5"/>
  <c r="AL395" i="5"/>
  <c r="AK395" i="5"/>
  <c r="AI395" i="5"/>
  <c r="AH395" i="5"/>
  <c r="AG395" i="5"/>
  <c r="AF395" i="5"/>
  <c r="AE395" i="5"/>
  <c r="AD395" i="5"/>
  <c r="AC395" i="5"/>
  <c r="AB395" i="5"/>
  <c r="AA395" i="5"/>
  <c r="Z395" i="5"/>
  <c r="Y395" i="5"/>
  <c r="W395" i="5"/>
  <c r="V395" i="5"/>
  <c r="U395" i="5"/>
  <c r="T395" i="5"/>
  <c r="S395" i="5"/>
  <c r="R395" i="5"/>
  <c r="Q395" i="5"/>
  <c r="P395" i="5"/>
  <c r="O395" i="5"/>
  <c r="N395" i="5"/>
  <c r="M395" i="5"/>
  <c r="AU394" i="5"/>
  <c r="AT394" i="5"/>
  <c r="AS394" i="5"/>
  <c r="AR394" i="5"/>
  <c r="AQ394" i="5"/>
  <c r="AP394" i="5"/>
  <c r="AO394" i="5"/>
  <c r="AN394" i="5"/>
  <c r="AM394" i="5"/>
  <c r="AL394" i="5"/>
  <c r="AK394" i="5"/>
  <c r="AI394" i="5"/>
  <c r="AH394" i="5"/>
  <c r="AG394" i="5"/>
  <c r="AF394" i="5"/>
  <c r="AE394" i="5"/>
  <c r="AD394" i="5"/>
  <c r="AC394" i="5"/>
  <c r="AB394" i="5"/>
  <c r="AA394" i="5"/>
  <c r="Z394" i="5"/>
  <c r="Y394" i="5"/>
  <c r="W394" i="5"/>
  <c r="V394" i="5"/>
  <c r="U394" i="5"/>
  <c r="T394" i="5"/>
  <c r="S394" i="5"/>
  <c r="R394" i="5"/>
  <c r="Q394" i="5"/>
  <c r="P394" i="5"/>
  <c r="O394" i="5"/>
  <c r="N394" i="5"/>
  <c r="M394" i="5"/>
  <c r="AU393" i="5"/>
  <c r="AT393" i="5"/>
  <c r="AS393" i="5"/>
  <c r="AR393" i="5"/>
  <c r="AQ393" i="5"/>
  <c r="AP393" i="5"/>
  <c r="AO393" i="5"/>
  <c r="AN393" i="5"/>
  <c r="AM393" i="5"/>
  <c r="AL393" i="5"/>
  <c r="AK393" i="5"/>
  <c r="AI393" i="5"/>
  <c r="AH393" i="5"/>
  <c r="AG393" i="5"/>
  <c r="AF393" i="5"/>
  <c r="AE393" i="5"/>
  <c r="AD393" i="5"/>
  <c r="AC393" i="5"/>
  <c r="AB393" i="5"/>
  <c r="AA393" i="5"/>
  <c r="Z393" i="5"/>
  <c r="Y393" i="5"/>
  <c r="W393" i="5"/>
  <c r="V393" i="5"/>
  <c r="U393" i="5"/>
  <c r="T393" i="5"/>
  <c r="S393" i="5"/>
  <c r="R393" i="5"/>
  <c r="Q393" i="5"/>
  <c r="P393" i="5"/>
  <c r="O393" i="5"/>
  <c r="N393" i="5"/>
  <c r="M393" i="5"/>
  <c r="I393" i="5"/>
  <c r="AU392" i="5"/>
  <c r="AT392" i="5"/>
  <c r="AS392" i="5"/>
  <c r="AR392" i="5"/>
  <c r="AQ392" i="5"/>
  <c r="AP392" i="5"/>
  <c r="AO392" i="5"/>
  <c r="AN392" i="5"/>
  <c r="AM392" i="5"/>
  <c r="AL392" i="5"/>
  <c r="AK392" i="5"/>
  <c r="AI392" i="5"/>
  <c r="AH392" i="5"/>
  <c r="AG392" i="5"/>
  <c r="AF392" i="5"/>
  <c r="AE392" i="5"/>
  <c r="AD392" i="5"/>
  <c r="AC392" i="5"/>
  <c r="AB392" i="5"/>
  <c r="AA392" i="5"/>
  <c r="Z392" i="5"/>
  <c r="Y392" i="5"/>
  <c r="W392" i="5"/>
  <c r="V392" i="5"/>
  <c r="U392" i="5"/>
  <c r="T392" i="5"/>
  <c r="S392" i="5"/>
  <c r="R392" i="5"/>
  <c r="Q392" i="5"/>
  <c r="P392" i="5"/>
  <c r="O392" i="5"/>
  <c r="N392" i="5"/>
  <c r="M392" i="5"/>
  <c r="AU391" i="5"/>
  <c r="AT391" i="5"/>
  <c r="AS391" i="5"/>
  <c r="AR391" i="5"/>
  <c r="AQ391" i="5"/>
  <c r="AP391" i="5"/>
  <c r="AO391" i="5"/>
  <c r="AN391" i="5"/>
  <c r="AM391" i="5"/>
  <c r="AL391" i="5"/>
  <c r="AK391" i="5"/>
  <c r="AI391" i="5"/>
  <c r="AH391" i="5"/>
  <c r="AG391" i="5"/>
  <c r="AF391" i="5"/>
  <c r="AE391" i="5"/>
  <c r="AD391" i="5"/>
  <c r="AC391" i="5"/>
  <c r="AB391" i="5"/>
  <c r="AA391" i="5"/>
  <c r="Z391" i="5"/>
  <c r="Y391" i="5"/>
  <c r="W391" i="5"/>
  <c r="V391" i="5"/>
  <c r="U391" i="5"/>
  <c r="T391" i="5"/>
  <c r="S391" i="5"/>
  <c r="R391" i="5"/>
  <c r="Q391" i="5"/>
  <c r="P391" i="5"/>
  <c r="O391" i="5"/>
  <c r="N391" i="5"/>
  <c r="M391" i="5"/>
  <c r="AU390" i="5"/>
  <c r="AT390" i="5"/>
  <c r="AS390" i="5"/>
  <c r="AR390" i="5"/>
  <c r="AQ390" i="5"/>
  <c r="AP390" i="5"/>
  <c r="AO390" i="5"/>
  <c r="AN390" i="5"/>
  <c r="AM390" i="5"/>
  <c r="AL390" i="5"/>
  <c r="AK390" i="5"/>
  <c r="AI390" i="5"/>
  <c r="AH390" i="5"/>
  <c r="AG390" i="5"/>
  <c r="AF390" i="5"/>
  <c r="AE390" i="5"/>
  <c r="AD390" i="5"/>
  <c r="AC390" i="5"/>
  <c r="AB390" i="5"/>
  <c r="AA390" i="5"/>
  <c r="Z390" i="5"/>
  <c r="Y390" i="5"/>
  <c r="W390" i="5"/>
  <c r="V390" i="5"/>
  <c r="U390" i="5"/>
  <c r="T390" i="5"/>
  <c r="S390" i="5"/>
  <c r="R390" i="5"/>
  <c r="Q390" i="5"/>
  <c r="P390" i="5"/>
  <c r="O390" i="5"/>
  <c r="N390" i="5"/>
  <c r="M390" i="5"/>
  <c r="AU389" i="5"/>
  <c r="AT389" i="5"/>
  <c r="AS389" i="5"/>
  <c r="AR389" i="5"/>
  <c r="AQ389" i="5"/>
  <c r="AP389" i="5"/>
  <c r="AO389" i="5"/>
  <c r="AN389" i="5"/>
  <c r="AM389" i="5"/>
  <c r="AL389" i="5"/>
  <c r="AK389" i="5"/>
  <c r="AI389" i="5"/>
  <c r="AH389" i="5"/>
  <c r="AG389" i="5"/>
  <c r="AF389" i="5"/>
  <c r="AE389" i="5"/>
  <c r="AD389" i="5"/>
  <c r="AC389" i="5"/>
  <c r="AB389" i="5"/>
  <c r="AA389" i="5"/>
  <c r="Z389" i="5"/>
  <c r="Y389" i="5"/>
  <c r="W389" i="5"/>
  <c r="V389" i="5"/>
  <c r="U389" i="5"/>
  <c r="T389" i="5"/>
  <c r="S389" i="5"/>
  <c r="R389" i="5"/>
  <c r="Q389" i="5"/>
  <c r="P389" i="5"/>
  <c r="O389" i="5"/>
  <c r="N389" i="5"/>
  <c r="M389" i="5"/>
  <c r="AU388" i="5"/>
  <c r="AT388" i="5"/>
  <c r="AS388" i="5"/>
  <c r="AR388" i="5"/>
  <c r="AQ388" i="5"/>
  <c r="AP388" i="5"/>
  <c r="AO388" i="5"/>
  <c r="AN388" i="5"/>
  <c r="AM388" i="5"/>
  <c r="AL388" i="5"/>
  <c r="AK388" i="5"/>
  <c r="AI388" i="5"/>
  <c r="AH388" i="5"/>
  <c r="AG388" i="5"/>
  <c r="AF388" i="5"/>
  <c r="AE388" i="5"/>
  <c r="AD388" i="5"/>
  <c r="AC388" i="5"/>
  <c r="AB388" i="5"/>
  <c r="AA388" i="5"/>
  <c r="Z388" i="5"/>
  <c r="Y388" i="5"/>
  <c r="W388" i="5"/>
  <c r="V388" i="5"/>
  <c r="U388" i="5"/>
  <c r="T388" i="5"/>
  <c r="S388" i="5"/>
  <c r="R388" i="5"/>
  <c r="Q388" i="5"/>
  <c r="P388" i="5"/>
  <c r="O388" i="5"/>
  <c r="N388" i="5"/>
  <c r="M388" i="5"/>
  <c r="AU387" i="5"/>
  <c r="AT387" i="5"/>
  <c r="AS387" i="5"/>
  <c r="AR387" i="5"/>
  <c r="AQ387" i="5"/>
  <c r="AP387" i="5"/>
  <c r="AO387" i="5"/>
  <c r="AN387" i="5"/>
  <c r="AM387" i="5"/>
  <c r="AL387" i="5"/>
  <c r="AK387" i="5"/>
  <c r="AI387" i="5"/>
  <c r="AH387" i="5"/>
  <c r="AG387" i="5"/>
  <c r="AF387" i="5"/>
  <c r="AE387" i="5"/>
  <c r="AD387" i="5"/>
  <c r="AC387" i="5"/>
  <c r="AB387" i="5"/>
  <c r="AA387" i="5"/>
  <c r="Z387" i="5"/>
  <c r="Y387" i="5"/>
  <c r="W387" i="5"/>
  <c r="V387" i="5"/>
  <c r="U387" i="5"/>
  <c r="T387" i="5"/>
  <c r="S387" i="5"/>
  <c r="R387" i="5"/>
  <c r="Q387" i="5"/>
  <c r="P387" i="5"/>
  <c r="O387" i="5"/>
  <c r="N387" i="5"/>
  <c r="M387" i="5"/>
  <c r="J387" i="5"/>
  <c r="I387" i="5"/>
  <c r="AU386" i="5"/>
  <c r="AT386" i="5"/>
  <c r="AS386" i="5"/>
  <c r="AR386" i="5"/>
  <c r="AQ386" i="5"/>
  <c r="AP386" i="5"/>
  <c r="AO386" i="5"/>
  <c r="AN386" i="5"/>
  <c r="AM386" i="5"/>
  <c r="AL386" i="5"/>
  <c r="AK386" i="5"/>
  <c r="AI386" i="5"/>
  <c r="AH386" i="5"/>
  <c r="AG386" i="5"/>
  <c r="AF386" i="5"/>
  <c r="AE386" i="5"/>
  <c r="AD386" i="5"/>
  <c r="AC386" i="5"/>
  <c r="AB386" i="5"/>
  <c r="AA386" i="5"/>
  <c r="Z386" i="5"/>
  <c r="Y386" i="5"/>
  <c r="W386" i="5"/>
  <c r="V386" i="5"/>
  <c r="U386" i="5"/>
  <c r="T386" i="5"/>
  <c r="S386" i="5"/>
  <c r="R386" i="5"/>
  <c r="Q386" i="5"/>
  <c r="P386" i="5"/>
  <c r="O386" i="5"/>
  <c r="N386" i="5"/>
  <c r="M386" i="5"/>
  <c r="AU385" i="5"/>
  <c r="AT385" i="5"/>
  <c r="AS385" i="5"/>
  <c r="AR385" i="5"/>
  <c r="AQ385" i="5"/>
  <c r="AP385" i="5"/>
  <c r="AO385" i="5"/>
  <c r="AN385" i="5"/>
  <c r="AM385" i="5"/>
  <c r="AL385" i="5"/>
  <c r="AK385" i="5"/>
  <c r="AI385" i="5"/>
  <c r="AH385" i="5"/>
  <c r="AG385" i="5"/>
  <c r="AF385" i="5"/>
  <c r="AE385" i="5"/>
  <c r="AD385" i="5"/>
  <c r="AC385" i="5"/>
  <c r="AB385" i="5"/>
  <c r="AA385" i="5"/>
  <c r="Z385" i="5"/>
  <c r="Y385" i="5"/>
  <c r="W385" i="5"/>
  <c r="V385" i="5"/>
  <c r="U385" i="5"/>
  <c r="T385" i="5"/>
  <c r="S385" i="5"/>
  <c r="R385" i="5"/>
  <c r="Q385" i="5"/>
  <c r="P385" i="5"/>
  <c r="O385" i="5"/>
  <c r="N385" i="5"/>
  <c r="M385" i="5"/>
  <c r="J385" i="5"/>
  <c r="AU384" i="5"/>
  <c r="AU766" i="5" s="1" a="1"/>
  <c r="AU766" i="5" s="1"/>
  <c r="AF771" i="5" s="1"/>
  <c r="AT384" i="5"/>
  <c r="AT766" i="5" s="1" a="1"/>
  <c r="AT766" i="5" s="1"/>
  <c r="AS384" i="5"/>
  <c r="AS766" i="5" s="1" a="1"/>
  <c r="AS766" i="5" s="1"/>
  <c r="AE771" i="5" s="1"/>
  <c r="AR384" i="5"/>
  <c r="AR766" i="5" s="1" a="1"/>
  <c r="AR766" i="5" s="1"/>
  <c r="AQ384" i="5"/>
  <c r="AP384" i="5"/>
  <c r="AP766" i="5" s="1" a="1"/>
  <c r="AP766" i="5" s="1"/>
  <c r="AO384" i="5"/>
  <c r="AO765" i="5" s="1"/>
  <c r="AC770" i="5" s="1"/>
  <c r="AN384" i="5"/>
  <c r="AN765" i="5" s="1"/>
  <c r="AM384" i="5"/>
  <c r="AM765" i="5" s="1"/>
  <c r="AB770" i="5" s="1"/>
  <c r="AL384" i="5"/>
  <c r="AL765" i="5" s="1"/>
  <c r="AA770" i="5" s="1"/>
  <c r="AK384" i="5"/>
  <c r="AK765" i="5" s="1"/>
  <c r="AI384" i="5"/>
  <c r="AI766" i="5" s="1" a="1"/>
  <c r="AI766" i="5" s="1"/>
  <c r="Y771" i="5" s="1"/>
  <c r="AH384" i="5"/>
  <c r="AH766" i="5" s="1" a="1"/>
  <c r="AH766" i="5" s="1"/>
  <c r="AG384" i="5"/>
  <c r="AG766" i="5" s="1" a="1"/>
  <c r="AG766" i="5" s="1"/>
  <c r="X771" i="5" s="1"/>
  <c r="AF384" i="5"/>
  <c r="AF766" i="5" s="1" a="1"/>
  <c r="AF766" i="5" s="1"/>
  <c r="AE384" i="5"/>
  <c r="AE766" i="5" s="1" a="1"/>
  <c r="AE766" i="5" s="1"/>
  <c r="W771" i="5" s="1"/>
  <c r="AD384" i="5"/>
  <c r="AC384" i="5"/>
  <c r="AC766" i="5" s="1" a="1"/>
  <c r="AC766" i="5" s="1"/>
  <c r="V771" i="5" s="1"/>
  <c r="AB384" i="5"/>
  <c r="AB765" i="5" s="1"/>
  <c r="AA384" i="5"/>
  <c r="AA765" i="5" s="1"/>
  <c r="U770" i="5" s="1"/>
  <c r="Z384" i="5"/>
  <c r="Z765" i="5" s="1"/>
  <c r="T770" i="5" s="1"/>
  <c r="Y384" i="5"/>
  <c r="Y765" i="5" s="1"/>
  <c r="W384" i="5"/>
  <c r="W765" i="5" s="1"/>
  <c r="R770" i="5" s="1"/>
  <c r="V384" i="5"/>
  <c r="V766" i="5" s="1" a="1"/>
  <c r="V766" i="5" s="1"/>
  <c r="U384" i="5"/>
  <c r="U766" i="5" s="1" a="1"/>
  <c r="U766" i="5" s="1"/>
  <c r="Q771" i="5" s="1"/>
  <c r="T384" i="5"/>
  <c r="T766" i="5" s="1" a="1"/>
  <c r="T766" i="5" s="1"/>
  <c r="S384" i="5"/>
  <c r="S765" i="5" s="1"/>
  <c r="P770" i="5" s="1"/>
  <c r="R384" i="5"/>
  <c r="R766" i="5" s="1" a="1"/>
  <c r="R766" i="5" s="1"/>
  <c r="Q384" i="5"/>
  <c r="P384" i="5"/>
  <c r="P766" i="5" s="1" a="1"/>
  <c r="P766" i="5" s="1"/>
  <c r="O384" i="5"/>
  <c r="O765" i="5" s="1"/>
  <c r="N770" i="5" s="1"/>
  <c r="N384" i="5"/>
  <c r="N765" i="5" s="1"/>
  <c r="M770" i="5" s="1"/>
  <c r="M384" i="5"/>
  <c r="M765" i="5" s="1"/>
  <c r="J384" i="5"/>
  <c r="J162" i="5"/>
  <c r="J543" i="5" s="1"/>
  <c r="I162" i="5"/>
  <c r="J161" i="5"/>
  <c r="I161" i="5" s="1"/>
  <c r="I542" i="5" s="1"/>
  <c r="J160" i="5"/>
  <c r="I160" i="5" s="1"/>
  <c r="I541" i="5" s="1"/>
  <c r="J159" i="5"/>
  <c r="I159" i="5" s="1"/>
  <c r="I540" i="5" s="1"/>
  <c r="J158" i="5"/>
  <c r="J539" i="5" s="1"/>
  <c r="J157" i="5"/>
  <c r="J538" i="5" s="1"/>
  <c r="I157" i="5"/>
  <c r="I538" i="5" s="1"/>
  <c r="J156" i="5"/>
  <c r="J537" i="5" s="1"/>
  <c r="I156" i="5"/>
  <c r="J155" i="5"/>
  <c r="I155" i="5" s="1"/>
  <c r="I536" i="5" s="1"/>
  <c r="J154" i="5"/>
  <c r="J535" i="5" s="1"/>
  <c r="J153" i="5"/>
  <c r="J534" i="5" s="1"/>
  <c r="J152" i="5"/>
  <c r="J533" i="5" s="1"/>
  <c r="J151" i="5"/>
  <c r="J532" i="5" s="1"/>
  <c r="I151" i="5"/>
  <c r="I532" i="5" s="1"/>
  <c r="J150" i="5"/>
  <c r="J531" i="5" s="1"/>
  <c r="I150" i="5"/>
  <c r="J149" i="5"/>
  <c r="I149" i="5" s="1"/>
  <c r="I530" i="5" s="1"/>
  <c r="J148" i="5"/>
  <c r="I148" i="5" s="1"/>
  <c r="I529" i="5" s="1"/>
  <c r="J147" i="5"/>
  <c r="I147" i="5" s="1"/>
  <c r="I528" i="5" s="1"/>
  <c r="J146" i="5"/>
  <c r="J527" i="5" s="1"/>
  <c r="J145" i="5"/>
  <c r="J526" i="5" s="1"/>
  <c r="I145" i="5"/>
  <c r="I526" i="5" s="1"/>
  <c r="J144" i="5"/>
  <c r="J525" i="5" s="1"/>
  <c r="I144" i="5"/>
  <c r="J143" i="5"/>
  <c r="I143" i="5" s="1"/>
  <c r="I524" i="5" s="1"/>
  <c r="J142" i="5"/>
  <c r="J523" i="5" s="1"/>
  <c r="J141" i="5"/>
  <c r="J522" i="5" s="1"/>
  <c r="J140" i="5"/>
  <c r="J521" i="5" s="1"/>
  <c r="J139" i="5"/>
  <c r="J520" i="5" s="1"/>
  <c r="I139" i="5"/>
  <c r="I520" i="5" s="1"/>
  <c r="J138" i="5"/>
  <c r="J519" i="5" s="1"/>
  <c r="I138" i="5"/>
  <c r="J137" i="5"/>
  <c r="I137" i="5" s="1"/>
  <c r="I518" i="5" s="1"/>
  <c r="J136" i="5"/>
  <c r="I136" i="5" s="1"/>
  <c r="I517" i="5" s="1"/>
  <c r="J135" i="5"/>
  <c r="I135" i="5" s="1"/>
  <c r="I516" i="5" s="1"/>
  <c r="J134" i="5"/>
  <c r="J515" i="5" s="1"/>
  <c r="J133" i="5"/>
  <c r="J514" i="5" s="1"/>
  <c r="I133" i="5"/>
  <c r="I514" i="5" s="1"/>
  <c r="J132" i="5"/>
  <c r="J513" i="5" s="1"/>
  <c r="I132" i="5"/>
  <c r="J131" i="5"/>
  <c r="I131" i="5" s="1"/>
  <c r="I512" i="5" s="1"/>
  <c r="J130" i="5"/>
  <c r="J511" i="5" s="1"/>
  <c r="J129" i="5"/>
  <c r="J510" i="5" s="1"/>
  <c r="J128" i="5"/>
  <c r="J509" i="5" s="1"/>
  <c r="J127" i="5"/>
  <c r="J508" i="5" s="1"/>
  <c r="I127" i="5"/>
  <c r="I508" i="5" s="1"/>
  <c r="J126" i="5"/>
  <c r="J507" i="5" s="1"/>
  <c r="I126" i="5"/>
  <c r="J125" i="5"/>
  <c r="I125" i="5" s="1"/>
  <c r="I506" i="5" s="1"/>
  <c r="J124" i="5"/>
  <c r="I124" i="5" s="1"/>
  <c r="I505" i="5" s="1"/>
  <c r="J123" i="5"/>
  <c r="I123" i="5" s="1"/>
  <c r="I504" i="5" s="1"/>
  <c r="J122" i="5"/>
  <c r="J503" i="5" s="1"/>
  <c r="J121" i="5"/>
  <c r="J502" i="5" s="1"/>
  <c r="I121" i="5"/>
  <c r="I502" i="5" s="1"/>
  <c r="J120" i="5"/>
  <c r="J501" i="5" s="1"/>
  <c r="I120" i="5"/>
  <c r="J119" i="5"/>
  <c r="I119" i="5" s="1"/>
  <c r="I500" i="5" s="1"/>
  <c r="J118" i="5"/>
  <c r="J499" i="5" s="1"/>
  <c r="J117" i="5"/>
  <c r="J498" i="5" s="1"/>
  <c r="J116" i="5"/>
  <c r="J497" i="5" s="1"/>
  <c r="J115" i="5"/>
  <c r="J496" i="5" s="1"/>
  <c r="I115" i="5"/>
  <c r="I496" i="5" s="1"/>
  <c r="J114" i="5"/>
  <c r="J495" i="5" s="1"/>
  <c r="I114" i="5"/>
  <c r="J113" i="5"/>
  <c r="I113" i="5" s="1"/>
  <c r="I494" i="5" s="1"/>
  <c r="J112" i="5"/>
  <c r="I112" i="5" s="1"/>
  <c r="I493" i="5" s="1"/>
  <c r="J111" i="5"/>
  <c r="I111" i="5" s="1"/>
  <c r="I492" i="5" s="1"/>
  <c r="J110" i="5"/>
  <c r="J491" i="5" s="1"/>
  <c r="J109" i="5"/>
  <c r="J490" i="5" s="1"/>
  <c r="I109" i="5"/>
  <c r="I490" i="5" s="1"/>
  <c r="J108" i="5"/>
  <c r="J489" i="5" s="1"/>
  <c r="I108" i="5"/>
  <c r="J107" i="5"/>
  <c r="I107" i="5" s="1"/>
  <c r="I488" i="5" s="1"/>
  <c r="J106" i="5"/>
  <c r="J487" i="5" s="1"/>
  <c r="J105" i="5"/>
  <c r="J486" i="5" s="1"/>
  <c r="J104" i="5"/>
  <c r="J485" i="5" s="1"/>
  <c r="J103" i="5"/>
  <c r="J484" i="5" s="1"/>
  <c r="I103" i="5"/>
  <c r="I484" i="5" s="1"/>
  <c r="J102" i="5"/>
  <c r="J483" i="5" s="1"/>
  <c r="I102" i="5"/>
  <c r="J101" i="5"/>
  <c r="I101" i="5" s="1"/>
  <c r="I482" i="5" s="1"/>
  <c r="J100" i="5"/>
  <c r="I100" i="5" s="1"/>
  <c r="I481" i="5" s="1"/>
  <c r="J99" i="5"/>
  <c r="I99" i="5" s="1"/>
  <c r="I480" i="5" s="1"/>
  <c r="J98" i="5"/>
  <c r="J479" i="5" s="1"/>
  <c r="J97" i="5"/>
  <c r="J478" i="5" s="1"/>
  <c r="I97" i="5"/>
  <c r="I478" i="5" s="1"/>
  <c r="J96" i="5"/>
  <c r="J477" i="5" s="1"/>
  <c r="I96" i="5"/>
  <c r="J95" i="5"/>
  <c r="I95" i="5" s="1"/>
  <c r="I476" i="5" s="1"/>
  <c r="J94" i="5"/>
  <c r="J475" i="5" s="1"/>
  <c r="J93" i="5"/>
  <c r="J474" i="5" s="1"/>
  <c r="J92" i="5"/>
  <c r="J473" i="5" s="1"/>
  <c r="J91" i="5"/>
  <c r="J472" i="5" s="1"/>
  <c r="I91" i="5"/>
  <c r="I472" i="5" s="1"/>
  <c r="J90" i="5"/>
  <c r="J471" i="5" s="1"/>
  <c r="I90" i="5"/>
  <c r="J89" i="5"/>
  <c r="I89" i="5" s="1"/>
  <c r="I470" i="5" s="1"/>
  <c r="J88" i="5"/>
  <c r="I88" i="5" s="1"/>
  <c r="I469" i="5" s="1"/>
  <c r="J87" i="5"/>
  <c r="I87" i="5" s="1"/>
  <c r="I468" i="5" s="1"/>
  <c r="J86" i="5"/>
  <c r="J467" i="5" s="1"/>
  <c r="J85" i="5"/>
  <c r="J466" i="5" s="1"/>
  <c r="I85" i="5"/>
  <c r="I466" i="5" s="1"/>
  <c r="J84" i="5"/>
  <c r="J465" i="5" s="1"/>
  <c r="I84" i="5"/>
  <c r="J83" i="5"/>
  <c r="I83" i="5" s="1"/>
  <c r="I464" i="5" s="1"/>
  <c r="J82" i="5"/>
  <c r="J463" i="5" s="1"/>
  <c r="J81" i="5"/>
  <c r="J462" i="5" s="1"/>
  <c r="J80" i="5"/>
  <c r="J461" i="5" s="1"/>
  <c r="J79" i="5"/>
  <c r="J460" i="5" s="1"/>
  <c r="I79" i="5"/>
  <c r="I460" i="5" s="1"/>
  <c r="J78" i="5"/>
  <c r="J459" i="5" s="1"/>
  <c r="I78" i="5"/>
  <c r="J77" i="5"/>
  <c r="I77" i="5" s="1"/>
  <c r="I458" i="5" s="1"/>
  <c r="J76" i="5"/>
  <c r="I76" i="5" s="1"/>
  <c r="I457" i="5" s="1"/>
  <c r="J75" i="5"/>
  <c r="I75" i="5" s="1"/>
  <c r="I456" i="5" s="1"/>
  <c r="J74" i="5"/>
  <c r="J455" i="5" s="1"/>
  <c r="J73" i="5"/>
  <c r="J454" i="5" s="1"/>
  <c r="I73" i="5"/>
  <c r="I454" i="5" s="1"/>
  <c r="J72" i="5"/>
  <c r="J453" i="5" s="1"/>
  <c r="I72" i="5"/>
  <c r="J71" i="5"/>
  <c r="I71" i="5" s="1"/>
  <c r="I452" i="5" s="1"/>
  <c r="J70" i="5"/>
  <c r="J451" i="5" s="1"/>
  <c r="J69" i="5"/>
  <c r="J450" i="5" s="1"/>
  <c r="J68" i="5"/>
  <c r="J449" i="5" s="1"/>
  <c r="J67" i="5"/>
  <c r="J448" i="5" s="1"/>
  <c r="I67" i="5"/>
  <c r="I448" i="5" s="1"/>
  <c r="J66" i="5"/>
  <c r="J447" i="5" s="1"/>
  <c r="I66" i="5"/>
  <c r="J65" i="5"/>
  <c r="I65" i="5" s="1"/>
  <c r="I446" i="5" s="1"/>
  <c r="J64" i="5"/>
  <c r="I64" i="5" s="1"/>
  <c r="I445" i="5" s="1"/>
  <c r="J63" i="5"/>
  <c r="I63" i="5" s="1"/>
  <c r="I444" i="5" s="1"/>
  <c r="J62" i="5"/>
  <c r="J443" i="5" s="1"/>
  <c r="J61" i="5"/>
  <c r="J442" i="5" s="1"/>
  <c r="I61" i="5"/>
  <c r="I442" i="5" s="1"/>
  <c r="J60" i="5"/>
  <c r="J441" i="5" s="1"/>
  <c r="I60" i="5"/>
  <c r="J59" i="5"/>
  <c r="I59" i="5" s="1"/>
  <c r="I440" i="5" s="1"/>
  <c r="J58" i="5"/>
  <c r="J439" i="5" s="1"/>
  <c r="J57" i="5"/>
  <c r="J438" i="5" s="1"/>
  <c r="J56" i="5"/>
  <c r="J437" i="5" s="1"/>
  <c r="J55" i="5"/>
  <c r="J436" i="5" s="1"/>
  <c r="I55" i="5"/>
  <c r="I436" i="5" s="1"/>
  <c r="J54" i="5"/>
  <c r="J435" i="5" s="1"/>
  <c r="I54" i="5"/>
  <c r="J53" i="5"/>
  <c r="I53" i="5" s="1"/>
  <c r="I434" i="5" s="1"/>
  <c r="J52" i="5"/>
  <c r="I52" i="5" s="1"/>
  <c r="I433" i="5" s="1"/>
  <c r="J51" i="5"/>
  <c r="I51" i="5" s="1"/>
  <c r="I432" i="5" s="1"/>
  <c r="J50" i="5"/>
  <c r="J431" i="5" s="1"/>
  <c r="J49" i="5"/>
  <c r="J430" i="5" s="1"/>
  <c r="I49" i="5"/>
  <c r="I430" i="5" s="1"/>
  <c r="J48" i="5"/>
  <c r="J429" i="5" s="1"/>
  <c r="I48" i="5"/>
  <c r="J47" i="5"/>
  <c r="I47" i="5" s="1"/>
  <c r="I428" i="5" s="1"/>
  <c r="J46" i="5"/>
  <c r="J427" i="5" s="1"/>
  <c r="J45" i="5"/>
  <c r="J426" i="5" s="1"/>
  <c r="J44" i="5"/>
  <c r="J425" i="5" s="1"/>
  <c r="J43" i="5"/>
  <c r="J424" i="5" s="1"/>
  <c r="I43" i="5"/>
  <c r="I424" i="5" s="1"/>
  <c r="J42" i="5"/>
  <c r="I42" i="5"/>
  <c r="J41" i="5"/>
  <c r="I41" i="5" s="1"/>
  <c r="I422" i="5" s="1"/>
  <c r="J40" i="5"/>
  <c r="I40" i="5" s="1"/>
  <c r="I421" i="5" s="1"/>
  <c r="J39" i="5"/>
  <c r="I39" i="5" s="1"/>
  <c r="I420" i="5" s="1"/>
  <c r="J38" i="5"/>
  <c r="J419" i="5" s="1"/>
  <c r="J37" i="5"/>
  <c r="J418" i="5" s="1"/>
  <c r="I37" i="5"/>
  <c r="I418" i="5" s="1"/>
  <c r="J36" i="5"/>
  <c r="J417" i="5" s="1"/>
  <c r="I36" i="5"/>
  <c r="J35" i="5"/>
  <c r="I35" i="5" s="1"/>
  <c r="I416" i="5" s="1"/>
  <c r="J34" i="5"/>
  <c r="J415" i="5" s="1"/>
  <c r="J33" i="5"/>
  <c r="J414" i="5" s="1"/>
  <c r="J32" i="5"/>
  <c r="J413" i="5" s="1"/>
  <c r="J31" i="5"/>
  <c r="J412" i="5" s="1"/>
  <c r="I31" i="5"/>
  <c r="I412" i="5" s="1"/>
  <c r="J30" i="5"/>
  <c r="I30" i="5"/>
  <c r="J29" i="5"/>
  <c r="I29" i="5" s="1"/>
  <c r="I410" i="5" s="1"/>
  <c r="J28" i="5"/>
  <c r="I28" i="5" s="1"/>
  <c r="I409" i="5" s="1"/>
  <c r="J27" i="5"/>
  <c r="I27" i="5" s="1"/>
  <c r="I408" i="5" s="1"/>
  <c r="J26" i="5"/>
  <c r="J407" i="5" s="1"/>
  <c r="J25" i="5"/>
  <c r="J406" i="5" s="1"/>
  <c r="I25" i="5"/>
  <c r="I406" i="5" s="1"/>
  <c r="J24" i="5"/>
  <c r="J405" i="5" s="1"/>
  <c r="I24" i="5"/>
  <c r="J23" i="5"/>
  <c r="I23" i="5" s="1"/>
  <c r="I404" i="5" s="1"/>
  <c r="J22" i="5"/>
  <c r="J403" i="5" s="1"/>
  <c r="J21" i="5"/>
  <c r="J402" i="5" s="1"/>
  <c r="J20" i="5"/>
  <c r="J401" i="5" s="1"/>
  <c r="J19" i="5"/>
  <c r="J400" i="5" s="1"/>
  <c r="I19" i="5"/>
  <c r="I400" i="5" s="1"/>
  <c r="J18" i="5"/>
  <c r="I18" i="5"/>
  <c r="J17" i="5"/>
  <c r="I17" i="5" s="1"/>
  <c r="I398" i="5" s="1"/>
  <c r="J16" i="5"/>
  <c r="I16" i="5" s="1"/>
  <c r="I397" i="5" s="1"/>
  <c r="J15" i="5"/>
  <c r="I15" i="5" s="1"/>
  <c r="I396" i="5" s="1"/>
  <c r="J14" i="5"/>
  <c r="J395" i="5" s="1"/>
  <c r="J13" i="5"/>
  <c r="J394" i="5" s="1"/>
  <c r="I13" i="5"/>
  <c r="I394" i="5" s="1"/>
  <c r="J12" i="5"/>
  <c r="J393" i="5" s="1"/>
  <c r="I12" i="5"/>
  <c r="J11" i="5"/>
  <c r="I11" i="5" s="1"/>
  <c r="I392" i="5" s="1"/>
  <c r="J10" i="5"/>
  <c r="J391" i="5" s="1"/>
  <c r="J9" i="5"/>
  <c r="J390" i="5" s="1"/>
  <c r="J8" i="5"/>
  <c r="J389" i="5" s="1"/>
  <c r="J7" i="5"/>
  <c r="J388" i="5" s="1"/>
  <c r="I7" i="5"/>
  <c r="I388" i="5" s="1"/>
  <c r="J6" i="5"/>
  <c r="I6" i="5"/>
  <c r="J5" i="5"/>
  <c r="I5" i="5" s="1"/>
  <c r="I386" i="5" s="1"/>
  <c r="J4" i="5"/>
  <c r="I4" i="5" s="1"/>
  <c r="I385" i="5" s="1"/>
  <c r="J3" i="5"/>
  <c r="I3" i="5" s="1"/>
  <c r="I384" i="5" s="1"/>
  <c r="J386" i="5" l="1"/>
  <c r="J398" i="5"/>
  <c r="J410" i="5"/>
  <c r="J422" i="5"/>
  <c r="J434" i="5"/>
  <c r="J446" i="5"/>
  <c r="J458" i="5"/>
  <c r="J470" i="5"/>
  <c r="J482" i="5"/>
  <c r="J494" i="5"/>
  <c r="J506" i="5"/>
  <c r="J518" i="5"/>
  <c r="J530" i="5"/>
  <c r="J542" i="5"/>
  <c r="P765" i="5"/>
  <c r="AC765" i="5"/>
  <c r="V770" i="5" s="1"/>
  <c r="AP765" i="5"/>
  <c r="J528" i="5"/>
  <c r="J540" i="5"/>
  <c r="AK766" i="5" a="1"/>
  <c r="AK766" i="5" s="1"/>
  <c r="W766" i="5" a="1"/>
  <c r="W766" i="5" s="1"/>
  <c r="R771" i="5" s="1"/>
  <c r="I8" i="5"/>
  <c r="I389" i="5" s="1"/>
  <c r="I14" i="5"/>
  <c r="I395" i="5" s="1"/>
  <c r="I20" i="5"/>
  <c r="I401" i="5" s="1"/>
  <c r="I26" i="5"/>
  <c r="I407" i="5" s="1"/>
  <c r="I32" i="5"/>
  <c r="I413" i="5" s="1"/>
  <c r="I38" i="5"/>
  <c r="I419" i="5" s="1"/>
  <c r="I44" i="5"/>
  <c r="I425" i="5" s="1"/>
  <c r="I50" i="5"/>
  <c r="I431" i="5" s="1"/>
  <c r="I56" i="5"/>
  <c r="I437" i="5" s="1"/>
  <c r="I62" i="5"/>
  <c r="I443" i="5" s="1"/>
  <c r="I68" i="5"/>
  <c r="I449" i="5" s="1"/>
  <c r="I74" i="5"/>
  <c r="I455" i="5" s="1"/>
  <c r="I80" i="5"/>
  <c r="I461" i="5" s="1"/>
  <c r="I86" i="5"/>
  <c r="I467" i="5" s="1"/>
  <c r="I92" i="5"/>
  <c r="I473" i="5" s="1"/>
  <c r="I98" i="5"/>
  <c r="I479" i="5" s="1"/>
  <c r="I104" i="5"/>
  <c r="I485" i="5" s="1"/>
  <c r="I110" i="5"/>
  <c r="I491" i="5" s="1"/>
  <c r="I116" i="5"/>
  <c r="I497" i="5" s="1"/>
  <c r="I122" i="5"/>
  <c r="I503" i="5" s="1"/>
  <c r="I128" i="5"/>
  <c r="I509" i="5" s="1"/>
  <c r="I134" i="5"/>
  <c r="I515" i="5" s="1"/>
  <c r="I140" i="5"/>
  <c r="I521" i="5" s="1"/>
  <c r="I146" i="5"/>
  <c r="I527" i="5" s="1"/>
  <c r="I152" i="5"/>
  <c r="I533" i="5" s="1"/>
  <c r="I158" i="5"/>
  <c r="I539" i="5" s="1"/>
  <c r="AF765" i="5"/>
  <c r="AS765" i="5"/>
  <c r="AE770" i="5" s="1"/>
  <c r="Y766" i="5" a="1"/>
  <c r="Y766" i="5" s="1"/>
  <c r="AL766" i="5" a="1"/>
  <c r="AL766" i="5" s="1"/>
  <c r="AA771" i="5" s="1"/>
  <c r="T765" i="5"/>
  <c r="AG765" i="5"/>
  <c r="X770" i="5" s="1"/>
  <c r="AT765" i="5"/>
  <c r="I9" i="5"/>
  <c r="I390" i="5" s="1"/>
  <c r="I21" i="5"/>
  <c r="I402" i="5" s="1"/>
  <c r="I33" i="5"/>
  <c r="I414" i="5" s="1"/>
  <c r="I45" i="5"/>
  <c r="I426" i="5" s="1"/>
  <c r="I57" i="5"/>
  <c r="I438" i="5" s="1"/>
  <c r="I69" i="5"/>
  <c r="I450" i="5" s="1"/>
  <c r="I81" i="5"/>
  <c r="I462" i="5" s="1"/>
  <c r="I93" i="5"/>
  <c r="I474" i="5" s="1"/>
  <c r="I105" i="5"/>
  <c r="I486" i="5" s="1"/>
  <c r="I117" i="5"/>
  <c r="I498" i="5" s="1"/>
  <c r="I129" i="5"/>
  <c r="I510" i="5" s="1"/>
  <c r="I141" i="5"/>
  <c r="I522" i="5" s="1"/>
  <c r="I153" i="5"/>
  <c r="I534" i="5" s="1"/>
  <c r="U765" i="5"/>
  <c r="Q770" i="5" s="1"/>
  <c r="AH765" i="5"/>
  <c r="AU765" i="5"/>
  <c r="AF770" i="5" s="1"/>
  <c r="J392" i="5"/>
  <c r="J416" i="5"/>
  <c r="J440" i="5"/>
  <c r="J464" i="5"/>
  <c r="J476" i="5"/>
  <c r="J488" i="5"/>
  <c r="J524" i="5"/>
  <c r="J536" i="5"/>
  <c r="Z766" i="5" a="1"/>
  <c r="Z766" i="5" s="1"/>
  <c r="T771" i="5" s="1"/>
  <c r="AM766" i="5" a="1"/>
  <c r="AM766" i="5" s="1"/>
  <c r="AB771" i="5" s="1"/>
  <c r="J428" i="5"/>
  <c r="J452" i="5"/>
  <c r="J500" i="5"/>
  <c r="J512" i="5"/>
  <c r="I10" i="5"/>
  <c r="I391" i="5" s="1"/>
  <c r="I22" i="5"/>
  <c r="I403" i="5" s="1"/>
  <c r="I34" i="5"/>
  <c r="I415" i="5" s="1"/>
  <c r="I46" i="5"/>
  <c r="I427" i="5" s="1"/>
  <c r="I58" i="5"/>
  <c r="I439" i="5" s="1"/>
  <c r="I70" i="5"/>
  <c r="I451" i="5" s="1"/>
  <c r="I82" i="5"/>
  <c r="I463" i="5" s="1"/>
  <c r="I94" i="5"/>
  <c r="I475" i="5" s="1"/>
  <c r="I106" i="5"/>
  <c r="I487" i="5" s="1"/>
  <c r="I118" i="5"/>
  <c r="I499" i="5" s="1"/>
  <c r="I130" i="5"/>
  <c r="I511" i="5" s="1"/>
  <c r="I142" i="5"/>
  <c r="I523" i="5" s="1"/>
  <c r="I154" i="5"/>
  <c r="I535" i="5" s="1"/>
  <c r="N766" i="5" a="1"/>
  <c r="N766" i="5" s="1"/>
  <c r="M771" i="5" s="1"/>
  <c r="AA766" i="5" a="1"/>
  <c r="AA766" i="5" s="1"/>
  <c r="U771" i="5" s="1"/>
  <c r="AN766" i="5" a="1"/>
  <c r="AN766" i="5" s="1"/>
  <c r="J404" i="5"/>
  <c r="AO766" i="5" a="1"/>
  <c r="AO766" i="5" s="1"/>
  <c r="AC771" i="5" s="1"/>
  <c r="Z765" i="3" l="1"/>
  <c r="N766" i="3" a="1"/>
  <c r="N766" i="3" s="1"/>
  <c r="M771" i="3" s="1"/>
  <c r="AU543" i="3"/>
  <c r="AT543" i="3"/>
  <c r="AS543" i="3"/>
  <c r="AR543" i="3"/>
  <c r="AQ543" i="3"/>
  <c r="AP543" i="3"/>
  <c r="AO543" i="3"/>
  <c r="AN543" i="3"/>
  <c r="AM543" i="3"/>
  <c r="AL543" i="3"/>
  <c r="AK543" i="3"/>
  <c r="AI543" i="3"/>
  <c r="AH543" i="3"/>
  <c r="AG543" i="3"/>
  <c r="AF543" i="3"/>
  <c r="AE543" i="3"/>
  <c r="AD543" i="3"/>
  <c r="AC543" i="3"/>
  <c r="AB543" i="3"/>
  <c r="AA543" i="3"/>
  <c r="Z543" i="3"/>
  <c r="Y543" i="3"/>
  <c r="W543" i="3"/>
  <c r="V543" i="3"/>
  <c r="U543" i="3"/>
  <c r="T543" i="3"/>
  <c r="S543" i="3"/>
  <c r="R543" i="3"/>
  <c r="Q543" i="3"/>
  <c r="P543" i="3"/>
  <c r="O543" i="3"/>
  <c r="N543" i="3"/>
  <c r="M543" i="3"/>
  <c r="AU542" i="3"/>
  <c r="AT542" i="3"/>
  <c r="AS542" i="3"/>
  <c r="AR542" i="3"/>
  <c r="AQ542" i="3"/>
  <c r="AP542" i="3"/>
  <c r="AO542" i="3"/>
  <c r="AN542" i="3"/>
  <c r="AM542" i="3"/>
  <c r="AL542" i="3"/>
  <c r="AK542" i="3"/>
  <c r="AI542" i="3"/>
  <c r="AH542" i="3"/>
  <c r="AG542" i="3"/>
  <c r="AF542" i="3"/>
  <c r="AE542" i="3"/>
  <c r="AD542" i="3"/>
  <c r="AC542" i="3"/>
  <c r="AB542" i="3"/>
  <c r="AA542" i="3"/>
  <c r="Z542" i="3"/>
  <c r="Y542" i="3"/>
  <c r="W542" i="3"/>
  <c r="V542" i="3"/>
  <c r="U542" i="3"/>
  <c r="T542" i="3"/>
  <c r="S542" i="3"/>
  <c r="R542" i="3"/>
  <c r="Q542" i="3"/>
  <c r="P542" i="3"/>
  <c r="O542" i="3"/>
  <c r="N542" i="3"/>
  <c r="M542" i="3"/>
  <c r="AU541" i="3"/>
  <c r="AT541" i="3"/>
  <c r="AS541" i="3"/>
  <c r="AR541" i="3"/>
  <c r="AQ541" i="3"/>
  <c r="AP541" i="3"/>
  <c r="AO541" i="3"/>
  <c r="AN541" i="3"/>
  <c r="AM541" i="3"/>
  <c r="AL541" i="3"/>
  <c r="AK541" i="3"/>
  <c r="AI541" i="3"/>
  <c r="AH541" i="3"/>
  <c r="AG541" i="3"/>
  <c r="AF541" i="3"/>
  <c r="AE541" i="3"/>
  <c r="AD541" i="3"/>
  <c r="AC541" i="3"/>
  <c r="AB541" i="3"/>
  <c r="AA541" i="3"/>
  <c r="Z541" i="3"/>
  <c r="Y541" i="3"/>
  <c r="W541" i="3"/>
  <c r="V541" i="3"/>
  <c r="U541" i="3"/>
  <c r="T541" i="3"/>
  <c r="S541" i="3"/>
  <c r="R541" i="3"/>
  <c r="Q541" i="3"/>
  <c r="P541" i="3"/>
  <c r="O541" i="3"/>
  <c r="N541" i="3"/>
  <c r="M541" i="3"/>
  <c r="AU540" i="3"/>
  <c r="AT540" i="3"/>
  <c r="AS540" i="3"/>
  <c r="AR540" i="3"/>
  <c r="AQ540" i="3"/>
  <c r="AP540" i="3"/>
  <c r="AO540" i="3"/>
  <c r="AN540" i="3"/>
  <c r="AM540" i="3"/>
  <c r="AL540" i="3"/>
  <c r="AK540" i="3"/>
  <c r="AI540" i="3"/>
  <c r="AH540" i="3"/>
  <c r="AG540" i="3"/>
  <c r="AF540" i="3"/>
  <c r="AE540" i="3"/>
  <c r="AD540" i="3"/>
  <c r="AC540" i="3"/>
  <c r="AB540" i="3"/>
  <c r="AA540" i="3"/>
  <c r="Z540" i="3"/>
  <c r="Y540" i="3"/>
  <c r="W540" i="3"/>
  <c r="V540" i="3"/>
  <c r="U540" i="3"/>
  <c r="T540" i="3"/>
  <c r="S540" i="3"/>
  <c r="R540" i="3"/>
  <c r="Q540" i="3"/>
  <c r="P540" i="3"/>
  <c r="O540" i="3"/>
  <c r="N540" i="3"/>
  <c r="M540" i="3"/>
  <c r="J540" i="3"/>
  <c r="AU539" i="3"/>
  <c r="AT539" i="3"/>
  <c r="AS539" i="3"/>
  <c r="AR539" i="3"/>
  <c r="AQ539" i="3"/>
  <c r="AP539" i="3"/>
  <c r="AO539" i="3"/>
  <c r="AN539" i="3"/>
  <c r="AM539" i="3"/>
  <c r="AL539" i="3"/>
  <c r="AK539" i="3"/>
  <c r="AI539" i="3"/>
  <c r="AH539" i="3"/>
  <c r="AG539" i="3"/>
  <c r="AF539" i="3"/>
  <c r="AE539" i="3"/>
  <c r="AD539" i="3"/>
  <c r="AC539" i="3"/>
  <c r="AB539" i="3"/>
  <c r="AA539" i="3"/>
  <c r="Z539" i="3"/>
  <c r="Y539" i="3"/>
  <c r="W539" i="3"/>
  <c r="V539" i="3"/>
  <c r="U539" i="3"/>
  <c r="T539" i="3"/>
  <c r="S539" i="3"/>
  <c r="R539" i="3"/>
  <c r="Q539" i="3"/>
  <c r="P539" i="3"/>
  <c r="O539" i="3"/>
  <c r="N539" i="3"/>
  <c r="M539" i="3"/>
  <c r="I539" i="3"/>
  <c r="AU538" i="3"/>
  <c r="AT538" i="3"/>
  <c r="AS538" i="3"/>
  <c r="AR538" i="3"/>
  <c r="AQ538" i="3"/>
  <c r="AP538" i="3"/>
  <c r="AO538" i="3"/>
  <c r="AN538" i="3"/>
  <c r="AM538" i="3"/>
  <c r="AL538" i="3"/>
  <c r="AK538" i="3"/>
  <c r="AI538" i="3"/>
  <c r="AH538" i="3"/>
  <c r="AG538" i="3"/>
  <c r="AF538" i="3"/>
  <c r="AE538" i="3"/>
  <c r="AD538" i="3"/>
  <c r="AC538" i="3"/>
  <c r="AB538" i="3"/>
  <c r="AA538" i="3"/>
  <c r="Z538" i="3"/>
  <c r="Y538" i="3"/>
  <c r="W538" i="3"/>
  <c r="V538" i="3"/>
  <c r="U538" i="3"/>
  <c r="T538" i="3"/>
  <c r="S538" i="3"/>
  <c r="R538" i="3"/>
  <c r="Q538" i="3"/>
  <c r="P538" i="3"/>
  <c r="O538" i="3"/>
  <c r="N538" i="3"/>
  <c r="M538" i="3"/>
  <c r="AU537" i="3"/>
  <c r="AT537" i="3"/>
  <c r="AS537" i="3"/>
  <c r="AR537" i="3"/>
  <c r="AQ537" i="3"/>
  <c r="AP537" i="3"/>
  <c r="AO537" i="3"/>
  <c r="AN537" i="3"/>
  <c r="AM537" i="3"/>
  <c r="AL537" i="3"/>
  <c r="AK537" i="3"/>
  <c r="AI537" i="3"/>
  <c r="AH537" i="3"/>
  <c r="AG537" i="3"/>
  <c r="AF537" i="3"/>
  <c r="AE537" i="3"/>
  <c r="AD537" i="3"/>
  <c r="AC537" i="3"/>
  <c r="AB537" i="3"/>
  <c r="AA537" i="3"/>
  <c r="Z537" i="3"/>
  <c r="Y537" i="3"/>
  <c r="W537" i="3"/>
  <c r="V537" i="3"/>
  <c r="U537" i="3"/>
  <c r="T537" i="3"/>
  <c r="S537" i="3"/>
  <c r="R537" i="3"/>
  <c r="Q537" i="3"/>
  <c r="P537" i="3"/>
  <c r="O537" i="3"/>
  <c r="N537" i="3"/>
  <c r="M537" i="3"/>
  <c r="AU536" i="3"/>
  <c r="AT536" i="3"/>
  <c r="AS536" i="3"/>
  <c r="AR536" i="3"/>
  <c r="AQ536" i="3"/>
  <c r="AP536" i="3"/>
  <c r="AO536" i="3"/>
  <c r="AN536" i="3"/>
  <c r="AM536" i="3"/>
  <c r="AL536" i="3"/>
  <c r="AK536" i="3"/>
  <c r="AI536" i="3"/>
  <c r="AH536" i="3"/>
  <c r="AG536" i="3"/>
  <c r="AF536" i="3"/>
  <c r="AE536" i="3"/>
  <c r="AD536" i="3"/>
  <c r="AC536" i="3"/>
  <c r="AB536" i="3"/>
  <c r="AA536" i="3"/>
  <c r="Z536" i="3"/>
  <c r="Y536" i="3"/>
  <c r="W536" i="3"/>
  <c r="V536" i="3"/>
  <c r="U536" i="3"/>
  <c r="T536" i="3"/>
  <c r="S536" i="3"/>
  <c r="R536" i="3"/>
  <c r="Q536" i="3"/>
  <c r="P536" i="3"/>
  <c r="O536" i="3"/>
  <c r="N536" i="3"/>
  <c r="M536" i="3"/>
  <c r="AU535" i="3"/>
  <c r="AT535" i="3"/>
  <c r="AS535" i="3"/>
  <c r="AR535" i="3"/>
  <c r="AQ535" i="3"/>
  <c r="AP535" i="3"/>
  <c r="AO535" i="3"/>
  <c r="AN535" i="3"/>
  <c r="AM535" i="3"/>
  <c r="AL535" i="3"/>
  <c r="AK535" i="3"/>
  <c r="AI535" i="3"/>
  <c r="AH535" i="3"/>
  <c r="AG535" i="3"/>
  <c r="AF535" i="3"/>
  <c r="AE535" i="3"/>
  <c r="AD535" i="3"/>
  <c r="AC535" i="3"/>
  <c r="AB535" i="3"/>
  <c r="AA535" i="3"/>
  <c r="Z535" i="3"/>
  <c r="Y535" i="3"/>
  <c r="W535" i="3"/>
  <c r="V535" i="3"/>
  <c r="U535" i="3"/>
  <c r="T535" i="3"/>
  <c r="S535" i="3"/>
  <c r="R535" i="3"/>
  <c r="Q535" i="3"/>
  <c r="P535" i="3"/>
  <c r="O535" i="3"/>
  <c r="N535" i="3"/>
  <c r="M535" i="3"/>
  <c r="AU534" i="3"/>
  <c r="AT534" i="3"/>
  <c r="AS534" i="3"/>
  <c r="AR534" i="3"/>
  <c r="AQ534" i="3"/>
  <c r="AP534" i="3"/>
  <c r="AO534" i="3"/>
  <c r="AN534" i="3"/>
  <c r="AM534" i="3"/>
  <c r="AL534" i="3"/>
  <c r="AK534" i="3"/>
  <c r="AI534" i="3"/>
  <c r="AH534" i="3"/>
  <c r="AG534" i="3"/>
  <c r="AF534" i="3"/>
  <c r="AE534" i="3"/>
  <c r="AD534" i="3"/>
  <c r="AC534" i="3"/>
  <c r="AB534" i="3"/>
  <c r="AA534" i="3"/>
  <c r="Z534" i="3"/>
  <c r="Y534" i="3"/>
  <c r="W534" i="3"/>
  <c r="V534" i="3"/>
  <c r="U534" i="3"/>
  <c r="T534" i="3"/>
  <c r="S534" i="3"/>
  <c r="R534" i="3"/>
  <c r="Q534" i="3"/>
  <c r="P534" i="3"/>
  <c r="O534" i="3"/>
  <c r="N534" i="3"/>
  <c r="M534" i="3"/>
  <c r="J534" i="3"/>
  <c r="AU533" i="3"/>
  <c r="AT533" i="3"/>
  <c r="AS533" i="3"/>
  <c r="AR533" i="3"/>
  <c r="AQ533" i="3"/>
  <c r="AP533" i="3"/>
  <c r="AO533" i="3"/>
  <c r="AN533" i="3"/>
  <c r="AM533" i="3"/>
  <c r="AL533" i="3"/>
  <c r="AK533" i="3"/>
  <c r="AI533" i="3"/>
  <c r="AH533" i="3"/>
  <c r="AG533" i="3"/>
  <c r="AF533" i="3"/>
  <c r="AE533" i="3"/>
  <c r="AD533" i="3"/>
  <c r="AC533" i="3"/>
  <c r="AB533" i="3"/>
  <c r="AA533" i="3"/>
  <c r="Z533" i="3"/>
  <c r="Y533" i="3"/>
  <c r="W533" i="3"/>
  <c r="V533" i="3"/>
  <c r="U533" i="3"/>
  <c r="T533" i="3"/>
  <c r="S533" i="3"/>
  <c r="R533" i="3"/>
  <c r="Q533" i="3"/>
  <c r="P533" i="3"/>
  <c r="O533" i="3"/>
  <c r="N533" i="3"/>
  <c r="M533" i="3"/>
  <c r="I533" i="3"/>
  <c r="AU532" i="3"/>
  <c r="AT532" i="3"/>
  <c r="AS532" i="3"/>
  <c r="AR532" i="3"/>
  <c r="AQ532" i="3"/>
  <c r="AP532" i="3"/>
  <c r="AO532" i="3"/>
  <c r="AN532" i="3"/>
  <c r="AM532" i="3"/>
  <c r="AL532" i="3"/>
  <c r="AK532" i="3"/>
  <c r="AI532" i="3"/>
  <c r="AH532" i="3"/>
  <c r="AG532" i="3"/>
  <c r="AF532" i="3"/>
  <c r="AE532" i="3"/>
  <c r="AD532" i="3"/>
  <c r="AC532" i="3"/>
  <c r="AB532" i="3"/>
  <c r="AA532" i="3"/>
  <c r="Z532" i="3"/>
  <c r="Y532" i="3"/>
  <c r="W532" i="3"/>
  <c r="V532" i="3"/>
  <c r="U532" i="3"/>
  <c r="T532" i="3"/>
  <c r="S532" i="3"/>
  <c r="R532" i="3"/>
  <c r="Q532" i="3"/>
  <c r="P532" i="3"/>
  <c r="O532" i="3"/>
  <c r="N532" i="3"/>
  <c r="M532" i="3"/>
  <c r="AU531" i="3"/>
  <c r="AT531" i="3"/>
  <c r="AS531" i="3"/>
  <c r="AR531" i="3"/>
  <c r="AQ531" i="3"/>
  <c r="AP531" i="3"/>
  <c r="AO531" i="3"/>
  <c r="AN531" i="3"/>
  <c r="AM531" i="3"/>
  <c r="AL531" i="3"/>
  <c r="AK531" i="3"/>
  <c r="AI531" i="3"/>
  <c r="AH531" i="3"/>
  <c r="AG531" i="3"/>
  <c r="AF531" i="3"/>
  <c r="AE531" i="3"/>
  <c r="AD531" i="3"/>
  <c r="AC531" i="3"/>
  <c r="AB531" i="3"/>
  <c r="AA531" i="3"/>
  <c r="Z531" i="3"/>
  <c r="Y531" i="3"/>
  <c r="W531" i="3"/>
  <c r="V531" i="3"/>
  <c r="U531" i="3"/>
  <c r="T531" i="3"/>
  <c r="S531" i="3"/>
  <c r="R531" i="3"/>
  <c r="Q531" i="3"/>
  <c r="P531" i="3"/>
  <c r="O531" i="3"/>
  <c r="N531" i="3"/>
  <c r="M531" i="3"/>
  <c r="AU530" i="3"/>
  <c r="AT530" i="3"/>
  <c r="AS530" i="3"/>
  <c r="AR530" i="3"/>
  <c r="AQ530" i="3"/>
  <c r="AP530" i="3"/>
  <c r="AO530" i="3"/>
  <c r="AN530" i="3"/>
  <c r="AM530" i="3"/>
  <c r="AL530" i="3"/>
  <c r="AK530" i="3"/>
  <c r="AI530" i="3"/>
  <c r="AH530" i="3"/>
  <c r="AG530" i="3"/>
  <c r="AF530" i="3"/>
  <c r="AE530" i="3"/>
  <c r="AD530" i="3"/>
  <c r="AC530" i="3"/>
  <c r="AB530" i="3"/>
  <c r="AA530" i="3"/>
  <c r="Z530" i="3"/>
  <c r="Y530" i="3"/>
  <c r="W530" i="3"/>
  <c r="V530" i="3"/>
  <c r="U530" i="3"/>
  <c r="T530" i="3"/>
  <c r="S530" i="3"/>
  <c r="R530" i="3"/>
  <c r="Q530" i="3"/>
  <c r="P530" i="3"/>
  <c r="O530" i="3"/>
  <c r="N530" i="3"/>
  <c r="M530" i="3"/>
  <c r="AU529" i="3"/>
  <c r="AT529" i="3"/>
  <c r="AS529" i="3"/>
  <c r="AR529" i="3"/>
  <c r="AQ529" i="3"/>
  <c r="AP529" i="3"/>
  <c r="AO529" i="3"/>
  <c r="AN529" i="3"/>
  <c r="AM529" i="3"/>
  <c r="AL529" i="3"/>
  <c r="AK529" i="3"/>
  <c r="AI529" i="3"/>
  <c r="AH529" i="3"/>
  <c r="AG529" i="3"/>
  <c r="AF529" i="3"/>
  <c r="AE529" i="3"/>
  <c r="AD529" i="3"/>
  <c r="AC529" i="3"/>
  <c r="AB529" i="3"/>
  <c r="AA529" i="3"/>
  <c r="Z529" i="3"/>
  <c r="Y529" i="3"/>
  <c r="W529" i="3"/>
  <c r="V529" i="3"/>
  <c r="U529" i="3"/>
  <c r="T529" i="3"/>
  <c r="S529" i="3"/>
  <c r="R529" i="3"/>
  <c r="Q529" i="3"/>
  <c r="P529" i="3"/>
  <c r="O529" i="3"/>
  <c r="N529" i="3"/>
  <c r="M529" i="3"/>
  <c r="AU528" i="3"/>
  <c r="AT528" i="3"/>
  <c r="AS528" i="3"/>
  <c r="AR528" i="3"/>
  <c r="AQ528" i="3"/>
  <c r="AP528" i="3"/>
  <c r="AO528" i="3"/>
  <c r="AN528" i="3"/>
  <c r="AM528" i="3"/>
  <c r="AL528" i="3"/>
  <c r="AK528" i="3"/>
  <c r="AI528" i="3"/>
  <c r="AH528" i="3"/>
  <c r="AG528" i="3"/>
  <c r="AF528" i="3"/>
  <c r="AE528" i="3"/>
  <c r="AD528" i="3"/>
  <c r="AC528" i="3"/>
  <c r="AB528" i="3"/>
  <c r="AA528" i="3"/>
  <c r="Z528" i="3"/>
  <c r="Y528" i="3"/>
  <c r="W528" i="3"/>
  <c r="V528" i="3"/>
  <c r="U528" i="3"/>
  <c r="T528" i="3"/>
  <c r="S528" i="3"/>
  <c r="R528" i="3"/>
  <c r="Q528" i="3"/>
  <c r="P528" i="3"/>
  <c r="O528" i="3"/>
  <c r="N528" i="3"/>
  <c r="M528" i="3"/>
  <c r="J528" i="3"/>
  <c r="AU527" i="3"/>
  <c r="AT527" i="3"/>
  <c r="AS527" i="3"/>
  <c r="AR527" i="3"/>
  <c r="AQ527" i="3"/>
  <c r="AP527" i="3"/>
  <c r="AO527" i="3"/>
  <c r="AN527" i="3"/>
  <c r="AM527" i="3"/>
  <c r="AL527" i="3"/>
  <c r="AK527" i="3"/>
  <c r="AI527" i="3"/>
  <c r="AH527" i="3"/>
  <c r="AG527" i="3"/>
  <c r="AF527" i="3"/>
  <c r="AE527" i="3"/>
  <c r="AD527" i="3"/>
  <c r="AC527" i="3"/>
  <c r="AB527" i="3"/>
  <c r="AA527" i="3"/>
  <c r="Z527" i="3"/>
  <c r="Y527" i="3"/>
  <c r="W527" i="3"/>
  <c r="V527" i="3"/>
  <c r="U527" i="3"/>
  <c r="T527" i="3"/>
  <c r="S527" i="3"/>
  <c r="R527" i="3"/>
  <c r="Q527" i="3"/>
  <c r="P527" i="3"/>
  <c r="O527" i="3"/>
  <c r="N527" i="3"/>
  <c r="M527" i="3"/>
  <c r="I527" i="3"/>
  <c r="AU526" i="3"/>
  <c r="AT526" i="3"/>
  <c r="AS526" i="3"/>
  <c r="AR526" i="3"/>
  <c r="AQ526" i="3"/>
  <c r="AP526" i="3"/>
  <c r="AO526" i="3"/>
  <c r="AN526" i="3"/>
  <c r="AM526" i="3"/>
  <c r="AL526" i="3"/>
  <c r="AK526" i="3"/>
  <c r="AI526" i="3"/>
  <c r="AH526" i="3"/>
  <c r="AG526" i="3"/>
  <c r="AF526" i="3"/>
  <c r="AE526" i="3"/>
  <c r="AD526" i="3"/>
  <c r="AC526" i="3"/>
  <c r="AB526" i="3"/>
  <c r="AA526" i="3"/>
  <c r="Z526" i="3"/>
  <c r="Y526" i="3"/>
  <c r="W526" i="3"/>
  <c r="V526" i="3"/>
  <c r="U526" i="3"/>
  <c r="T526" i="3"/>
  <c r="S526" i="3"/>
  <c r="R526" i="3"/>
  <c r="Q526" i="3"/>
  <c r="P526" i="3"/>
  <c r="O526" i="3"/>
  <c r="N526" i="3"/>
  <c r="M526" i="3"/>
  <c r="AU525" i="3"/>
  <c r="AT525" i="3"/>
  <c r="AS525" i="3"/>
  <c r="AR525" i="3"/>
  <c r="AQ525" i="3"/>
  <c r="AP525" i="3"/>
  <c r="AO525" i="3"/>
  <c r="AN525" i="3"/>
  <c r="AM525" i="3"/>
  <c r="AL525" i="3"/>
  <c r="AK525" i="3"/>
  <c r="AI525" i="3"/>
  <c r="AH525" i="3"/>
  <c r="AG525" i="3"/>
  <c r="AF525" i="3"/>
  <c r="AE525" i="3"/>
  <c r="AD525" i="3"/>
  <c r="AC525" i="3"/>
  <c r="AB525" i="3"/>
  <c r="AA525" i="3"/>
  <c r="Z525" i="3"/>
  <c r="Y525" i="3"/>
  <c r="W525" i="3"/>
  <c r="V525" i="3"/>
  <c r="U525" i="3"/>
  <c r="T525" i="3"/>
  <c r="S525" i="3"/>
  <c r="R525" i="3"/>
  <c r="Q525" i="3"/>
  <c r="P525" i="3"/>
  <c r="O525" i="3"/>
  <c r="N525" i="3"/>
  <c r="M525" i="3"/>
  <c r="AU524" i="3"/>
  <c r="AT524" i="3"/>
  <c r="AS524" i="3"/>
  <c r="AR524" i="3"/>
  <c r="AQ524" i="3"/>
  <c r="AP524" i="3"/>
  <c r="AO524" i="3"/>
  <c r="AN524" i="3"/>
  <c r="AM524" i="3"/>
  <c r="AL524" i="3"/>
  <c r="AK524" i="3"/>
  <c r="AI524" i="3"/>
  <c r="AH524" i="3"/>
  <c r="AG524" i="3"/>
  <c r="AF524" i="3"/>
  <c r="AE524" i="3"/>
  <c r="AD524" i="3"/>
  <c r="AC524" i="3"/>
  <c r="AB524" i="3"/>
  <c r="AA524" i="3"/>
  <c r="Z524" i="3"/>
  <c r="Y524" i="3"/>
  <c r="W524" i="3"/>
  <c r="V524" i="3"/>
  <c r="U524" i="3"/>
  <c r="T524" i="3"/>
  <c r="S524" i="3"/>
  <c r="R524" i="3"/>
  <c r="Q524" i="3"/>
  <c r="P524" i="3"/>
  <c r="O524" i="3"/>
  <c r="N524" i="3"/>
  <c r="M524" i="3"/>
  <c r="AU523" i="3"/>
  <c r="AT523" i="3"/>
  <c r="AS523" i="3"/>
  <c r="AR523" i="3"/>
  <c r="AQ523" i="3"/>
  <c r="AP523" i="3"/>
  <c r="AO523" i="3"/>
  <c r="AN523" i="3"/>
  <c r="AM523" i="3"/>
  <c r="AL523" i="3"/>
  <c r="AK523" i="3"/>
  <c r="AI523" i="3"/>
  <c r="AH523" i="3"/>
  <c r="AG523" i="3"/>
  <c r="AF523" i="3"/>
  <c r="AE523" i="3"/>
  <c r="AD523" i="3"/>
  <c r="AC523" i="3"/>
  <c r="AB523" i="3"/>
  <c r="AA523" i="3"/>
  <c r="Z523" i="3"/>
  <c r="Y523" i="3"/>
  <c r="W523" i="3"/>
  <c r="V523" i="3"/>
  <c r="U523" i="3"/>
  <c r="T523" i="3"/>
  <c r="S523" i="3"/>
  <c r="R523" i="3"/>
  <c r="Q523" i="3"/>
  <c r="P523" i="3"/>
  <c r="O523" i="3"/>
  <c r="N523" i="3"/>
  <c r="M523" i="3"/>
  <c r="AU522" i="3"/>
  <c r="AT522" i="3"/>
  <c r="AS522" i="3"/>
  <c r="AR522" i="3"/>
  <c r="AQ522" i="3"/>
  <c r="AP522" i="3"/>
  <c r="AO522" i="3"/>
  <c r="AN522" i="3"/>
  <c r="AM522" i="3"/>
  <c r="AL522" i="3"/>
  <c r="AK522" i="3"/>
  <c r="AI522" i="3"/>
  <c r="AH522" i="3"/>
  <c r="AG522" i="3"/>
  <c r="AF522" i="3"/>
  <c r="AE522" i="3"/>
  <c r="AD522" i="3"/>
  <c r="AC522" i="3"/>
  <c r="AB522" i="3"/>
  <c r="AA522" i="3"/>
  <c r="Z522" i="3"/>
  <c r="Y522" i="3"/>
  <c r="W522" i="3"/>
  <c r="V522" i="3"/>
  <c r="U522" i="3"/>
  <c r="T522" i="3"/>
  <c r="S522" i="3"/>
  <c r="R522" i="3"/>
  <c r="Q522" i="3"/>
  <c r="P522" i="3"/>
  <c r="O522" i="3"/>
  <c r="N522" i="3"/>
  <c r="M522" i="3"/>
  <c r="J522" i="3"/>
  <c r="AU521" i="3"/>
  <c r="AT521" i="3"/>
  <c r="AS521" i="3"/>
  <c r="AR521" i="3"/>
  <c r="AQ521" i="3"/>
  <c r="AP521" i="3"/>
  <c r="AO521" i="3"/>
  <c r="AN521" i="3"/>
  <c r="AM521" i="3"/>
  <c r="AL521" i="3"/>
  <c r="AK521" i="3"/>
  <c r="AI521" i="3"/>
  <c r="AH521" i="3"/>
  <c r="AG521" i="3"/>
  <c r="AF521" i="3"/>
  <c r="AE521" i="3"/>
  <c r="AD521" i="3"/>
  <c r="AC521" i="3"/>
  <c r="AB521" i="3"/>
  <c r="AA521" i="3"/>
  <c r="Z521" i="3"/>
  <c r="Y521" i="3"/>
  <c r="W521" i="3"/>
  <c r="V521" i="3"/>
  <c r="U521" i="3"/>
  <c r="T521" i="3"/>
  <c r="S521" i="3"/>
  <c r="R521" i="3"/>
  <c r="Q521" i="3"/>
  <c r="P521" i="3"/>
  <c r="O521" i="3"/>
  <c r="N521" i="3"/>
  <c r="M521" i="3"/>
  <c r="I521" i="3"/>
  <c r="AU520" i="3"/>
  <c r="AT520" i="3"/>
  <c r="AS520" i="3"/>
  <c r="AR520" i="3"/>
  <c r="AQ520" i="3"/>
  <c r="AP520" i="3"/>
  <c r="AO520" i="3"/>
  <c r="AN520" i="3"/>
  <c r="AM520" i="3"/>
  <c r="AL520" i="3"/>
  <c r="AK520" i="3"/>
  <c r="AI520" i="3"/>
  <c r="AH520" i="3"/>
  <c r="AG520" i="3"/>
  <c r="AF520" i="3"/>
  <c r="AE520" i="3"/>
  <c r="AD520" i="3"/>
  <c r="AC520" i="3"/>
  <c r="AB520" i="3"/>
  <c r="AA520" i="3"/>
  <c r="Z520" i="3"/>
  <c r="Y520" i="3"/>
  <c r="W520" i="3"/>
  <c r="V520" i="3"/>
  <c r="U520" i="3"/>
  <c r="T520" i="3"/>
  <c r="S520" i="3"/>
  <c r="R520" i="3"/>
  <c r="Q520" i="3"/>
  <c r="P520" i="3"/>
  <c r="O520" i="3"/>
  <c r="N520" i="3"/>
  <c r="M520" i="3"/>
  <c r="AU519" i="3"/>
  <c r="AT519" i="3"/>
  <c r="AS519" i="3"/>
  <c r="AR519" i="3"/>
  <c r="AQ519" i="3"/>
  <c r="AP519" i="3"/>
  <c r="AO519" i="3"/>
  <c r="AN519" i="3"/>
  <c r="AM519" i="3"/>
  <c r="AL519" i="3"/>
  <c r="AK519" i="3"/>
  <c r="AI519" i="3"/>
  <c r="AH519" i="3"/>
  <c r="AG519" i="3"/>
  <c r="AF519" i="3"/>
  <c r="AE519" i="3"/>
  <c r="AD519" i="3"/>
  <c r="AC519" i="3"/>
  <c r="AB519" i="3"/>
  <c r="AA519" i="3"/>
  <c r="Z519" i="3"/>
  <c r="Y519" i="3"/>
  <c r="W519" i="3"/>
  <c r="V519" i="3"/>
  <c r="U519" i="3"/>
  <c r="T519" i="3"/>
  <c r="S519" i="3"/>
  <c r="R519" i="3"/>
  <c r="Q519" i="3"/>
  <c r="P519" i="3"/>
  <c r="O519" i="3"/>
  <c r="N519" i="3"/>
  <c r="M519" i="3"/>
  <c r="AU518" i="3"/>
  <c r="AT518" i="3"/>
  <c r="AS518" i="3"/>
  <c r="AR518" i="3"/>
  <c r="AQ518" i="3"/>
  <c r="AP518" i="3"/>
  <c r="AO518" i="3"/>
  <c r="AN518" i="3"/>
  <c r="AM518" i="3"/>
  <c r="AL518" i="3"/>
  <c r="AK518" i="3"/>
  <c r="AI518" i="3"/>
  <c r="AH518" i="3"/>
  <c r="AG518" i="3"/>
  <c r="AF518" i="3"/>
  <c r="AE518" i="3"/>
  <c r="AD518" i="3"/>
  <c r="AC518" i="3"/>
  <c r="AB518" i="3"/>
  <c r="AA518" i="3"/>
  <c r="Z518" i="3"/>
  <c r="Y518" i="3"/>
  <c r="W518" i="3"/>
  <c r="V518" i="3"/>
  <c r="U518" i="3"/>
  <c r="T518" i="3"/>
  <c r="S518" i="3"/>
  <c r="R518" i="3"/>
  <c r="Q518" i="3"/>
  <c r="P518" i="3"/>
  <c r="O518" i="3"/>
  <c r="N518" i="3"/>
  <c r="M518" i="3"/>
  <c r="AU517" i="3"/>
  <c r="AT517" i="3"/>
  <c r="AS517" i="3"/>
  <c r="AR517" i="3"/>
  <c r="AQ517" i="3"/>
  <c r="AP517" i="3"/>
  <c r="AO517" i="3"/>
  <c r="AN517" i="3"/>
  <c r="AM517" i="3"/>
  <c r="AL517" i="3"/>
  <c r="AK517" i="3"/>
  <c r="AI517" i="3"/>
  <c r="AH517" i="3"/>
  <c r="AG517" i="3"/>
  <c r="AF517" i="3"/>
  <c r="AE517" i="3"/>
  <c r="AD517" i="3"/>
  <c r="AC517" i="3"/>
  <c r="AB517" i="3"/>
  <c r="AA517" i="3"/>
  <c r="Z517" i="3"/>
  <c r="Y517" i="3"/>
  <c r="W517" i="3"/>
  <c r="V517" i="3"/>
  <c r="U517" i="3"/>
  <c r="T517" i="3"/>
  <c r="S517" i="3"/>
  <c r="R517" i="3"/>
  <c r="Q517" i="3"/>
  <c r="P517" i="3"/>
  <c r="O517" i="3"/>
  <c r="N517" i="3"/>
  <c r="M517" i="3"/>
  <c r="AU516" i="3"/>
  <c r="AT516" i="3"/>
  <c r="AS516" i="3"/>
  <c r="AR516" i="3"/>
  <c r="AQ516" i="3"/>
  <c r="AP516" i="3"/>
  <c r="AO516" i="3"/>
  <c r="AN516" i="3"/>
  <c r="AM516" i="3"/>
  <c r="AL516" i="3"/>
  <c r="AK516" i="3"/>
  <c r="AI516" i="3"/>
  <c r="AH516" i="3"/>
  <c r="AG516" i="3"/>
  <c r="AF516" i="3"/>
  <c r="AE516" i="3"/>
  <c r="AD516" i="3"/>
  <c r="AC516" i="3"/>
  <c r="AB516" i="3"/>
  <c r="AA516" i="3"/>
  <c r="Z516" i="3"/>
  <c r="Y516" i="3"/>
  <c r="W516" i="3"/>
  <c r="V516" i="3"/>
  <c r="U516" i="3"/>
  <c r="T516" i="3"/>
  <c r="S516" i="3"/>
  <c r="R516" i="3"/>
  <c r="Q516" i="3"/>
  <c r="P516" i="3"/>
  <c r="O516" i="3"/>
  <c r="N516" i="3"/>
  <c r="M516" i="3"/>
  <c r="AU515" i="3"/>
  <c r="AT515" i="3"/>
  <c r="AS515" i="3"/>
  <c r="AR515" i="3"/>
  <c r="AQ515" i="3"/>
  <c r="AP515" i="3"/>
  <c r="AO515" i="3"/>
  <c r="AN515" i="3"/>
  <c r="AM515" i="3"/>
  <c r="AL515" i="3"/>
  <c r="AK515" i="3"/>
  <c r="AI515" i="3"/>
  <c r="AH515" i="3"/>
  <c r="AG515" i="3"/>
  <c r="AF515" i="3"/>
  <c r="AE515" i="3"/>
  <c r="AD515" i="3"/>
  <c r="AC515" i="3"/>
  <c r="AB515" i="3"/>
  <c r="AA515" i="3"/>
  <c r="Z515" i="3"/>
  <c r="Y515" i="3"/>
  <c r="W515" i="3"/>
  <c r="V515" i="3"/>
  <c r="U515" i="3"/>
  <c r="T515" i="3"/>
  <c r="S515" i="3"/>
  <c r="R515" i="3"/>
  <c r="Q515" i="3"/>
  <c r="P515" i="3"/>
  <c r="O515" i="3"/>
  <c r="N515" i="3"/>
  <c r="M515" i="3"/>
  <c r="I515" i="3"/>
  <c r="AU514" i="3"/>
  <c r="AT514" i="3"/>
  <c r="AS514" i="3"/>
  <c r="AR514" i="3"/>
  <c r="AQ514" i="3"/>
  <c r="AP514" i="3"/>
  <c r="AO514" i="3"/>
  <c r="AN514" i="3"/>
  <c r="AM514" i="3"/>
  <c r="AL514" i="3"/>
  <c r="AK514" i="3"/>
  <c r="AI514" i="3"/>
  <c r="AH514" i="3"/>
  <c r="AG514" i="3"/>
  <c r="AF514" i="3"/>
  <c r="AE514" i="3"/>
  <c r="AD514" i="3"/>
  <c r="AC514" i="3"/>
  <c r="AB514" i="3"/>
  <c r="AA514" i="3"/>
  <c r="Z514" i="3"/>
  <c r="Y514" i="3"/>
  <c r="W514" i="3"/>
  <c r="V514" i="3"/>
  <c r="U514" i="3"/>
  <c r="T514" i="3"/>
  <c r="S514" i="3"/>
  <c r="R514" i="3"/>
  <c r="Q514" i="3"/>
  <c r="P514" i="3"/>
  <c r="O514" i="3"/>
  <c r="N514" i="3"/>
  <c r="M514" i="3"/>
  <c r="AU513" i="3"/>
  <c r="AT513" i="3"/>
  <c r="AS513" i="3"/>
  <c r="AR513" i="3"/>
  <c r="AQ513" i="3"/>
  <c r="AP513" i="3"/>
  <c r="AO513" i="3"/>
  <c r="AN513" i="3"/>
  <c r="AM513" i="3"/>
  <c r="AL513" i="3"/>
  <c r="AK513" i="3"/>
  <c r="AI513" i="3"/>
  <c r="AH513" i="3"/>
  <c r="AG513" i="3"/>
  <c r="AF513" i="3"/>
  <c r="AE513" i="3"/>
  <c r="AD513" i="3"/>
  <c r="AC513" i="3"/>
  <c r="AB513" i="3"/>
  <c r="AA513" i="3"/>
  <c r="Z513" i="3"/>
  <c r="Y513" i="3"/>
  <c r="W513" i="3"/>
  <c r="V513" i="3"/>
  <c r="U513" i="3"/>
  <c r="T513" i="3"/>
  <c r="S513" i="3"/>
  <c r="R513" i="3"/>
  <c r="Q513" i="3"/>
  <c r="P513" i="3"/>
  <c r="O513" i="3"/>
  <c r="N513" i="3"/>
  <c r="M513" i="3"/>
  <c r="AU512" i="3"/>
  <c r="AT512" i="3"/>
  <c r="AS512" i="3"/>
  <c r="AR512" i="3"/>
  <c r="AQ512" i="3"/>
  <c r="AP512" i="3"/>
  <c r="AO512" i="3"/>
  <c r="AN512" i="3"/>
  <c r="AM512" i="3"/>
  <c r="AL512" i="3"/>
  <c r="AK512" i="3"/>
  <c r="AI512" i="3"/>
  <c r="AH512" i="3"/>
  <c r="AG512" i="3"/>
  <c r="AF512" i="3"/>
  <c r="AE512" i="3"/>
  <c r="AD512" i="3"/>
  <c r="AC512" i="3"/>
  <c r="AB512" i="3"/>
  <c r="AA512" i="3"/>
  <c r="Z512" i="3"/>
  <c r="Y512" i="3"/>
  <c r="W512" i="3"/>
  <c r="V512" i="3"/>
  <c r="U512" i="3"/>
  <c r="T512" i="3"/>
  <c r="S512" i="3"/>
  <c r="R512" i="3"/>
  <c r="Q512" i="3"/>
  <c r="P512" i="3"/>
  <c r="O512" i="3"/>
  <c r="N512" i="3"/>
  <c r="M512" i="3"/>
  <c r="AU511" i="3"/>
  <c r="AT511" i="3"/>
  <c r="AS511" i="3"/>
  <c r="AR511" i="3"/>
  <c r="AQ511" i="3"/>
  <c r="AP511" i="3"/>
  <c r="AO511" i="3"/>
  <c r="AN511" i="3"/>
  <c r="AM511" i="3"/>
  <c r="AL511" i="3"/>
  <c r="AK511" i="3"/>
  <c r="AI511" i="3"/>
  <c r="AH511" i="3"/>
  <c r="AG511" i="3"/>
  <c r="AF511" i="3"/>
  <c r="AE511" i="3"/>
  <c r="AD511" i="3"/>
  <c r="AC511" i="3"/>
  <c r="AB511" i="3"/>
  <c r="AA511" i="3"/>
  <c r="Z511" i="3"/>
  <c r="Y511" i="3"/>
  <c r="W511" i="3"/>
  <c r="V511" i="3"/>
  <c r="U511" i="3"/>
  <c r="T511" i="3"/>
  <c r="S511" i="3"/>
  <c r="R511" i="3"/>
  <c r="Q511" i="3"/>
  <c r="P511" i="3"/>
  <c r="O511" i="3"/>
  <c r="N511" i="3"/>
  <c r="M511" i="3"/>
  <c r="AU510" i="3"/>
  <c r="AT510" i="3"/>
  <c r="AS510" i="3"/>
  <c r="AR510" i="3"/>
  <c r="AQ510" i="3"/>
  <c r="AP510" i="3"/>
  <c r="AO510" i="3"/>
  <c r="AN510" i="3"/>
  <c r="AM510" i="3"/>
  <c r="AL510" i="3"/>
  <c r="AK510" i="3"/>
  <c r="AI510" i="3"/>
  <c r="AH510" i="3"/>
  <c r="AG510" i="3"/>
  <c r="AF510" i="3"/>
  <c r="AE510" i="3"/>
  <c r="AD510" i="3"/>
  <c r="AC510" i="3"/>
  <c r="AB510" i="3"/>
  <c r="AA510" i="3"/>
  <c r="Z510" i="3"/>
  <c r="Y510" i="3"/>
  <c r="W510" i="3"/>
  <c r="V510" i="3"/>
  <c r="U510" i="3"/>
  <c r="T510" i="3"/>
  <c r="S510" i="3"/>
  <c r="R510" i="3"/>
  <c r="Q510" i="3"/>
  <c r="P510" i="3"/>
  <c r="O510" i="3"/>
  <c r="N510" i="3"/>
  <c r="M510" i="3"/>
  <c r="J510" i="3"/>
  <c r="AU509" i="3"/>
  <c r="AT509" i="3"/>
  <c r="AS509" i="3"/>
  <c r="AR509" i="3"/>
  <c r="AQ509" i="3"/>
  <c r="AP509" i="3"/>
  <c r="AO509" i="3"/>
  <c r="AN509" i="3"/>
  <c r="AM509" i="3"/>
  <c r="AL509" i="3"/>
  <c r="AK509" i="3"/>
  <c r="AI509" i="3"/>
  <c r="AH509" i="3"/>
  <c r="AG509" i="3"/>
  <c r="AF509" i="3"/>
  <c r="AE509" i="3"/>
  <c r="AD509" i="3"/>
  <c r="AC509" i="3"/>
  <c r="AB509" i="3"/>
  <c r="AA509" i="3"/>
  <c r="Z509" i="3"/>
  <c r="Y509" i="3"/>
  <c r="W509" i="3"/>
  <c r="V509" i="3"/>
  <c r="U509" i="3"/>
  <c r="T509" i="3"/>
  <c r="S509" i="3"/>
  <c r="R509" i="3"/>
  <c r="Q509" i="3"/>
  <c r="P509" i="3"/>
  <c r="O509" i="3"/>
  <c r="N509" i="3"/>
  <c r="M509" i="3"/>
  <c r="I509" i="3"/>
  <c r="AU508" i="3"/>
  <c r="AT508" i="3"/>
  <c r="AS508" i="3"/>
  <c r="AR508" i="3"/>
  <c r="AQ508" i="3"/>
  <c r="AP508" i="3"/>
  <c r="AO508" i="3"/>
  <c r="AN508" i="3"/>
  <c r="AM508" i="3"/>
  <c r="AL508" i="3"/>
  <c r="AK508" i="3"/>
  <c r="AI508" i="3"/>
  <c r="AH508" i="3"/>
  <c r="AG508" i="3"/>
  <c r="AF508" i="3"/>
  <c r="AE508" i="3"/>
  <c r="AD508" i="3"/>
  <c r="AC508" i="3"/>
  <c r="AB508" i="3"/>
  <c r="AA508" i="3"/>
  <c r="Z508" i="3"/>
  <c r="Y508" i="3"/>
  <c r="W508" i="3"/>
  <c r="V508" i="3"/>
  <c r="U508" i="3"/>
  <c r="T508" i="3"/>
  <c r="S508" i="3"/>
  <c r="R508" i="3"/>
  <c r="Q508" i="3"/>
  <c r="P508" i="3"/>
  <c r="O508" i="3"/>
  <c r="N508" i="3"/>
  <c r="M508" i="3"/>
  <c r="AU507" i="3"/>
  <c r="AT507" i="3"/>
  <c r="AS507" i="3"/>
  <c r="AR507" i="3"/>
  <c r="AQ507" i="3"/>
  <c r="AP507" i="3"/>
  <c r="AO507" i="3"/>
  <c r="AN507" i="3"/>
  <c r="AM507" i="3"/>
  <c r="AL507" i="3"/>
  <c r="AK507" i="3"/>
  <c r="AI507" i="3"/>
  <c r="AH507" i="3"/>
  <c r="AG507" i="3"/>
  <c r="AF507" i="3"/>
  <c r="AE507" i="3"/>
  <c r="AD507" i="3"/>
  <c r="AC507" i="3"/>
  <c r="AB507" i="3"/>
  <c r="AA507" i="3"/>
  <c r="Z507" i="3"/>
  <c r="Y507" i="3"/>
  <c r="W507" i="3"/>
  <c r="V507" i="3"/>
  <c r="U507" i="3"/>
  <c r="T507" i="3"/>
  <c r="S507" i="3"/>
  <c r="R507" i="3"/>
  <c r="Q507" i="3"/>
  <c r="P507" i="3"/>
  <c r="O507" i="3"/>
  <c r="N507" i="3"/>
  <c r="M507" i="3"/>
  <c r="AU506" i="3"/>
  <c r="AT506" i="3"/>
  <c r="AS506" i="3"/>
  <c r="AR506" i="3"/>
  <c r="AQ506" i="3"/>
  <c r="AP506" i="3"/>
  <c r="AO506" i="3"/>
  <c r="AN506" i="3"/>
  <c r="AM506" i="3"/>
  <c r="AL506" i="3"/>
  <c r="AK506" i="3"/>
  <c r="AI506" i="3"/>
  <c r="AH506" i="3"/>
  <c r="AG506" i="3"/>
  <c r="AF506" i="3"/>
  <c r="AE506" i="3"/>
  <c r="AD506" i="3"/>
  <c r="AC506" i="3"/>
  <c r="AB506" i="3"/>
  <c r="AA506" i="3"/>
  <c r="Z506" i="3"/>
  <c r="Y506" i="3"/>
  <c r="W506" i="3"/>
  <c r="V506" i="3"/>
  <c r="U506" i="3"/>
  <c r="T506" i="3"/>
  <c r="S506" i="3"/>
  <c r="R506" i="3"/>
  <c r="Q506" i="3"/>
  <c r="P506" i="3"/>
  <c r="O506" i="3"/>
  <c r="N506" i="3"/>
  <c r="M506" i="3"/>
  <c r="AU505" i="3"/>
  <c r="AT505" i="3"/>
  <c r="AS505" i="3"/>
  <c r="AR505" i="3"/>
  <c r="AQ505" i="3"/>
  <c r="AP505" i="3"/>
  <c r="AO505" i="3"/>
  <c r="AN505" i="3"/>
  <c r="AM505" i="3"/>
  <c r="AL505" i="3"/>
  <c r="AK505" i="3"/>
  <c r="AI505" i="3"/>
  <c r="AH505" i="3"/>
  <c r="AG505" i="3"/>
  <c r="AF505" i="3"/>
  <c r="AE505" i="3"/>
  <c r="AD505" i="3"/>
  <c r="AC505" i="3"/>
  <c r="AB505" i="3"/>
  <c r="AA505" i="3"/>
  <c r="Z505" i="3"/>
  <c r="Y505" i="3"/>
  <c r="W505" i="3"/>
  <c r="V505" i="3"/>
  <c r="U505" i="3"/>
  <c r="T505" i="3"/>
  <c r="S505" i="3"/>
  <c r="R505" i="3"/>
  <c r="Q505" i="3"/>
  <c r="P505" i="3"/>
  <c r="O505" i="3"/>
  <c r="N505" i="3"/>
  <c r="M505" i="3"/>
  <c r="AU504" i="3"/>
  <c r="AT504" i="3"/>
  <c r="AS504" i="3"/>
  <c r="AR504" i="3"/>
  <c r="AQ504" i="3"/>
  <c r="AP504" i="3"/>
  <c r="AO504" i="3"/>
  <c r="AN504" i="3"/>
  <c r="AM504" i="3"/>
  <c r="AL504" i="3"/>
  <c r="AK504" i="3"/>
  <c r="AI504" i="3"/>
  <c r="AH504" i="3"/>
  <c r="AG504" i="3"/>
  <c r="AF504" i="3"/>
  <c r="AE504" i="3"/>
  <c r="AD504" i="3"/>
  <c r="AC504" i="3"/>
  <c r="AB504" i="3"/>
  <c r="AA504" i="3"/>
  <c r="Z504" i="3"/>
  <c r="Y504" i="3"/>
  <c r="W504" i="3"/>
  <c r="V504" i="3"/>
  <c r="U504" i="3"/>
  <c r="T504" i="3"/>
  <c r="S504" i="3"/>
  <c r="R504" i="3"/>
  <c r="Q504" i="3"/>
  <c r="P504" i="3"/>
  <c r="O504" i="3"/>
  <c r="N504" i="3"/>
  <c r="M504" i="3"/>
  <c r="AU503" i="3"/>
  <c r="AT503" i="3"/>
  <c r="AS503" i="3"/>
  <c r="AR503" i="3"/>
  <c r="AQ503" i="3"/>
  <c r="AP503" i="3"/>
  <c r="AO503" i="3"/>
  <c r="AN503" i="3"/>
  <c r="AM503" i="3"/>
  <c r="AL503" i="3"/>
  <c r="AK503" i="3"/>
  <c r="AI503" i="3"/>
  <c r="AH503" i="3"/>
  <c r="AG503" i="3"/>
  <c r="AF503" i="3"/>
  <c r="AE503" i="3"/>
  <c r="AD503" i="3"/>
  <c r="AC503" i="3"/>
  <c r="AB503" i="3"/>
  <c r="AA503" i="3"/>
  <c r="Z503" i="3"/>
  <c r="Y503" i="3"/>
  <c r="W503" i="3"/>
  <c r="V503" i="3"/>
  <c r="U503" i="3"/>
  <c r="T503" i="3"/>
  <c r="S503" i="3"/>
  <c r="R503" i="3"/>
  <c r="Q503" i="3"/>
  <c r="P503" i="3"/>
  <c r="O503" i="3"/>
  <c r="N503" i="3"/>
  <c r="M503" i="3"/>
  <c r="I503" i="3"/>
  <c r="AU502" i="3"/>
  <c r="AT502" i="3"/>
  <c r="AS502" i="3"/>
  <c r="AR502" i="3"/>
  <c r="AQ502" i="3"/>
  <c r="AP502" i="3"/>
  <c r="AO502" i="3"/>
  <c r="AN502" i="3"/>
  <c r="AM502" i="3"/>
  <c r="AL502" i="3"/>
  <c r="AK502" i="3"/>
  <c r="AI502" i="3"/>
  <c r="AH502" i="3"/>
  <c r="AG502" i="3"/>
  <c r="AF502" i="3"/>
  <c r="AE502" i="3"/>
  <c r="AD502" i="3"/>
  <c r="AC502" i="3"/>
  <c r="AB502" i="3"/>
  <c r="AA502" i="3"/>
  <c r="Z502" i="3"/>
  <c r="Y502" i="3"/>
  <c r="W502" i="3"/>
  <c r="V502" i="3"/>
  <c r="U502" i="3"/>
  <c r="T502" i="3"/>
  <c r="S502" i="3"/>
  <c r="R502" i="3"/>
  <c r="Q502" i="3"/>
  <c r="P502" i="3"/>
  <c r="O502" i="3"/>
  <c r="N502" i="3"/>
  <c r="M502" i="3"/>
  <c r="AU501" i="3"/>
  <c r="AT501" i="3"/>
  <c r="AS501" i="3"/>
  <c r="AR501" i="3"/>
  <c r="AQ501" i="3"/>
  <c r="AP501" i="3"/>
  <c r="AO501" i="3"/>
  <c r="AN501" i="3"/>
  <c r="AM501" i="3"/>
  <c r="AL501" i="3"/>
  <c r="AK501" i="3"/>
  <c r="AI501" i="3"/>
  <c r="AH501" i="3"/>
  <c r="AG501" i="3"/>
  <c r="AF501" i="3"/>
  <c r="AE501" i="3"/>
  <c r="AD501" i="3"/>
  <c r="AC501" i="3"/>
  <c r="AB501" i="3"/>
  <c r="AA501" i="3"/>
  <c r="Z501" i="3"/>
  <c r="Y501" i="3"/>
  <c r="W501" i="3"/>
  <c r="V501" i="3"/>
  <c r="U501" i="3"/>
  <c r="T501" i="3"/>
  <c r="S501" i="3"/>
  <c r="R501" i="3"/>
  <c r="Q501" i="3"/>
  <c r="P501" i="3"/>
  <c r="O501" i="3"/>
  <c r="N501" i="3"/>
  <c r="M501" i="3"/>
  <c r="AU500" i="3"/>
  <c r="AT500" i="3"/>
  <c r="AS500" i="3"/>
  <c r="AR500" i="3"/>
  <c r="AQ500" i="3"/>
  <c r="AP500" i="3"/>
  <c r="AO500" i="3"/>
  <c r="AN500" i="3"/>
  <c r="AM500" i="3"/>
  <c r="AL500" i="3"/>
  <c r="AK500" i="3"/>
  <c r="AI500" i="3"/>
  <c r="AH500" i="3"/>
  <c r="AG500" i="3"/>
  <c r="AF500" i="3"/>
  <c r="AE500" i="3"/>
  <c r="AD500" i="3"/>
  <c r="AC500" i="3"/>
  <c r="AB500" i="3"/>
  <c r="AA500" i="3"/>
  <c r="Z500" i="3"/>
  <c r="Y500" i="3"/>
  <c r="W500" i="3"/>
  <c r="V500" i="3"/>
  <c r="U500" i="3"/>
  <c r="T500" i="3"/>
  <c r="S500" i="3"/>
  <c r="R500" i="3"/>
  <c r="Q500" i="3"/>
  <c r="P500" i="3"/>
  <c r="O500" i="3"/>
  <c r="N500" i="3"/>
  <c r="M500" i="3"/>
  <c r="AU499" i="3"/>
  <c r="AT499" i="3"/>
  <c r="AS499" i="3"/>
  <c r="AR499" i="3"/>
  <c r="AQ499" i="3"/>
  <c r="AP499" i="3"/>
  <c r="AO499" i="3"/>
  <c r="AN499" i="3"/>
  <c r="AM499" i="3"/>
  <c r="AL499" i="3"/>
  <c r="AK499" i="3"/>
  <c r="AI499" i="3"/>
  <c r="AH499" i="3"/>
  <c r="AG499" i="3"/>
  <c r="AF499" i="3"/>
  <c r="AE499" i="3"/>
  <c r="AD499" i="3"/>
  <c r="AC499" i="3"/>
  <c r="AB499" i="3"/>
  <c r="AA499" i="3"/>
  <c r="Z499" i="3"/>
  <c r="Y499" i="3"/>
  <c r="W499" i="3"/>
  <c r="V499" i="3"/>
  <c r="U499" i="3"/>
  <c r="T499" i="3"/>
  <c r="S499" i="3"/>
  <c r="R499" i="3"/>
  <c r="Q499" i="3"/>
  <c r="P499" i="3"/>
  <c r="O499" i="3"/>
  <c r="N499" i="3"/>
  <c r="M499" i="3"/>
  <c r="AU498" i="3"/>
  <c r="AT498" i="3"/>
  <c r="AS498" i="3"/>
  <c r="AR498" i="3"/>
  <c r="AQ498" i="3"/>
  <c r="AP498" i="3"/>
  <c r="AO498" i="3"/>
  <c r="AN498" i="3"/>
  <c r="AM498" i="3"/>
  <c r="AL498" i="3"/>
  <c r="AK498" i="3"/>
  <c r="AI498" i="3"/>
  <c r="AH498" i="3"/>
  <c r="AG498" i="3"/>
  <c r="AF498" i="3"/>
  <c r="AE498" i="3"/>
  <c r="AD498" i="3"/>
  <c r="AC498" i="3"/>
  <c r="AB498" i="3"/>
  <c r="AA498" i="3"/>
  <c r="Z498" i="3"/>
  <c r="Y498" i="3"/>
  <c r="W498" i="3"/>
  <c r="V498" i="3"/>
  <c r="U498" i="3"/>
  <c r="T498" i="3"/>
  <c r="S498" i="3"/>
  <c r="R498" i="3"/>
  <c r="Q498" i="3"/>
  <c r="P498" i="3"/>
  <c r="O498" i="3"/>
  <c r="N498" i="3"/>
  <c r="M498" i="3"/>
  <c r="J498" i="3"/>
  <c r="AU497" i="3"/>
  <c r="AT497" i="3"/>
  <c r="AS497" i="3"/>
  <c r="AR497" i="3"/>
  <c r="AQ497" i="3"/>
  <c r="AP497" i="3"/>
  <c r="AO497" i="3"/>
  <c r="AN497" i="3"/>
  <c r="AM497" i="3"/>
  <c r="AL497" i="3"/>
  <c r="AK497" i="3"/>
  <c r="AI497" i="3"/>
  <c r="AH497" i="3"/>
  <c r="AG497" i="3"/>
  <c r="AF497" i="3"/>
  <c r="AE497" i="3"/>
  <c r="AD497" i="3"/>
  <c r="AC497" i="3"/>
  <c r="AB497" i="3"/>
  <c r="AA497" i="3"/>
  <c r="Z497" i="3"/>
  <c r="Y497" i="3"/>
  <c r="W497" i="3"/>
  <c r="V497" i="3"/>
  <c r="U497" i="3"/>
  <c r="T497" i="3"/>
  <c r="S497" i="3"/>
  <c r="R497" i="3"/>
  <c r="Q497" i="3"/>
  <c r="P497" i="3"/>
  <c r="O497" i="3"/>
  <c r="N497" i="3"/>
  <c r="M497" i="3"/>
  <c r="I497" i="3"/>
  <c r="AU496" i="3"/>
  <c r="AT496" i="3"/>
  <c r="AS496" i="3"/>
  <c r="AR496" i="3"/>
  <c r="AQ496" i="3"/>
  <c r="AP496" i="3"/>
  <c r="AO496" i="3"/>
  <c r="AN496" i="3"/>
  <c r="AM496" i="3"/>
  <c r="AL496" i="3"/>
  <c r="AK496" i="3"/>
  <c r="AI496" i="3"/>
  <c r="AH496" i="3"/>
  <c r="AG496" i="3"/>
  <c r="AF496" i="3"/>
  <c r="AE496" i="3"/>
  <c r="AD496" i="3"/>
  <c r="AC496" i="3"/>
  <c r="AB496" i="3"/>
  <c r="AA496" i="3"/>
  <c r="Z496" i="3"/>
  <c r="Y496" i="3"/>
  <c r="W496" i="3"/>
  <c r="V496" i="3"/>
  <c r="U496" i="3"/>
  <c r="T496" i="3"/>
  <c r="S496" i="3"/>
  <c r="R496" i="3"/>
  <c r="Q496" i="3"/>
  <c r="P496" i="3"/>
  <c r="O496" i="3"/>
  <c r="N496" i="3"/>
  <c r="M496" i="3"/>
  <c r="AU495" i="3"/>
  <c r="AT495" i="3"/>
  <c r="AS495" i="3"/>
  <c r="AR495" i="3"/>
  <c r="AQ495" i="3"/>
  <c r="AP495" i="3"/>
  <c r="AO495" i="3"/>
  <c r="AN495" i="3"/>
  <c r="AM495" i="3"/>
  <c r="AL495" i="3"/>
  <c r="AK495" i="3"/>
  <c r="AI495" i="3"/>
  <c r="AH495" i="3"/>
  <c r="AG495" i="3"/>
  <c r="AF495" i="3"/>
  <c r="AE495" i="3"/>
  <c r="AD495" i="3"/>
  <c r="AC495" i="3"/>
  <c r="AB495" i="3"/>
  <c r="AA495" i="3"/>
  <c r="Z495" i="3"/>
  <c r="Y495" i="3"/>
  <c r="W495" i="3"/>
  <c r="V495" i="3"/>
  <c r="U495" i="3"/>
  <c r="T495" i="3"/>
  <c r="S495" i="3"/>
  <c r="R495" i="3"/>
  <c r="Q495" i="3"/>
  <c r="P495" i="3"/>
  <c r="O495" i="3"/>
  <c r="N495" i="3"/>
  <c r="M495" i="3"/>
  <c r="AU494" i="3"/>
  <c r="AT494" i="3"/>
  <c r="AS494" i="3"/>
  <c r="AR494" i="3"/>
  <c r="AQ494" i="3"/>
  <c r="AP494" i="3"/>
  <c r="AO494" i="3"/>
  <c r="AN494" i="3"/>
  <c r="AM494" i="3"/>
  <c r="AL494" i="3"/>
  <c r="AK494" i="3"/>
  <c r="AI494" i="3"/>
  <c r="AH494" i="3"/>
  <c r="AG494" i="3"/>
  <c r="AF494" i="3"/>
  <c r="AE494" i="3"/>
  <c r="AD494" i="3"/>
  <c r="AC494" i="3"/>
  <c r="AB494" i="3"/>
  <c r="AA494" i="3"/>
  <c r="Z494" i="3"/>
  <c r="Y494" i="3"/>
  <c r="W494" i="3"/>
  <c r="V494" i="3"/>
  <c r="U494" i="3"/>
  <c r="T494" i="3"/>
  <c r="S494" i="3"/>
  <c r="R494" i="3"/>
  <c r="Q494" i="3"/>
  <c r="P494" i="3"/>
  <c r="O494" i="3"/>
  <c r="N494" i="3"/>
  <c r="M494" i="3"/>
  <c r="J494" i="3"/>
  <c r="AU493" i="3"/>
  <c r="AT493" i="3"/>
  <c r="AS493" i="3"/>
  <c r="AR493" i="3"/>
  <c r="AQ493" i="3"/>
  <c r="AP493" i="3"/>
  <c r="AO493" i="3"/>
  <c r="AN493" i="3"/>
  <c r="AM493" i="3"/>
  <c r="AL493" i="3"/>
  <c r="AK493" i="3"/>
  <c r="AI493" i="3"/>
  <c r="AH493" i="3"/>
  <c r="AG493" i="3"/>
  <c r="AF493" i="3"/>
  <c r="AE493" i="3"/>
  <c r="AD493" i="3"/>
  <c r="AC493" i="3"/>
  <c r="AB493" i="3"/>
  <c r="AA493" i="3"/>
  <c r="Z493" i="3"/>
  <c r="Y493" i="3"/>
  <c r="W493" i="3"/>
  <c r="V493" i="3"/>
  <c r="U493" i="3"/>
  <c r="T493" i="3"/>
  <c r="S493" i="3"/>
  <c r="R493" i="3"/>
  <c r="Q493" i="3"/>
  <c r="P493" i="3"/>
  <c r="O493" i="3"/>
  <c r="N493" i="3"/>
  <c r="M493" i="3"/>
  <c r="AU492" i="3"/>
  <c r="AT492" i="3"/>
  <c r="AS492" i="3"/>
  <c r="AR492" i="3"/>
  <c r="AQ492" i="3"/>
  <c r="AP492" i="3"/>
  <c r="AO492" i="3"/>
  <c r="AN492" i="3"/>
  <c r="AM492" i="3"/>
  <c r="AL492" i="3"/>
  <c r="AK492" i="3"/>
  <c r="AI492" i="3"/>
  <c r="AH492" i="3"/>
  <c r="AG492" i="3"/>
  <c r="AF492" i="3"/>
  <c r="AE492" i="3"/>
  <c r="AD492" i="3"/>
  <c r="AC492" i="3"/>
  <c r="AB492" i="3"/>
  <c r="AA492" i="3"/>
  <c r="Z492" i="3"/>
  <c r="Y492" i="3"/>
  <c r="W492" i="3"/>
  <c r="V492" i="3"/>
  <c r="U492" i="3"/>
  <c r="T492" i="3"/>
  <c r="S492" i="3"/>
  <c r="R492" i="3"/>
  <c r="Q492" i="3"/>
  <c r="P492" i="3"/>
  <c r="O492" i="3"/>
  <c r="N492" i="3"/>
  <c r="M492" i="3"/>
  <c r="AU491" i="3"/>
  <c r="AT491" i="3"/>
  <c r="AS491" i="3"/>
  <c r="AR491" i="3"/>
  <c r="AQ491" i="3"/>
  <c r="AP491" i="3"/>
  <c r="AO491" i="3"/>
  <c r="AN491" i="3"/>
  <c r="AM491" i="3"/>
  <c r="AL491" i="3"/>
  <c r="AK491" i="3"/>
  <c r="AI491" i="3"/>
  <c r="AH491" i="3"/>
  <c r="AG491" i="3"/>
  <c r="AF491" i="3"/>
  <c r="AE491" i="3"/>
  <c r="AD491" i="3"/>
  <c r="AC491" i="3"/>
  <c r="AB491" i="3"/>
  <c r="AA491" i="3"/>
  <c r="Z491" i="3"/>
  <c r="Y491" i="3"/>
  <c r="W491" i="3"/>
  <c r="V491" i="3"/>
  <c r="U491" i="3"/>
  <c r="T491" i="3"/>
  <c r="S491" i="3"/>
  <c r="R491" i="3"/>
  <c r="Q491" i="3"/>
  <c r="P491" i="3"/>
  <c r="O491" i="3"/>
  <c r="N491" i="3"/>
  <c r="M491" i="3"/>
  <c r="I491" i="3"/>
  <c r="AU490" i="3"/>
  <c r="AT490" i="3"/>
  <c r="AS490" i="3"/>
  <c r="AR490" i="3"/>
  <c r="AQ490" i="3"/>
  <c r="AP490" i="3"/>
  <c r="AO490" i="3"/>
  <c r="AN490" i="3"/>
  <c r="AM490" i="3"/>
  <c r="AL490" i="3"/>
  <c r="AK490" i="3"/>
  <c r="AI490" i="3"/>
  <c r="AH490" i="3"/>
  <c r="AG490" i="3"/>
  <c r="AF490" i="3"/>
  <c r="AE490" i="3"/>
  <c r="AD490" i="3"/>
  <c r="AC490" i="3"/>
  <c r="AB490" i="3"/>
  <c r="AA490" i="3"/>
  <c r="Z490" i="3"/>
  <c r="Y490" i="3"/>
  <c r="W490" i="3"/>
  <c r="V490" i="3"/>
  <c r="U490" i="3"/>
  <c r="T490" i="3"/>
  <c r="S490" i="3"/>
  <c r="R490" i="3"/>
  <c r="Q490" i="3"/>
  <c r="P490" i="3"/>
  <c r="O490" i="3"/>
  <c r="N490" i="3"/>
  <c r="M490" i="3"/>
  <c r="AU489" i="3"/>
  <c r="AT489" i="3"/>
  <c r="AS489" i="3"/>
  <c r="AR489" i="3"/>
  <c r="AQ489" i="3"/>
  <c r="AP489" i="3"/>
  <c r="AO489" i="3"/>
  <c r="AN489" i="3"/>
  <c r="AM489" i="3"/>
  <c r="AL489" i="3"/>
  <c r="AK489" i="3"/>
  <c r="AI489" i="3"/>
  <c r="AH489" i="3"/>
  <c r="AG489" i="3"/>
  <c r="AF489" i="3"/>
  <c r="AE489" i="3"/>
  <c r="AD489" i="3"/>
  <c r="AC489" i="3"/>
  <c r="AB489" i="3"/>
  <c r="AA489" i="3"/>
  <c r="Z489" i="3"/>
  <c r="Y489" i="3"/>
  <c r="W489" i="3"/>
  <c r="V489" i="3"/>
  <c r="U489" i="3"/>
  <c r="T489" i="3"/>
  <c r="S489" i="3"/>
  <c r="R489" i="3"/>
  <c r="Q489" i="3"/>
  <c r="P489" i="3"/>
  <c r="O489" i="3"/>
  <c r="N489" i="3"/>
  <c r="M489" i="3"/>
  <c r="AU488" i="3"/>
  <c r="AT488" i="3"/>
  <c r="AS488" i="3"/>
  <c r="AR488" i="3"/>
  <c r="AQ488" i="3"/>
  <c r="AP488" i="3"/>
  <c r="AO488" i="3"/>
  <c r="AN488" i="3"/>
  <c r="AM488" i="3"/>
  <c r="AL488" i="3"/>
  <c r="AK488" i="3"/>
  <c r="AI488" i="3"/>
  <c r="AH488" i="3"/>
  <c r="AG488" i="3"/>
  <c r="AF488" i="3"/>
  <c r="AE488" i="3"/>
  <c r="AD488" i="3"/>
  <c r="AC488" i="3"/>
  <c r="AB488" i="3"/>
  <c r="AA488" i="3"/>
  <c r="Z488" i="3"/>
  <c r="Y488" i="3"/>
  <c r="W488" i="3"/>
  <c r="V488" i="3"/>
  <c r="U488" i="3"/>
  <c r="T488" i="3"/>
  <c r="S488" i="3"/>
  <c r="R488" i="3"/>
  <c r="Q488" i="3"/>
  <c r="P488" i="3"/>
  <c r="O488" i="3"/>
  <c r="N488" i="3"/>
  <c r="M488" i="3"/>
  <c r="AU487" i="3"/>
  <c r="AT487" i="3"/>
  <c r="AS487" i="3"/>
  <c r="AR487" i="3"/>
  <c r="AQ487" i="3"/>
  <c r="AP487" i="3"/>
  <c r="AO487" i="3"/>
  <c r="AN487" i="3"/>
  <c r="AM487" i="3"/>
  <c r="AL487" i="3"/>
  <c r="AK487" i="3"/>
  <c r="AI487" i="3"/>
  <c r="AH487" i="3"/>
  <c r="AG487" i="3"/>
  <c r="AF487" i="3"/>
  <c r="AE487" i="3"/>
  <c r="AD487" i="3"/>
  <c r="AC487" i="3"/>
  <c r="AB487" i="3"/>
  <c r="AA487" i="3"/>
  <c r="Z487" i="3"/>
  <c r="Y487" i="3"/>
  <c r="W487" i="3"/>
  <c r="V487" i="3"/>
  <c r="U487" i="3"/>
  <c r="T487" i="3"/>
  <c r="S487" i="3"/>
  <c r="R487" i="3"/>
  <c r="Q487" i="3"/>
  <c r="P487" i="3"/>
  <c r="O487" i="3"/>
  <c r="N487" i="3"/>
  <c r="M487" i="3"/>
  <c r="AU486" i="3"/>
  <c r="AT486" i="3"/>
  <c r="AS486" i="3"/>
  <c r="AR486" i="3"/>
  <c r="AQ486" i="3"/>
  <c r="AP486" i="3"/>
  <c r="AO486" i="3"/>
  <c r="AN486" i="3"/>
  <c r="AM486" i="3"/>
  <c r="AL486" i="3"/>
  <c r="AK486" i="3"/>
  <c r="AI486" i="3"/>
  <c r="AH486" i="3"/>
  <c r="AG486" i="3"/>
  <c r="AF486" i="3"/>
  <c r="AE486" i="3"/>
  <c r="AD486" i="3"/>
  <c r="AC486" i="3"/>
  <c r="AB486" i="3"/>
  <c r="AA486" i="3"/>
  <c r="Z486" i="3"/>
  <c r="Y486" i="3"/>
  <c r="W486" i="3"/>
  <c r="V486" i="3"/>
  <c r="U486" i="3"/>
  <c r="T486" i="3"/>
  <c r="S486" i="3"/>
  <c r="R486" i="3"/>
  <c r="Q486" i="3"/>
  <c r="P486" i="3"/>
  <c r="O486" i="3"/>
  <c r="N486" i="3"/>
  <c r="M486" i="3"/>
  <c r="J486" i="3"/>
  <c r="AU485" i="3"/>
  <c r="AT485" i="3"/>
  <c r="AS485" i="3"/>
  <c r="AR485" i="3"/>
  <c r="AQ485" i="3"/>
  <c r="AP485" i="3"/>
  <c r="AO485" i="3"/>
  <c r="AN485" i="3"/>
  <c r="AM485" i="3"/>
  <c r="AL485" i="3"/>
  <c r="AK485" i="3"/>
  <c r="AI485" i="3"/>
  <c r="AH485" i="3"/>
  <c r="AG485" i="3"/>
  <c r="AF485" i="3"/>
  <c r="AE485" i="3"/>
  <c r="AD485" i="3"/>
  <c r="AC485" i="3"/>
  <c r="AB485" i="3"/>
  <c r="AA485" i="3"/>
  <c r="Z485" i="3"/>
  <c r="Y485" i="3"/>
  <c r="W485" i="3"/>
  <c r="V485" i="3"/>
  <c r="U485" i="3"/>
  <c r="T485" i="3"/>
  <c r="S485" i="3"/>
  <c r="R485" i="3"/>
  <c r="Q485" i="3"/>
  <c r="P485" i="3"/>
  <c r="O485" i="3"/>
  <c r="N485" i="3"/>
  <c r="M485" i="3"/>
  <c r="J485" i="3"/>
  <c r="I485" i="3"/>
  <c r="AU484" i="3"/>
  <c r="AT484" i="3"/>
  <c r="AS484" i="3"/>
  <c r="AR484" i="3"/>
  <c r="AQ484" i="3"/>
  <c r="AP484" i="3"/>
  <c r="AO484" i="3"/>
  <c r="AN484" i="3"/>
  <c r="AM484" i="3"/>
  <c r="AL484" i="3"/>
  <c r="AK484" i="3"/>
  <c r="AI484" i="3"/>
  <c r="AH484" i="3"/>
  <c r="AG484" i="3"/>
  <c r="AF484" i="3"/>
  <c r="AE484" i="3"/>
  <c r="AD484" i="3"/>
  <c r="AC484" i="3"/>
  <c r="AB484" i="3"/>
  <c r="AA484" i="3"/>
  <c r="Z484" i="3"/>
  <c r="Y484" i="3"/>
  <c r="W484" i="3"/>
  <c r="V484" i="3"/>
  <c r="U484" i="3"/>
  <c r="T484" i="3"/>
  <c r="S484" i="3"/>
  <c r="R484" i="3"/>
  <c r="Q484" i="3"/>
  <c r="P484" i="3"/>
  <c r="O484" i="3"/>
  <c r="N484" i="3"/>
  <c r="M484" i="3"/>
  <c r="AU483" i="3"/>
  <c r="AT483" i="3"/>
  <c r="AS483" i="3"/>
  <c r="AR483" i="3"/>
  <c r="AQ483" i="3"/>
  <c r="AP483" i="3"/>
  <c r="AO483" i="3"/>
  <c r="AN483" i="3"/>
  <c r="AM483" i="3"/>
  <c r="AL483" i="3"/>
  <c r="AK483" i="3"/>
  <c r="AI483" i="3"/>
  <c r="AH483" i="3"/>
  <c r="AG483" i="3"/>
  <c r="AF483" i="3"/>
  <c r="AE483" i="3"/>
  <c r="AD483" i="3"/>
  <c r="AC483" i="3"/>
  <c r="AB483" i="3"/>
  <c r="AA483" i="3"/>
  <c r="Z483" i="3"/>
  <c r="Y483" i="3"/>
  <c r="W483" i="3"/>
  <c r="V483" i="3"/>
  <c r="U483" i="3"/>
  <c r="T483" i="3"/>
  <c r="S483" i="3"/>
  <c r="R483" i="3"/>
  <c r="Q483" i="3"/>
  <c r="P483" i="3"/>
  <c r="O483" i="3"/>
  <c r="N483" i="3"/>
  <c r="M483" i="3"/>
  <c r="AU482" i="3"/>
  <c r="AT482" i="3"/>
  <c r="AS482" i="3"/>
  <c r="AR482" i="3"/>
  <c r="AQ482" i="3"/>
  <c r="AP482" i="3"/>
  <c r="AO482" i="3"/>
  <c r="AN482" i="3"/>
  <c r="AM482" i="3"/>
  <c r="AL482" i="3"/>
  <c r="AK482" i="3"/>
  <c r="AI482" i="3"/>
  <c r="AH482" i="3"/>
  <c r="AG482" i="3"/>
  <c r="AF482" i="3"/>
  <c r="AE482" i="3"/>
  <c r="AD482" i="3"/>
  <c r="AC482" i="3"/>
  <c r="AB482" i="3"/>
  <c r="AA482" i="3"/>
  <c r="Z482" i="3"/>
  <c r="Y482" i="3"/>
  <c r="W482" i="3"/>
  <c r="V482" i="3"/>
  <c r="U482" i="3"/>
  <c r="T482" i="3"/>
  <c r="S482" i="3"/>
  <c r="R482" i="3"/>
  <c r="Q482" i="3"/>
  <c r="P482" i="3"/>
  <c r="O482" i="3"/>
  <c r="N482" i="3"/>
  <c r="M482" i="3"/>
  <c r="J482" i="3"/>
  <c r="AU481" i="3"/>
  <c r="AT481" i="3"/>
  <c r="AS481" i="3"/>
  <c r="AR481" i="3"/>
  <c r="AQ481" i="3"/>
  <c r="AP481" i="3"/>
  <c r="AO481" i="3"/>
  <c r="AN481" i="3"/>
  <c r="AM481" i="3"/>
  <c r="AL481" i="3"/>
  <c r="AK481" i="3"/>
  <c r="AI481" i="3"/>
  <c r="AH481" i="3"/>
  <c r="AG481" i="3"/>
  <c r="AF481" i="3"/>
  <c r="AE481" i="3"/>
  <c r="AD481" i="3"/>
  <c r="AC481" i="3"/>
  <c r="AB481" i="3"/>
  <c r="AA481" i="3"/>
  <c r="Z481" i="3"/>
  <c r="Y481" i="3"/>
  <c r="W481" i="3"/>
  <c r="V481" i="3"/>
  <c r="U481" i="3"/>
  <c r="T481" i="3"/>
  <c r="S481" i="3"/>
  <c r="R481" i="3"/>
  <c r="Q481" i="3"/>
  <c r="P481" i="3"/>
  <c r="O481" i="3"/>
  <c r="N481" i="3"/>
  <c r="M481" i="3"/>
  <c r="AU480" i="3"/>
  <c r="AT480" i="3"/>
  <c r="AS480" i="3"/>
  <c r="AR480" i="3"/>
  <c r="AQ480" i="3"/>
  <c r="AP480" i="3"/>
  <c r="AO480" i="3"/>
  <c r="AN480" i="3"/>
  <c r="AM480" i="3"/>
  <c r="AL480" i="3"/>
  <c r="AK480" i="3"/>
  <c r="AI480" i="3"/>
  <c r="AH480" i="3"/>
  <c r="AG480" i="3"/>
  <c r="AF480" i="3"/>
  <c r="AE480" i="3"/>
  <c r="AD480" i="3"/>
  <c r="AC480" i="3"/>
  <c r="AB480" i="3"/>
  <c r="AA480" i="3"/>
  <c r="Z480" i="3"/>
  <c r="Y480" i="3"/>
  <c r="W480" i="3"/>
  <c r="V480" i="3"/>
  <c r="U480" i="3"/>
  <c r="T480" i="3"/>
  <c r="S480" i="3"/>
  <c r="R480" i="3"/>
  <c r="Q480" i="3"/>
  <c r="P480" i="3"/>
  <c r="O480" i="3"/>
  <c r="N480" i="3"/>
  <c r="M480" i="3"/>
  <c r="AU479" i="3"/>
  <c r="AT479" i="3"/>
  <c r="AS479" i="3"/>
  <c r="AR479" i="3"/>
  <c r="AQ479" i="3"/>
  <c r="AP479" i="3"/>
  <c r="AO479" i="3"/>
  <c r="AN479" i="3"/>
  <c r="AM479" i="3"/>
  <c r="AL479" i="3"/>
  <c r="AK479" i="3"/>
  <c r="AI479" i="3"/>
  <c r="AH479" i="3"/>
  <c r="AG479" i="3"/>
  <c r="AF479" i="3"/>
  <c r="AE479" i="3"/>
  <c r="AD479" i="3"/>
  <c r="AC479" i="3"/>
  <c r="AB479" i="3"/>
  <c r="AA479" i="3"/>
  <c r="Z479" i="3"/>
  <c r="Y479" i="3"/>
  <c r="W479" i="3"/>
  <c r="V479" i="3"/>
  <c r="U479" i="3"/>
  <c r="T479" i="3"/>
  <c r="S479" i="3"/>
  <c r="R479" i="3"/>
  <c r="Q479" i="3"/>
  <c r="P479" i="3"/>
  <c r="O479" i="3"/>
  <c r="N479" i="3"/>
  <c r="M479" i="3"/>
  <c r="I479" i="3"/>
  <c r="AU478" i="3"/>
  <c r="AT478" i="3"/>
  <c r="AS478" i="3"/>
  <c r="AR478" i="3"/>
  <c r="AQ478" i="3"/>
  <c r="AP478" i="3"/>
  <c r="AO478" i="3"/>
  <c r="AN478" i="3"/>
  <c r="AM478" i="3"/>
  <c r="AL478" i="3"/>
  <c r="AK478" i="3"/>
  <c r="AI478" i="3"/>
  <c r="AH478" i="3"/>
  <c r="AG478" i="3"/>
  <c r="AF478" i="3"/>
  <c r="AE478" i="3"/>
  <c r="AD478" i="3"/>
  <c r="AC478" i="3"/>
  <c r="AB478" i="3"/>
  <c r="AA478" i="3"/>
  <c r="Z478" i="3"/>
  <c r="Y478" i="3"/>
  <c r="W478" i="3"/>
  <c r="V478" i="3"/>
  <c r="U478" i="3"/>
  <c r="T478" i="3"/>
  <c r="S478" i="3"/>
  <c r="R478" i="3"/>
  <c r="Q478" i="3"/>
  <c r="P478" i="3"/>
  <c r="O478" i="3"/>
  <c r="N478" i="3"/>
  <c r="M478" i="3"/>
  <c r="AU477" i="3"/>
  <c r="AT477" i="3"/>
  <c r="AS477" i="3"/>
  <c r="AR477" i="3"/>
  <c r="AQ477" i="3"/>
  <c r="AP477" i="3"/>
  <c r="AO477" i="3"/>
  <c r="AN477" i="3"/>
  <c r="AM477" i="3"/>
  <c r="AL477" i="3"/>
  <c r="AK477" i="3"/>
  <c r="AI477" i="3"/>
  <c r="AH477" i="3"/>
  <c r="AG477" i="3"/>
  <c r="AF477" i="3"/>
  <c r="AE477" i="3"/>
  <c r="AD477" i="3"/>
  <c r="AC477" i="3"/>
  <c r="AB477" i="3"/>
  <c r="AA477" i="3"/>
  <c r="Z477" i="3"/>
  <c r="Y477" i="3"/>
  <c r="W477" i="3"/>
  <c r="V477" i="3"/>
  <c r="U477" i="3"/>
  <c r="T477" i="3"/>
  <c r="S477" i="3"/>
  <c r="R477" i="3"/>
  <c r="Q477" i="3"/>
  <c r="P477" i="3"/>
  <c r="O477" i="3"/>
  <c r="N477" i="3"/>
  <c r="M477" i="3"/>
  <c r="AU476" i="3"/>
  <c r="AT476" i="3"/>
  <c r="AS476" i="3"/>
  <c r="AR476" i="3"/>
  <c r="AQ476" i="3"/>
  <c r="AP476" i="3"/>
  <c r="AO476" i="3"/>
  <c r="AN476" i="3"/>
  <c r="AM476" i="3"/>
  <c r="AL476" i="3"/>
  <c r="AK476" i="3"/>
  <c r="AI476" i="3"/>
  <c r="AH476" i="3"/>
  <c r="AG476" i="3"/>
  <c r="AF476" i="3"/>
  <c r="AE476" i="3"/>
  <c r="AD476" i="3"/>
  <c r="AC476" i="3"/>
  <c r="AB476" i="3"/>
  <c r="AA476" i="3"/>
  <c r="Z476" i="3"/>
  <c r="Y476" i="3"/>
  <c r="W476" i="3"/>
  <c r="V476" i="3"/>
  <c r="U476" i="3"/>
  <c r="T476" i="3"/>
  <c r="S476" i="3"/>
  <c r="R476" i="3"/>
  <c r="Q476" i="3"/>
  <c r="P476" i="3"/>
  <c r="O476" i="3"/>
  <c r="N476" i="3"/>
  <c r="M476" i="3"/>
  <c r="AU475" i="3"/>
  <c r="AT475" i="3"/>
  <c r="AS475" i="3"/>
  <c r="AR475" i="3"/>
  <c r="AQ475" i="3"/>
  <c r="AP475" i="3"/>
  <c r="AO475" i="3"/>
  <c r="AN475" i="3"/>
  <c r="AM475" i="3"/>
  <c r="AL475" i="3"/>
  <c r="AK475" i="3"/>
  <c r="AI475" i="3"/>
  <c r="AH475" i="3"/>
  <c r="AG475" i="3"/>
  <c r="AF475" i="3"/>
  <c r="AE475" i="3"/>
  <c r="AD475" i="3"/>
  <c r="AC475" i="3"/>
  <c r="AB475" i="3"/>
  <c r="AA475" i="3"/>
  <c r="Z475" i="3"/>
  <c r="Y475" i="3"/>
  <c r="W475" i="3"/>
  <c r="V475" i="3"/>
  <c r="U475" i="3"/>
  <c r="T475" i="3"/>
  <c r="S475" i="3"/>
  <c r="R475" i="3"/>
  <c r="Q475" i="3"/>
  <c r="P475" i="3"/>
  <c r="O475" i="3"/>
  <c r="N475" i="3"/>
  <c r="M475" i="3"/>
  <c r="AU474" i="3"/>
  <c r="AT474" i="3"/>
  <c r="AS474" i="3"/>
  <c r="AR474" i="3"/>
  <c r="AQ474" i="3"/>
  <c r="AP474" i="3"/>
  <c r="AO474" i="3"/>
  <c r="AN474" i="3"/>
  <c r="AM474" i="3"/>
  <c r="AL474" i="3"/>
  <c r="AK474" i="3"/>
  <c r="AI474" i="3"/>
  <c r="AH474" i="3"/>
  <c r="AG474" i="3"/>
  <c r="AF474" i="3"/>
  <c r="AE474" i="3"/>
  <c r="AD474" i="3"/>
  <c r="AC474" i="3"/>
  <c r="AB474" i="3"/>
  <c r="AA474" i="3"/>
  <c r="Z474" i="3"/>
  <c r="Y474" i="3"/>
  <c r="W474" i="3"/>
  <c r="V474" i="3"/>
  <c r="U474" i="3"/>
  <c r="T474" i="3"/>
  <c r="S474" i="3"/>
  <c r="R474" i="3"/>
  <c r="Q474" i="3"/>
  <c r="P474" i="3"/>
  <c r="O474" i="3"/>
  <c r="N474" i="3"/>
  <c r="M474" i="3"/>
  <c r="J474" i="3"/>
  <c r="AU473" i="3"/>
  <c r="AT473" i="3"/>
  <c r="AS473" i="3"/>
  <c r="AR473" i="3"/>
  <c r="AQ473" i="3"/>
  <c r="AP473" i="3"/>
  <c r="AO473" i="3"/>
  <c r="AN473" i="3"/>
  <c r="AM473" i="3"/>
  <c r="AL473" i="3"/>
  <c r="AK473" i="3"/>
  <c r="AI473" i="3"/>
  <c r="AH473" i="3"/>
  <c r="AG473" i="3"/>
  <c r="AF473" i="3"/>
  <c r="AE473" i="3"/>
  <c r="AD473" i="3"/>
  <c r="AC473" i="3"/>
  <c r="AB473" i="3"/>
  <c r="AA473" i="3"/>
  <c r="Z473" i="3"/>
  <c r="Y473" i="3"/>
  <c r="W473" i="3"/>
  <c r="V473" i="3"/>
  <c r="U473" i="3"/>
  <c r="T473" i="3"/>
  <c r="S473" i="3"/>
  <c r="R473" i="3"/>
  <c r="Q473" i="3"/>
  <c r="P473" i="3"/>
  <c r="O473" i="3"/>
  <c r="N473" i="3"/>
  <c r="M473" i="3"/>
  <c r="J473" i="3"/>
  <c r="I473" i="3"/>
  <c r="AU472" i="3"/>
  <c r="AT472" i="3"/>
  <c r="AS472" i="3"/>
  <c r="AR472" i="3"/>
  <c r="AQ472" i="3"/>
  <c r="AP472" i="3"/>
  <c r="AO472" i="3"/>
  <c r="AN472" i="3"/>
  <c r="AM472" i="3"/>
  <c r="AL472" i="3"/>
  <c r="AK472" i="3"/>
  <c r="AI472" i="3"/>
  <c r="AH472" i="3"/>
  <c r="AG472" i="3"/>
  <c r="AF472" i="3"/>
  <c r="AE472" i="3"/>
  <c r="AD472" i="3"/>
  <c r="AC472" i="3"/>
  <c r="AB472" i="3"/>
  <c r="AA472" i="3"/>
  <c r="Z472" i="3"/>
  <c r="Y472" i="3"/>
  <c r="W472" i="3"/>
  <c r="V472" i="3"/>
  <c r="U472" i="3"/>
  <c r="T472" i="3"/>
  <c r="S472" i="3"/>
  <c r="R472" i="3"/>
  <c r="Q472" i="3"/>
  <c r="P472" i="3"/>
  <c r="O472" i="3"/>
  <c r="N472" i="3"/>
  <c r="M472" i="3"/>
  <c r="AU471" i="3"/>
  <c r="AT471" i="3"/>
  <c r="AS471" i="3"/>
  <c r="AR471" i="3"/>
  <c r="AQ471" i="3"/>
  <c r="AP471" i="3"/>
  <c r="AO471" i="3"/>
  <c r="AN471" i="3"/>
  <c r="AM471" i="3"/>
  <c r="AL471" i="3"/>
  <c r="AK471" i="3"/>
  <c r="AI471" i="3"/>
  <c r="AH471" i="3"/>
  <c r="AG471" i="3"/>
  <c r="AF471" i="3"/>
  <c r="AE471" i="3"/>
  <c r="AD471" i="3"/>
  <c r="AC471" i="3"/>
  <c r="AB471" i="3"/>
  <c r="AA471" i="3"/>
  <c r="Z471" i="3"/>
  <c r="Y471" i="3"/>
  <c r="W471" i="3"/>
  <c r="V471" i="3"/>
  <c r="U471" i="3"/>
  <c r="T471" i="3"/>
  <c r="S471" i="3"/>
  <c r="R471" i="3"/>
  <c r="Q471" i="3"/>
  <c r="P471" i="3"/>
  <c r="O471" i="3"/>
  <c r="N471" i="3"/>
  <c r="M471" i="3"/>
  <c r="AU470" i="3"/>
  <c r="AT470" i="3"/>
  <c r="AS470" i="3"/>
  <c r="AR470" i="3"/>
  <c r="AQ470" i="3"/>
  <c r="AP470" i="3"/>
  <c r="AO470" i="3"/>
  <c r="AN470" i="3"/>
  <c r="AM470" i="3"/>
  <c r="AL470" i="3"/>
  <c r="AK470" i="3"/>
  <c r="AI470" i="3"/>
  <c r="AH470" i="3"/>
  <c r="AG470" i="3"/>
  <c r="AF470" i="3"/>
  <c r="AE470" i="3"/>
  <c r="AD470" i="3"/>
  <c r="AC470" i="3"/>
  <c r="AB470" i="3"/>
  <c r="AA470" i="3"/>
  <c r="Z470" i="3"/>
  <c r="Y470" i="3"/>
  <c r="W470" i="3"/>
  <c r="V470" i="3"/>
  <c r="U470" i="3"/>
  <c r="T470" i="3"/>
  <c r="S470" i="3"/>
  <c r="R470" i="3"/>
  <c r="Q470" i="3"/>
  <c r="P470" i="3"/>
  <c r="O470" i="3"/>
  <c r="N470" i="3"/>
  <c r="M470" i="3"/>
  <c r="J470" i="3"/>
  <c r="AU469" i="3"/>
  <c r="AT469" i="3"/>
  <c r="AS469" i="3"/>
  <c r="AR469" i="3"/>
  <c r="AQ469" i="3"/>
  <c r="AP469" i="3"/>
  <c r="AO469" i="3"/>
  <c r="AN469" i="3"/>
  <c r="AM469" i="3"/>
  <c r="AL469" i="3"/>
  <c r="AK469" i="3"/>
  <c r="AI469" i="3"/>
  <c r="AH469" i="3"/>
  <c r="AG469" i="3"/>
  <c r="AF469" i="3"/>
  <c r="AE469" i="3"/>
  <c r="AD469" i="3"/>
  <c r="AC469" i="3"/>
  <c r="AB469" i="3"/>
  <c r="AA469" i="3"/>
  <c r="Z469" i="3"/>
  <c r="Y469" i="3"/>
  <c r="W469" i="3"/>
  <c r="V469" i="3"/>
  <c r="U469" i="3"/>
  <c r="T469" i="3"/>
  <c r="S469" i="3"/>
  <c r="R469" i="3"/>
  <c r="Q469" i="3"/>
  <c r="P469" i="3"/>
  <c r="O469" i="3"/>
  <c r="N469" i="3"/>
  <c r="M469" i="3"/>
  <c r="AU468" i="3"/>
  <c r="AT468" i="3"/>
  <c r="AS468" i="3"/>
  <c r="AR468" i="3"/>
  <c r="AQ468" i="3"/>
  <c r="AP468" i="3"/>
  <c r="AO468" i="3"/>
  <c r="AN468" i="3"/>
  <c r="AM468" i="3"/>
  <c r="AL468" i="3"/>
  <c r="AK468" i="3"/>
  <c r="AI468" i="3"/>
  <c r="AH468" i="3"/>
  <c r="AG468" i="3"/>
  <c r="AF468" i="3"/>
  <c r="AE468" i="3"/>
  <c r="AD468" i="3"/>
  <c r="AC468" i="3"/>
  <c r="AB468" i="3"/>
  <c r="AA468" i="3"/>
  <c r="Z468" i="3"/>
  <c r="Y468" i="3"/>
  <c r="W468" i="3"/>
  <c r="V468" i="3"/>
  <c r="U468" i="3"/>
  <c r="T468" i="3"/>
  <c r="S468" i="3"/>
  <c r="R468" i="3"/>
  <c r="Q468" i="3"/>
  <c r="P468" i="3"/>
  <c r="O468" i="3"/>
  <c r="N468" i="3"/>
  <c r="M468" i="3"/>
  <c r="AU467" i="3"/>
  <c r="AT467" i="3"/>
  <c r="AS467" i="3"/>
  <c r="AR467" i="3"/>
  <c r="AQ467" i="3"/>
  <c r="AP467" i="3"/>
  <c r="AO467" i="3"/>
  <c r="AN467" i="3"/>
  <c r="AM467" i="3"/>
  <c r="AL467" i="3"/>
  <c r="AK467" i="3"/>
  <c r="AI467" i="3"/>
  <c r="AH467" i="3"/>
  <c r="AG467" i="3"/>
  <c r="AF467" i="3"/>
  <c r="AE467" i="3"/>
  <c r="AD467" i="3"/>
  <c r="AC467" i="3"/>
  <c r="AB467" i="3"/>
  <c r="AA467" i="3"/>
  <c r="Z467" i="3"/>
  <c r="Y467" i="3"/>
  <c r="W467" i="3"/>
  <c r="V467" i="3"/>
  <c r="U467" i="3"/>
  <c r="T467" i="3"/>
  <c r="S467" i="3"/>
  <c r="R467" i="3"/>
  <c r="Q467" i="3"/>
  <c r="P467" i="3"/>
  <c r="O467" i="3"/>
  <c r="N467" i="3"/>
  <c r="M467" i="3"/>
  <c r="I467" i="3"/>
  <c r="AU466" i="3"/>
  <c r="AT466" i="3"/>
  <c r="AS466" i="3"/>
  <c r="AR466" i="3"/>
  <c r="AQ466" i="3"/>
  <c r="AP466" i="3"/>
  <c r="AO466" i="3"/>
  <c r="AN466" i="3"/>
  <c r="AM466" i="3"/>
  <c r="AL466" i="3"/>
  <c r="AK466" i="3"/>
  <c r="AI466" i="3"/>
  <c r="AH466" i="3"/>
  <c r="AG466" i="3"/>
  <c r="AF466" i="3"/>
  <c r="AE466" i="3"/>
  <c r="AD466" i="3"/>
  <c r="AC466" i="3"/>
  <c r="AB466" i="3"/>
  <c r="AA466" i="3"/>
  <c r="Z466" i="3"/>
  <c r="Y466" i="3"/>
  <c r="W466" i="3"/>
  <c r="V466" i="3"/>
  <c r="U466" i="3"/>
  <c r="T466" i="3"/>
  <c r="S466" i="3"/>
  <c r="R466" i="3"/>
  <c r="Q466" i="3"/>
  <c r="P466" i="3"/>
  <c r="O466" i="3"/>
  <c r="N466" i="3"/>
  <c r="M466" i="3"/>
  <c r="AU465" i="3"/>
  <c r="AT465" i="3"/>
  <c r="AS465" i="3"/>
  <c r="AR465" i="3"/>
  <c r="AQ465" i="3"/>
  <c r="AP465" i="3"/>
  <c r="AO465" i="3"/>
  <c r="AN465" i="3"/>
  <c r="AM465" i="3"/>
  <c r="AL465" i="3"/>
  <c r="AK465" i="3"/>
  <c r="AI465" i="3"/>
  <c r="AH465" i="3"/>
  <c r="AG465" i="3"/>
  <c r="AF465" i="3"/>
  <c r="AE465" i="3"/>
  <c r="AD465" i="3"/>
  <c r="AC465" i="3"/>
  <c r="AB465" i="3"/>
  <c r="AA465" i="3"/>
  <c r="Z465" i="3"/>
  <c r="Y465" i="3"/>
  <c r="W465" i="3"/>
  <c r="V465" i="3"/>
  <c r="U465" i="3"/>
  <c r="T465" i="3"/>
  <c r="S465" i="3"/>
  <c r="R465" i="3"/>
  <c r="Q465" i="3"/>
  <c r="P465" i="3"/>
  <c r="O465" i="3"/>
  <c r="N465" i="3"/>
  <c r="M465" i="3"/>
  <c r="AU464" i="3"/>
  <c r="AT464" i="3"/>
  <c r="AS464" i="3"/>
  <c r="AR464" i="3"/>
  <c r="AQ464" i="3"/>
  <c r="AP464" i="3"/>
  <c r="AO464" i="3"/>
  <c r="AN464" i="3"/>
  <c r="AM464" i="3"/>
  <c r="AL464" i="3"/>
  <c r="AK464" i="3"/>
  <c r="AI464" i="3"/>
  <c r="AH464" i="3"/>
  <c r="AG464" i="3"/>
  <c r="AF464" i="3"/>
  <c r="AE464" i="3"/>
  <c r="AD464" i="3"/>
  <c r="AC464" i="3"/>
  <c r="AB464" i="3"/>
  <c r="AA464" i="3"/>
  <c r="Z464" i="3"/>
  <c r="Y464" i="3"/>
  <c r="W464" i="3"/>
  <c r="V464" i="3"/>
  <c r="U464" i="3"/>
  <c r="T464" i="3"/>
  <c r="S464" i="3"/>
  <c r="R464" i="3"/>
  <c r="Q464" i="3"/>
  <c r="P464" i="3"/>
  <c r="O464" i="3"/>
  <c r="N464" i="3"/>
  <c r="M464" i="3"/>
  <c r="AU463" i="3"/>
  <c r="AT463" i="3"/>
  <c r="AS463" i="3"/>
  <c r="AR463" i="3"/>
  <c r="AQ463" i="3"/>
  <c r="AP463" i="3"/>
  <c r="AO463" i="3"/>
  <c r="AN463" i="3"/>
  <c r="AM463" i="3"/>
  <c r="AL463" i="3"/>
  <c r="AK463" i="3"/>
  <c r="AI463" i="3"/>
  <c r="AH463" i="3"/>
  <c r="AG463" i="3"/>
  <c r="AF463" i="3"/>
  <c r="AE463" i="3"/>
  <c r="AD463" i="3"/>
  <c r="AC463" i="3"/>
  <c r="AB463" i="3"/>
  <c r="AA463" i="3"/>
  <c r="Z463" i="3"/>
  <c r="Y463" i="3"/>
  <c r="W463" i="3"/>
  <c r="V463" i="3"/>
  <c r="U463" i="3"/>
  <c r="T463" i="3"/>
  <c r="S463" i="3"/>
  <c r="R463" i="3"/>
  <c r="Q463" i="3"/>
  <c r="P463" i="3"/>
  <c r="O463" i="3"/>
  <c r="N463" i="3"/>
  <c r="M463" i="3"/>
  <c r="AU462" i="3"/>
  <c r="AT462" i="3"/>
  <c r="AS462" i="3"/>
  <c r="AR462" i="3"/>
  <c r="AQ462" i="3"/>
  <c r="AP462" i="3"/>
  <c r="AO462" i="3"/>
  <c r="AN462" i="3"/>
  <c r="AM462" i="3"/>
  <c r="AL462" i="3"/>
  <c r="AK462" i="3"/>
  <c r="AI462" i="3"/>
  <c r="AH462" i="3"/>
  <c r="AG462" i="3"/>
  <c r="AF462" i="3"/>
  <c r="AE462" i="3"/>
  <c r="AD462" i="3"/>
  <c r="AC462" i="3"/>
  <c r="AB462" i="3"/>
  <c r="AA462" i="3"/>
  <c r="Z462" i="3"/>
  <c r="Y462" i="3"/>
  <c r="W462" i="3"/>
  <c r="V462" i="3"/>
  <c r="U462" i="3"/>
  <c r="T462" i="3"/>
  <c r="S462" i="3"/>
  <c r="R462" i="3"/>
  <c r="Q462" i="3"/>
  <c r="P462" i="3"/>
  <c r="O462" i="3"/>
  <c r="N462" i="3"/>
  <c r="M462" i="3"/>
  <c r="J462" i="3"/>
  <c r="AU461" i="3"/>
  <c r="AT461" i="3"/>
  <c r="AS461" i="3"/>
  <c r="AR461" i="3"/>
  <c r="AQ461" i="3"/>
  <c r="AP461" i="3"/>
  <c r="AO461" i="3"/>
  <c r="AN461" i="3"/>
  <c r="AM461" i="3"/>
  <c r="AL461" i="3"/>
  <c r="AK461" i="3"/>
  <c r="AI461" i="3"/>
  <c r="AH461" i="3"/>
  <c r="AG461" i="3"/>
  <c r="AF461" i="3"/>
  <c r="AE461" i="3"/>
  <c r="AD461" i="3"/>
  <c r="AC461" i="3"/>
  <c r="AB461" i="3"/>
  <c r="AA461" i="3"/>
  <c r="Z461" i="3"/>
  <c r="Y461" i="3"/>
  <c r="W461" i="3"/>
  <c r="V461" i="3"/>
  <c r="U461" i="3"/>
  <c r="T461" i="3"/>
  <c r="S461" i="3"/>
  <c r="R461" i="3"/>
  <c r="Q461" i="3"/>
  <c r="P461" i="3"/>
  <c r="O461" i="3"/>
  <c r="N461" i="3"/>
  <c r="M461" i="3"/>
  <c r="J461" i="3"/>
  <c r="I461" i="3"/>
  <c r="AU460" i="3"/>
  <c r="AT460" i="3"/>
  <c r="AS460" i="3"/>
  <c r="AR460" i="3"/>
  <c r="AQ460" i="3"/>
  <c r="AP460" i="3"/>
  <c r="AO460" i="3"/>
  <c r="AN460" i="3"/>
  <c r="AM460" i="3"/>
  <c r="AL460" i="3"/>
  <c r="AK460" i="3"/>
  <c r="AI460" i="3"/>
  <c r="AH460" i="3"/>
  <c r="AG460" i="3"/>
  <c r="AF460" i="3"/>
  <c r="AE460" i="3"/>
  <c r="AD460" i="3"/>
  <c r="AC460" i="3"/>
  <c r="AB460" i="3"/>
  <c r="AA460" i="3"/>
  <c r="Z460" i="3"/>
  <c r="Y460" i="3"/>
  <c r="W460" i="3"/>
  <c r="V460" i="3"/>
  <c r="U460" i="3"/>
  <c r="T460" i="3"/>
  <c r="S460" i="3"/>
  <c r="R460" i="3"/>
  <c r="Q460" i="3"/>
  <c r="P460" i="3"/>
  <c r="O460" i="3"/>
  <c r="N460" i="3"/>
  <c r="M460" i="3"/>
  <c r="AU459" i="3"/>
  <c r="AT459" i="3"/>
  <c r="AS459" i="3"/>
  <c r="AR459" i="3"/>
  <c r="AQ459" i="3"/>
  <c r="AP459" i="3"/>
  <c r="AO459" i="3"/>
  <c r="AN459" i="3"/>
  <c r="AM459" i="3"/>
  <c r="AL459" i="3"/>
  <c r="AK459" i="3"/>
  <c r="AI459" i="3"/>
  <c r="AH459" i="3"/>
  <c r="AG459" i="3"/>
  <c r="AF459" i="3"/>
  <c r="AE459" i="3"/>
  <c r="AD459" i="3"/>
  <c r="AC459" i="3"/>
  <c r="AB459" i="3"/>
  <c r="AA459" i="3"/>
  <c r="Z459" i="3"/>
  <c r="Y459" i="3"/>
  <c r="W459" i="3"/>
  <c r="V459" i="3"/>
  <c r="U459" i="3"/>
  <c r="T459" i="3"/>
  <c r="S459" i="3"/>
  <c r="R459" i="3"/>
  <c r="Q459" i="3"/>
  <c r="P459" i="3"/>
  <c r="O459" i="3"/>
  <c r="N459" i="3"/>
  <c r="M459" i="3"/>
  <c r="AU458" i="3"/>
  <c r="AT458" i="3"/>
  <c r="AS458" i="3"/>
  <c r="AR458" i="3"/>
  <c r="AQ458" i="3"/>
  <c r="AP458" i="3"/>
  <c r="AO458" i="3"/>
  <c r="AN458" i="3"/>
  <c r="AM458" i="3"/>
  <c r="AL458" i="3"/>
  <c r="AK458" i="3"/>
  <c r="AI458" i="3"/>
  <c r="AH458" i="3"/>
  <c r="AG458" i="3"/>
  <c r="AF458" i="3"/>
  <c r="AE458" i="3"/>
  <c r="AD458" i="3"/>
  <c r="AC458" i="3"/>
  <c r="AB458" i="3"/>
  <c r="AA458" i="3"/>
  <c r="Z458" i="3"/>
  <c r="Y458" i="3"/>
  <c r="W458" i="3"/>
  <c r="V458" i="3"/>
  <c r="U458" i="3"/>
  <c r="T458" i="3"/>
  <c r="S458" i="3"/>
  <c r="R458" i="3"/>
  <c r="Q458" i="3"/>
  <c r="P458" i="3"/>
  <c r="O458" i="3"/>
  <c r="N458" i="3"/>
  <c r="M458" i="3"/>
  <c r="J458" i="3"/>
  <c r="AU457" i="3"/>
  <c r="AT457" i="3"/>
  <c r="AS457" i="3"/>
  <c r="AR457" i="3"/>
  <c r="AQ457" i="3"/>
  <c r="AP457" i="3"/>
  <c r="AO457" i="3"/>
  <c r="AN457" i="3"/>
  <c r="AM457" i="3"/>
  <c r="AL457" i="3"/>
  <c r="AK457" i="3"/>
  <c r="AI457" i="3"/>
  <c r="AH457" i="3"/>
  <c r="AG457" i="3"/>
  <c r="AF457" i="3"/>
  <c r="AE457" i="3"/>
  <c r="AD457" i="3"/>
  <c r="AC457" i="3"/>
  <c r="AB457" i="3"/>
  <c r="AA457" i="3"/>
  <c r="Z457" i="3"/>
  <c r="Y457" i="3"/>
  <c r="W457" i="3"/>
  <c r="V457" i="3"/>
  <c r="U457" i="3"/>
  <c r="T457" i="3"/>
  <c r="S457" i="3"/>
  <c r="R457" i="3"/>
  <c r="Q457" i="3"/>
  <c r="P457" i="3"/>
  <c r="O457" i="3"/>
  <c r="N457" i="3"/>
  <c r="M457" i="3"/>
  <c r="AU456" i="3"/>
  <c r="AT456" i="3"/>
  <c r="AS456" i="3"/>
  <c r="AR456" i="3"/>
  <c r="AQ456" i="3"/>
  <c r="AP456" i="3"/>
  <c r="AO456" i="3"/>
  <c r="AN456" i="3"/>
  <c r="AM456" i="3"/>
  <c r="AL456" i="3"/>
  <c r="AK456" i="3"/>
  <c r="AI456" i="3"/>
  <c r="AH456" i="3"/>
  <c r="AG456" i="3"/>
  <c r="AF456" i="3"/>
  <c r="AE456" i="3"/>
  <c r="AD456" i="3"/>
  <c r="AC456" i="3"/>
  <c r="AB456" i="3"/>
  <c r="AA456" i="3"/>
  <c r="Z456" i="3"/>
  <c r="Y456" i="3"/>
  <c r="W456" i="3"/>
  <c r="V456" i="3"/>
  <c r="U456" i="3"/>
  <c r="T456" i="3"/>
  <c r="S456" i="3"/>
  <c r="R456" i="3"/>
  <c r="Q456" i="3"/>
  <c r="P456" i="3"/>
  <c r="O456" i="3"/>
  <c r="N456" i="3"/>
  <c r="M456" i="3"/>
  <c r="J456" i="3"/>
  <c r="AU455" i="3"/>
  <c r="AT455" i="3"/>
  <c r="AS455" i="3"/>
  <c r="AR455" i="3"/>
  <c r="AQ455" i="3"/>
  <c r="AP455" i="3"/>
  <c r="AO455" i="3"/>
  <c r="AN455" i="3"/>
  <c r="AM455" i="3"/>
  <c r="AL455" i="3"/>
  <c r="AK455" i="3"/>
  <c r="AI455" i="3"/>
  <c r="AH455" i="3"/>
  <c r="AG455" i="3"/>
  <c r="AF455" i="3"/>
  <c r="AE455" i="3"/>
  <c r="AD455" i="3"/>
  <c r="AC455" i="3"/>
  <c r="AB455" i="3"/>
  <c r="AA455" i="3"/>
  <c r="Z455" i="3"/>
  <c r="Y455" i="3"/>
  <c r="W455" i="3"/>
  <c r="V455" i="3"/>
  <c r="U455" i="3"/>
  <c r="T455" i="3"/>
  <c r="S455" i="3"/>
  <c r="R455" i="3"/>
  <c r="Q455" i="3"/>
  <c r="P455" i="3"/>
  <c r="O455" i="3"/>
  <c r="N455" i="3"/>
  <c r="M455" i="3"/>
  <c r="I455" i="3"/>
  <c r="AU454" i="3"/>
  <c r="AT454" i="3"/>
  <c r="AS454" i="3"/>
  <c r="AR454" i="3"/>
  <c r="AQ454" i="3"/>
  <c r="AP454" i="3"/>
  <c r="AO454" i="3"/>
  <c r="AN454" i="3"/>
  <c r="AM454" i="3"/>
  <c r="AL454" i="3"/>
  <c r="AK454" i="3"/>
  <c r="AI454" i="3"/>
  <c r="AH454" i="3"/>
  <c r="AG454" i="3"/>
  <c r="AF454" i="3"/>
  <c r="AE454" i="3"/>
  <c r="AD454" i="3"/>
  <c r="AC454" i="3"/>
  <c r="AB454" i="3"/>
  <c r="AA454" i="3"/>
  <c r="Z454" i="3"/>
  <c r="Y454" i="3"/>
  <c r="W454" i="3"/>
  <c r="V454" i="3"/>
  <c r="U454" i="3"/>
  <c r="T454" i="3"/>
  <c r="S454" i="3"/>
  <c r="R454" i="3"/>
  <c r="Q454" i="3"/>
  <c r="P454" i="3"/>
  <c r="O454" i="3"/>
  <c r="N454" i="3"/>
  <c r="M454" i="3"/>
  <c r="AU453" i="3"/>
  <c r="AT453" i="3"/>
  <c r="AS453" i="3"/>
  <c r="AR453" i="3"/>
  <c r="AQ453" i="3"/>
  <c r="AP453" i="3"/>
  <c r="AO453" i="3"/>
  <c r="AN453" i="3"/>
  <c r="AM453" i="3"/>
  <c r="AL453" i="3"/>
  <c r="AK453" i="3"/>
  <c r="AI453" i="3"/>
  <c r="AH453" i="3"/>
  <c r="AG453" i="3"/>
  <c r="AF453" i="3"/>
  <c r="AE453" i="3"/>
  <c r="AD453" i="3"/>
  <c r="AC453" i="3"/>
  <c r="AB453" i="3"/>
  <c r="AA453" i="3"/>
  <c r="Z453" i="3"/>
  <c r="Y453" i="3"/>
  <c r="W453" i="3"/>
  <c r="V453" i="3"/>
  <c r="U453" i="3"/>
  <c r="T453" i="3"/>
  <c r="S453" i="3"/>
  <c r="R453" i="3"/>
  <c r="Q453" i="3"/>
  <c r="P453" i="3"/>
  <c r="O453" i="3"/>
  <c r="N453" i="3"/>
  <c r="M453" i="3"/>
  <c r="AU452" i="3"/>
  <c r="AT452" i="3"/>
  <c r="AS452" i="3"/>
  <c r="AR452" i="3"/>
  <c r="AQ452" i="3"/>
  <c r="AP452" i="3"/>
  <c r="AO452" i="3"/>
  <c r="AN452" i="3"/>
  <c r="AM452" i="3"/>
  <c r="AL452" i="3"/>
  <c r="AK452" i="3"/>
  <c r="AI452" i="3"/>
  <c r="AH452" i="3"/>
  <c r="AG452" i="3"/>
  <c r="AF452" i="3"/>
  <c r="AE452" i="3"/>
  <c r="AD452" i="3"/>
  <c r="AC452" i="3"/>
  <c r="AB452" i="3"/>
  <c r="AA452" i="3"/>
  <c r="Z452" i="3"/>
  <c r="Y452" i="3"/>
  <c r="W452" i="3"/>
  <c r="V452" i="3"/>
  <c r="U452" i="3"/>
  <c r="T452" i="3"/>
  <c r="S452" i="3"/>
  <c r="R452" i="3"/>
  <c r="Q452" i="3"/>
  <c r="P452" i="3"/>
  <c r="O452" i="3"/>
  <c r="N452" i="3"/>
  <c r="M452" i="3"/>
  <c r="AU451" i="3"/>
  <c r="AT451" i="3"/>
  <c r="AS451" i="3"/>
  <c r="AR451" i="3"/>
  <c r="AQ451" i="3"/>
  <c r="AP451" i="3"/>
  <c r="AO451" i="3"/>
  <c r="AN451" i="3"/>
  <c r="AM451" i="3"/>
  <c r="AL451" i="3"/>
  <c r="AK451" i="3"/>
  <c r="AI451" i="3"/>
  <c r="AH451" i="3"/>
  <c r="AG451" i="3"/>
  <c r="AF451" i="3"/>
  <c r="AE451" i="3"/>
  <c r="AD451" i="3"/>
  <c r="AC451" i="3"/>
  <c r="AB451" i="3"/>
  <c r="AA451" i="3"/>
  <c r="Z451" i="3"/>
  <c r="Y451" i="3"/>
  <c r="W451" i="3"/>
  <c r="V451" i="3"/>
  <c r="U451" i="3"/>
  <c r="T451" i="3"/>
  <c r="S451" i="3"/>
  <c r="R451" i="3"/>
  <c r="Q451" i="3"/>
  <c r="P451" i="3"/>
  <c r="O451" i="3"/>
  <c r="N451" i="3"/>
  <c r="M451" i="3"/>
  <c r="AU450" i="3"/>
  <c r="AT450" i="3"/>
  <c r="AS450" i="3"/>
  <c r="AR450" i="3"/>
  <c r="AQ450" i="3"/>
  <c r="AP450" i="3"/>
  <c r="AO450" i="3"/>
  <c r="AN450" i="3"/>
  <c r="AM450" i="3"/>
  <c r="AL450" i="3"/>
  <c r="AK450" i="3"/>
  <c r="AI450" i="3"/>
  <c r="AH450" i="3"/>
  <c r="AG450" i="3"/>
  <c r="AF450" i="3"/>
  <c r="AE450" i="3"/>
  <c r="AD450" i="3"/>
  <c r="AC450" i="3"/>
  <c r="AB450" i="3"/>
  <c r="AA450" i="3"/>
  <c r="Z450" i="3"/>
  <c r="Y450" i="3"/>
  <c r="W450" i="3"/>
  <c r="V450" i="3"/>
  <c r="U450" i="3"/>
  <c r="T450" i="3"/>
  <c r="S450" i="3"/>
  <c r="R450" i="3"/>
  <c r="Q450" i="3"/>
  <c r="P450" i="3"/>
  <c r="O450" i="3"/>
  <c r="N450" i="3"/>
  <c r="M450" i="3"/>
  <c r="J450" i="3"/>
  <c r="AU449" i="3"/>
  <c r="AT449" i="3"/>
  <c r="AS449" i="3"/>
  <c r="AR449" i="3"/>
  <c r="AQ449" i="3"/>
  <c r="AP449" i="3"/>
  <c r="AO449" i="3"/>
  <c r="AN449" i="3"/>
  <c r="AM449" i="3"/>
  <c r="AL449" i="3"/>
  <c r="AK449" i="3"/>
  <c r="AI449" i="3"/>
  <c r="AH449" i="3"/>
  <c r="AG449" i="3"/>
  <c r="AF449" i="3"/>
  <c r="AE449" i="3"/>
  <c r="AD449" i="3"/>
  <c r="AC449" i="3"/>
  <c r="AB449" i="3"/>
  <c r="AA449" i="3"/>
  <c r="Z449" i="3"/>
  <c r="Y449" i="3"/>
  <c r="W449" i="3"/>
  <c r="V449" i="3"/>
  <c r="U449" i="3"/>
  <c r="T449" i="3"/>
  <c r="S449" i="3"/>
  <c r="R449" i="3"/>
  <c r="Q449" i="3"/>
  <c r="P449" i="3"/>
  <c r="O449" i="3"/>
  <c r="N449" i="3"/>
  <c r="M449" i="3"/>
  <c r="J449" i="3"/>
  <c r="I449" i="3"/>
  <c r="AU448" i="3"/>
  <c r="AT448" i="3"/>
  <c r="AS448" i="3"/>
  <c r="AR448" i="3"/>
  <c r="AQ448" i="3"/>
  <c r="AP448" i="3"/>
  <c r="AO448" i="3"/>
  <c r="AN448" i="3"/>
  <c r="AM448" i="3"/>
  <c r="AL448" i="3"/>
  <c r="AK448" i="3"/>
  <c r="AI448" i="3"/>
  <c r="AH448" i="3"/>
  <c r="AG448" i="3"/>
  <c r="AF448" i="3"/>
  <c r="AE448" i="3"/>
  <c r="AD448" i="3"/>
  <c r="AC448" i="3"/>
  <c r="AB448" i="3"/>
  <c r="AA448" i="3"/>
  <c r="Z448" i="3"/>
  <c r="Y448" i="3"/>
  <c r="W448" i="3"/>
  <c r="V448" i="3"/>
  <c r="U448" i="3"/>
  <c r="T448" i="3"/>
  <c r="S448" i="3"/>
  <c r="R448" i="3"/>
  <c r="Q448" i="3"/>
  <c r="P448" i="3"/>
  <c r="O448" i="3"/>
  <c r="N448" i="3"/>
  <c r="M448" i="3"/>
  <c r="AU447" i="3"/>
  <c r="AT447" i="3"/>
  <c r="AS447" i="3"/>
  <c r="AR447" i="3"/>
  <c r="AQ447" i="3"/>
  <c r="AP447" i="3"/>
  <c r="AO447" i="3"/>
  <c r="AN447" i="3"/>
  <c r="AM447" i="3"/>
  <c r="AL447" i="3"/>
  <c r="AK447" i="3"/>
  <c r="AI447" i="3"/>
  <c r="AH447" i="3"/>
  <c r="AG447" i="3"/>
  <c r="AF447" i="3"/>
  <c r="AE447" i="3"/>
  <c r="AD447" i="3"/>
  <c r="AC447" i="3"/>
  <c r="AB447" i="3"/>
  <c r="AA447" i="3"/>
  <c r="Z447" i="3"/>
  <c r="Y447" i="3"/>
  <c r="W447" i="3"/>
  <c r="V447" i="3"/>
  <c r="U447" i="3"/>
  <c r="T447" i="3"/>
  <c r="S447" i="3"/>
  <c r="R447" i="3"/>
  <c r="Q447" i="3"/>
  <c r="P447" i="3"/>
  <c r="O447" i="3"/>
  <c r="N447" i="3"/>
  <c r="M447" i="3"/>
  <c r="AU446" i="3"/>
  <c r="AT446" i="3"/>
  <c r="AS446" i="3"/>
  <c r="AR446" i="3"/>
  <c r="AQ446" i="3"/>
  <c r="AP446" i="3"/>
  <c r="AO446" i="3"/>
  <c r="AN446" i="3"/>
  <c r="AM446" i="3"/>
  <c r="AL446" i="3"/>
  <c r="AK446" i="3"/>
  <c r="AI446" i="3"/>
  <c r="AH446" i="3"/>
  <c r="AG446" i="3"/>
  <c r="AF446" i="3"/>
  <c r="AE446" i="3"/>
  <c r="AD446" i="3"/>
  <c r="AC446" i="3"/>
  <c r="AB446" i="3"/>
  <c r="AA446" i="3"/>
  <c r="Z446" i="3"/>
  <c r="Y446" i="3"/>
  <c r="W446" i="3"/>
  <c r="V446" i="3"/>
  <c r="U446" i="3"/>
  <c r="T446" i="3"/>
  <c r="S446" i="3"/>
  <c r="R446" i="3"/>
  <c r="Q446" i="3"/>
  <c r="P446" i="3"/>
  <c r="O446" i="3"/>
  <c r="N446" i="3"/>
  <c r="M446" i="3"/>
  <c r="J446" i="3"/>
  <c r="AU445" i="3"/>
  <c r="AT445" i="3"/>
  <c r="AS445" i="3"/>
  <c r="AR445" i="3"/>
  <c r="AQ445" i="3"/>
  <c r="AP445" i="3"/>
  <c r="AO445" i="3"/>
  <c r="AN445" i="3"/>
  <c r="AM445" i="3"/>
  <c r="AL445" i="3"/>
  <c r="AK445" i="3"/>
  <c r="AI445" i="3"/>
  <c r="AH445" i="3"/>
  <c r="AG445" i="3"/>
  <c r="AF445" i="3"/>
  <c r="AE445" i="3"/>
  <c r="AD445" i="3"/>
  <c r="AC445" i="3"/>
  <c r="AB445" i="3"/>
  <c r="AA445" i="3"/>
  <c r="Z445" i="3"/>
  <c r="Y445" i="3"/>
  <c r="W445" i="3"/>
  <c r="V445" i="3"/>
  <c r="U445" i="3"/>
  <c r="T445" i="3"/>
  <c r="S445" i="3"/>
  <c r="R445" i="3"/>
  <c r="Q445" i="3"/>
  <c r="P445" i="3"/>
  <c r="O445" i="3"/>
  <c r="N445" i="3"/>
  <c r="M445" i="3"/>
  <c r="AU444" i="3"/>
  <c r="AT444" i="3"/>
  <c r="AS444" i="3"/>
  <c r="AR444" i="3"/>
  <c r="AQ444" i="3"/>
  <c r="AP444" i="3"/>
  <c r="AO444" i="3"/>
  <c r="AN444" i="3"/>
  <c r="AM444" i="3"/>
  <c r="AL444" i="3"/>
  <c r="AK444" i="3"/>
  <c r="AI444" i="3"/>
  <c r="AH444" i="3"/>
  <c r="AG444" i="3"/>
  <c r="AF444" i="3"/>
  <c r="AE444" i="3"/>
  <c r="AD444" i="3"/>
  <c r="AC444" i="3"/>
  <c r="AB444" i="3"/>
  <c r="AA444" i="3"/>
  <c r="Z444" i="3"/>
  <c r="Y444" i="3"/>
  <c r="W444" i="3"/>
  <c r="V444" i="3"/>
  <c r="U444" i="3"/>
  <c r="T444" i="3"/>
  <c r="S444" i="3"/>
  <c r="R444" i="3"/>
  <c r="Q444" i="3"/>
  <c r="P444" i="3"/>
  <c r="O444" i="3"/>
  <c r="N444" i="3"/>
  <c r="M444" i="3"/>
  <c r="J444" i="3"/>
  <c r="AU443" i="3"/>
  <c r="AT443" i="3"/>
  <c r="AS443" i="3"/>
  <c r="AR443" i="3"/>
  <c r="AQ443" i="3"/>
  <c r="AP443" i="3"/>
  <c r="AO443" i="3"/>
  <c r="AN443" i="3"/>
  <c r="AM443" i="3"/>
  <c r="AL443" i="3"/>
  <c r="AK443" i="3"/>
  <c r="AI443" i="3"/>
  <c r="AH443" i="3"/>
  <c r="AG443" i="3"/>
  <c r="AF443" i="3"/>
  <c r="AE443" i="3"/>
  <c r="AD443" i="3"/>
  <c r="AC443" i="3"/>
  <c r="AB443" i="3"/>
  <c r="AA443" i="3"/>
  <c r="Z443" i="3"/>
  <c r="Y443" i="3"/>
  <c r="W443" i="3"/>
  <c r="V443" i="3"/>
  <c r="U443" i="3"/>
  <c r="T443" i="3"/>
  <c r="S443" i="3"/>
  <c r="R443" i="3"/>
  <c r="Q443" i="3"/>
  <c r="P443" i="3"/>
  <c r="O443" i="3"/>
  <c r="N443" i="3"/>
  <c r="M443" i="3"/>
  <c r="I443" i="3"/>
  <c r="AU442" i="3"/>
  <c r="AT442" i="3"/>
  <c r="AS442" i="3"/>
  <c r="AR442" i="3"/>
  <c r="AQ442" i="3"/>
  <c r="AP442" i="3"/>
  <c r="AO442" i="3"/>
  <c r="AN442" i="3"/>
  <c r="AM442" i="3"/>
  <c r="AL442" i="3"/>
  <c r="AK442" i="3"/>
  <c r="AI442" i="3"/>
  <c r="AH442" i="3"/>
  <c r="AG442" i="3"/>
  <c r="AF442" i="3"/>
  <c r="AE442" i="3"/>
  <c r="AD442" i="3"/>
  <c r="AC442" i="3"/>
  <c r="AB442" i="3"/>
  <c r="AA442" i="3"/>
  <c r="Z442" i="3"/>
  <c r="Y442" i="3"/>
  <c r="W442" i="3"/>
  <c r="V442" i="3"/>
  <c r="U442" i="3"/>
  <c r="T442" i="3"/>
  <c r="S442" i="3"/>
  <c r="R442" i="3"/>
  <c r="Q442" i="3"/>
  <c r="P442" i="3"/>
  <c r="O442" i="3"/>
  <c r="N442" i="3"/>
  <c r="M442" i="3"/>
  <c r="AU441" i="3"/>
  <c r="AT441" i="3"/>
  <c r="AS441" i="3"/>
  <c r="AR441" i="3"/>
  <c r="AQ441" i="3"/>
  <c r="AP441" i="3"/>
  <c r="AO441" i="3"/>
  <c r="AN441" i="3"/>
  <c r="AM441" i="3"/>
  <c r="AL441" i="3"/>
  <c r="AK441" i="3"/>
  <c r="AI441" i="3"/>
  <c r="AH441" i="3"/>
  <c r="AG441" i="3"/>
  <c r="AF441" i="3"/>
  <c r="AE441" i="3"/>
  <c r="AD441" i="3"/>
  <c r="AC441" i="3"/>
  <c r="AB441" i="3"/>
  <c r="AA441" i="3"/>
  <c r="Z441" i="3"/>
  <c r="Y441" i="3"/>
  <c r="W441" i="3"/>
  <c r="V441" i="3"/>
  <c r="U441" i="3"/>
  <c r="T441" i="3"/>
  <c r="S441" i="3"/>
  <c r="R441" i="3"/>
  <c r="Q441" i="3"/>
  <c r="P441" i="3"/>
  <c r="O441" i="3"/>
  <c r="N441" i="3"/>
  <c r="M441" i="3"/>
  <c r="AU440" i="3"/>
  <c r="AT440" i="3"/>
  <c r="AS440" i="3"/>
  <c r="AR440" i="3"/>
  <c r="AQ440" i="3"/>
  <c r="AP440" i="3"/>
  <c r="AO440" i="3"/>
  <c r="AN440" i="3"/>
  <c r="AM440" i="3"/>
  <c r="AL440" i="3"/>
  <c r="AK440" i="3"/>
  <c r="AI440" i="3"/>
  <c r="AH440" i="3"/>
  <c r="AG440" i="3"/>
  <c r="AF440" i="3"/>
  <c r="AE440" i="3"/>
  <c r="AD440" i="3"/>
  <c r="AC440" i="3"/>
  <c r="AB440" i="3"/>
  <c r="AA440" i="3"/>
  <c r="Z440" i="3"/>
  <c r="Y440" i="3"/>
  <c r="W440" i="3"/>
  <c r="V440" i="3"/>
  <c r="U440" i="3"/>
  <c r="T440" i="3"/>
  <c r="S440" i="3"/>
  <c r="R440" i="3"/>
  <c r="Q440" i="3"/>
  <c r="P440" i="3"/>
  <c r="O440" i="3"/>
  <c r="N440" i="3"/>
  <c r="M440" i="3"/>
  <c r="AU439" i="3"/>
  <c r="AT439" i="3"/>
  <c r="AS439" i="3"/>
  <c r="AR439" i="3"/>
  <c r="AQ439" i="3"/>
  <c r="AP439" i="3"/>
  <c r="AO439" i="3"/>
  <c r="AN439" i="3"/>
  <c r="AM439" i="3"/>
  <c r="AL439" i="3"/>
  <c r="AK439" i="3"/>
  <c r="AI439" i="3"/>
  <c r="AH439" i="3"/>
  <c r="AG439" i="3"/>
  <c r="AF439" i="3"/>
  <c r="AE439" i="3"/>
  <c r="AD439" i="3"/>
  <c r="AC439" i="3"/>
  <c r="AB439" i="3"/>
  <c r="AA439" i="3"/>
  <c r="Z439" i="3"/>
  <c r="Y439" i="3"/>
  <c r="W439" i="3"/>
  <c r="V439" i="3"/>
  <c r="U439" i="3"/>
  <c r="T439" i="3"/>
  <c r="S439" i="3"/>
  <c r="R439" i="3"/>
  <c r="Q439" i="3"/>
  <c r="P439" i="3"/>
  <c r="O439" i="3"/>
  <c r="N439" i="3"/>
  <c r="M439" i="3"/>
  <c r="AU438" i="3"/>
  <c r="AT438" i="3"/>
  <c r="AS438" i="3"/>
  <c r="AR438" i="3"/>
  <c r="AQ438" i="3"/>
  <c r="AP438" i="3"/>
  <c r="AO438" i="3"/>
  <c r="AN438" i="3"/>
  <c r="AM438" i="3"/>
  <c r="AL438" i="3"/>
  <c r="AK438" i="3"/>
  <c r="AI438" i="3"/>
  <c r="AH438" i="3"/>
  <c r="AG438" i="3"/>
  <c r="AF438" i="3"/>
  <c r="AE438" i="3"/>
  <c r="AD438" i="3"/>
  <c r="AC438" i="3"/>
  <c r="AB438" i="3"/>
  <c r="AA438" i="3"/>
  <c r="Z438" i="3"/>
  <c r="Y438" i="3"/>
  <c r="W438" i="3"/>
  <c r="V438" i="3"/>
  <c r="U438" i="3"/>
  <c r="T438" i="3"/>
  <c r="S438" i="3"/>
  <c r="R438" i="3"/>
  <c r="Q438" i="3"/>
  <c r="P438" i="3"/>
  <c r="O438" i="3"/>
  <c r="N438" i="3"/>
  <c r="M438" i="3"/>
  <c r="J438" i="3"/>
  <c r="AU437" i="3"/>
  <c r="AT437" i="3"/>
  <c r="AS437" i="3"/>
  <c r="AR437" i="3"/>
  <c r="AQ437" i="3"/>
  <c r="AP437" i="3"/>
  <c r="AO437" i="3"/>
  <c r="AN437" i="3"/>
  <c r="AM437" i="3"/>
  <c r="AL437" i="3"/>
  <c r="AK437" i="3"/>
  <c r="AI437" i="3"/>
  <c r="AH437" i="3"/>
  <c r="AG437" i="3"/>
  <c r="AF437" i="3"/>
  <c r="AE437" i="3"/>
  <c r="AD437" i="3"/>
  <c r="AC437" i="3"/>
  <c r="AB437" i="3"/>
  <c r="AA437" i="3"/>
  <c r="Z437" i="3"/>
  <c r="Y437" i="3"/>
  <c r="W437" i="3"/>
  <c r="V437" i="3"/>
  <c r="U437" i="3"/>
  <c r="T437" i="3"/>
  <c r="S437" i="3"/>
  <c r="R437" i="3"/>
  <c r="Q437" i="3"/>
  <c r="P437" i="3"/>
  <c r="O437" i="3"/>
  <c r="N437" i="3"/>
  <c r="M437" i="3"/>
  <c r="J437" i="3"/>
  <c r="I437" i="3"/>
  <c r="AU436" i="3"/>
  <c r="AT436" i="3"/>
  <c r="AS436" i="3"/>
  <c r="AR436" i="3"/>
  <c r="AQ436" i="3"/>
  <c r="AP436" i="3"/>
  <c r="AO436" i="3"/>
  <c r="AN436" i="3"/>
  <c r="AM436" i="3"/>
  <c r="AL436" i="3"/>
  <c r="AK436" i="3"/>
  <c r="AI436" i="3"/>
  <c r="AH436" i="3"/>
  <c r="AG436" i="3"/>
  <c r="AF436" i="3"/>
  <c r="AE436" i="3"/>
  <c r="AD436" i="3"/>
  <c r="AC436" i="3"/>
  <c r="AB436" i="3"/>
  <c r="AA436" i="3"/>
  <c r="Z436" i="3"/>
  <c r="Y436" i="3"/>
  <c r="W436" i="3"/>
  <c r="V436" i="3"/>
  <c r="U436" i="3"/>
  <c r="T436" i="3"/>
  <c r="S436" i="3"/>
  <c r="R436" i="3"/>
  <c r="Q436" i="3"/>
  <c r="P436" i="3"/>
  <c r="O436" i="3"/>
  <c r="N436" i="3"/>
  <c r="M436" i="3"/>
  <c r="AU435" i="3"/>
  <c r="AT435" i="3"/>
  <c r="AS435" i="3"/>
  <c r="AR435" i="3"/>
  <c r="AQ435" i="3"/>
  <c r="AP435" i="3"/>
  <c r="AO435" i="3"/>
  <c r="AN435" i="3"/>
  <c r="AM435" i="3"/>
  <c r="AL435" i="3"/>
  <c r="AK435" i="3"/>
  <c r="AI435" i="3"/>
  <c r="AH435" i="3"/>
  <c r="AG435" i="3"/>
  <c r="AF435" i="3"/>
  <c r="AE435" i="3"/>
  <c r="AD435" i="3"/>
  <c r="AC435" i="3"/>
  <c r="AB435" i="3"/>
  <c r="AA435" i="3"/>
  <c r="Z435" i="3"/>
  <c r="Y435" i="3"/>
  <c r="W435" i="3"/>
  <c r="V435" i="3"/>
  <c r="U435" i="3"/>
  <c r="T435" i="3"/>
  <c r="S435" i="3"/>
  <c r="R435" i="3"/>
  <c r="Q435" i="3"/>
  <c r="P435" i="3"/>
  <c r="O435" i="3"/>
  <c r="N435" i="3"/>
  <c r="M435" i="3"/>
  <c r="AU434" i="3"/>
  <c r="AT434" i="3"/>
  <c r="AS434" i="3"/>
  <c r="AR434" i="3"/>
  <c r="AQ434" i="3"/>
  <c r="AP434" i="3"/>
  <c r="AO434" i="3"/>
  <c r="AN434" i="3"/>
  <c r="AM434" i="3"/>
  <c r="AL434" i="3"/>
  <c r="AK434" i="3"/>
  <c r="AI434" i="3"/>
  <c r="AH434" i="3"/>
  <c r="AG434" i="3"/>
  <c r="AF434" i="3"/>
  <c r="AE434" i="3"/>
  <c r="AD434" i="3"/>
  <c r="AC434" i="3"/>
  <c r="AB434" i="3"/>
  <c r="AA434" i="3"/>
  <c r="Z434" i="3"/>
  <c r="Y434" i="3"/>
  <c r="W434" i="3"/>
  <c r="V434" i="3"/>
  <c r="U434" i="3"/>
  <c r="T434" i="3"/>
  <c r="S434" i="3"/>
  <c r="R434" i="3"/>
  <c r="Q434" i="3"/>
  <c r="P434" i="3"/>
  <c r="O434" i="3"/>
  <c r="N434" i="3"/>
  <c r="M434" i="3"/>
  <c r="J434" i="3"/>
  <c r="AU433" i="3"/>
  <c r="AT433" i="3"/>
  <c r="AS433" i="3"/>
  <c r="AR433" i="3"/>
  <c r="AQ433" i="3"/>
  <c r="AP433" i="3"/>
  <c r="AO433" i="3"/>
  <c r="AN433" i="3"/>
  <c r="AM433" i="3"/>
  <c r="AL433" i="3"/>
  <c r="AK433" i="3"/>
  <c r="AI433" i="3"/>
  <c r="AH433" i="3"/>
  <c r="AG433" i="3"/>
  <c r="AF433" i="3"/>
  <c r="AE433" i="3"/>
  <c r="AD433" i="3"/>
  <c r="AC433" i="3"/>
  <c r="AB433" i="3"/>
  <c r="AA433" i="3"/>
  <c r="Z433" i="3"/>
  <c r="Y433" i="3"/>
  <c r="W433" i="3"/>
  <c r="V433" i="3"/>
  <c r="U433" i="3"/>
  <c r="T433" i="3"/>
  <c r="S433" i="3"/>
  <c r="R433" i="3"/>
  <c r="Q433" i="3"/>
  <c r="P433" i="3"/>
  <c r="O433" i="3"/>
  <c r="N433" i="3"/>
  <c r="M433" i="3"/>
  <c r="AU432" i="3"/>
  <c r="AT432" i="3"/>
  <c r="AS432" i="3"/>
  <c r="AR432" i="3"/>
  <c r="AQ432" i="3"/>
  <c r="AP432" i="3"/>
  <c r="AO432" i="3"/>
  <c r="AN432" i="3"/>
  <c r="AM432" i="3"/>
  <c r="AL432" i="3"/>
  <c r="AK432" i="3"/>
  <c r="AI432" i="3"/>
  <c r="AH432" i="3"/>
  <c r="AG432" i="3"/>
  <c r="AF432" i="3"/>
  <c r="AE432" i="3"/>
  <c r="AD432" i="3"/>
  <c r="AC432" i="3"/>
  <c r="AB432" i="3"/>
  <c r="AA432" i="3"/>
  <c r="Z432" i="3"/>
  <c r="Y432" i="3"/>
  <c r="W432" i="3"/>
  <c r="V432" i="3"/>
  <c r="U432" i="3"/>
  <c r="T432" i="3"/>
  <c r="S432" i="3"/>
  <c r="R432" i="3"/>
  <c r="Q432" i="3"/>
  <c r="P432" i="3"/>
  <c r="O432" i="3"/>
  <c r="N432" i="3"/>
  <c r="M432" i="3"/>
  <c r="J432" i="3"/>
  <c r="AU431" i="3"/>
  <c r="AT431" i="3"/>
  <c r="AS431" i="3"/>
  <c r="AR431" i="3"/>
  <c r="AQ431" i="3"/>
  <c r="AP431" i="3"/>
  <c r="AO431" i="3"/>
  <c r="AN431" i="3"/>
  <c r="AM431" i="3"/>
  <c r="AL431" i="3"/>
  <c r="AK431" i="3"/>
  <c r="AI431" i="3"/>
  <c r="AH431" i="3"/>
  <c r="AG431" i="3"/>
  <c r="AF431" i="3"/>
  <c r="AE431" i="3"/>
  <c r="AD431" i="3"/>
  <c r="AC431" i="3"/>
  <c r="AB431" i="3"/>
  <c r="AA431" i="3"/>
  <c r="Z431" i="3"/>
  <c r="Y431" i="3"/>
  <c r="W431" i="3"/>
  <c r="V431" i="3"/>
  <c r="U431" i="3"/>
  <c r="T431" i="3"/>
  <c r="S431" i="3"/>
  <c r="R431" i="3"/>
  <c r="Q431" i="3"/>
  <c r="P431" i="3"/>
  <c r="O431" i="3"/>
  <c r="N431" i="3"/>
  <c r="M431" i="3"/>
  <c r="I431" i="3"/>
  <c r="AU430" i="3"/>
  <c r="AT430" i="3"/>
  <c r="AS430" i="3"/>
  <c r="AR430" i="3"/>
  <c r="AQ430" i="3"/>
  <c r="AP430" i="3"/>
  <c r="AO430" i="3"/>
  <c r="AN430" i="3"/>
  <c r="AM430" i="3"/>
  <c r="AL430" i="3"/>
  <c r="AK430" i="3"/>
  <c r="AI430" i="3"/>
  <c r="AH430" i="3"/>
  <c r="AG430" i="3"/>
  <c r="AF430" i="3"/>
  <c r="AE430" i="3"/>
  <c r="AD430" i="3"/>
  <c r="AC430" i="3"/>
  <c r="AB430" i="3"/>
  <c r="AA430" i="3"/>
  <c r="Z430" i="3"/>
  <c r="Y430" i="3"/>
  <c r="W430" i="3"/>
  <c r="V430" i="3"/>
  <c r="U430" i="3"/>
  <c r="T430" i="3"/>
  <c r="S430" i="3"/>
  <c r="R430" i="3"/>
  <c r="Q430" i="3"/>
  <c r="P430" i="3"/>
  <c r="O430" i="3"/>
  <c r="N430" i="3"/>
  <c r="M430" i="3"/>
  <c r="AU429" i="3"/>
  <c r="AT429" i="3"/>
  <c r="AS429" i="3"/>
  <c r="AR429" i="3"/>
  <c r="AQ429" i="3"/>
  <c r="AP429" i="3"/>
  <c r="AO429" i="3"/>
  <c r="AN429" i="3"/>
  <c r="AM429" i="3"/>
  <c r="AL429" i="3"/>
  <c r="AK429" i="3"/>
  <c r="AI429" i="3"/>
  <c r="AH429" i="3"/>
  <c r="AG429" i="3"/>
  <c r="AF429" i="3"/>
  <c r="AE429" i="3"/>
  <c r="AD429" i="3"/>
  <c r="AC429" i="3"/>
  <c r="AB429" i="3"/>
  <c r="AA429" i="3"/>
  <c r="Z429" i="3"/>
  <c r="Y429" i="3"/>
  <c r="W429" i="3"/>
  <c r="V429" i="3"/>
  <c r="U429" i="3"/>
  <c r="T429" i="3"/>
  <c r="S429" i="3"/>
  <c r="R429" i="3"/>
  <c r="Q429" i="3"/>
  <c r="P429" i="3"/>
  <c r="O429" i="3"/>
  <c r="N429" i="3"/>
  <c r="M429" i="3"/>
  <c r="AU428" i="3"/>
  <c r="AT428" i="3"/>
  <c r="AS428" i="3"/>
  <c r="AR428" i="3"/>
  <c r="AQ428" i="3"/>
  <c r="AP428" i="3"/>
  <c r="AO428" i="3"/>
  <c r="AN428" i="3"/>
  <c r="AM428" i="3"/>
  <c r="AL428" i="3"/>
  <c r="AK428" i="3"/>
  <c r="AI428" i="3"/>
  <c r="AH428" i="3"/>
  <c r="AG428" i="3"/>
  <c r="AF428" i="3"/>
  <c r="AE428" i="3"/>
  <c r="AD428" i="3"/>
  <c r="AC428" i="3"/>
  <c r="AB428" i="3"/>
  <c r="AA428" i="3"/>
  <c r="Z428" i="3"/>
  <c r="Y428" i="3"/>
  <c r="W428" i="3"/>
  <c r="V428" i="3"/>
  <c r="U428" i="3"/>
  <c r="T428" i="3"/>
  <c r="S428" i="3"/>
  <c r="R428" i="3"/>
  <c r="Q428" i="3"/>
  <c r="P428" i="3"/>
  <c r="O428" i="3"/>
  <c r="N428" i="3"/>
  <c r="M428" i="3"/>
  <c r="AU427" i="3"/>
  <c r="AT427" i="3"/>
  <c r="AS427" i="3"/>
  <c r="AR427" i="3"/>
  <c r="AQ427" i="3"/>
  <c r="AP427" i="3"/>
  <c r="AO427" i="3"/>
  <c r="AN427" i="3"/>
  <c r="AM427" i="3"/>
  <c r="AL427" i="3"/>
  <c r="AK427" i="3"/>
  <c r="AI427" i="3"/>
  <c r="AH427" i="3"/>
  <c r="AG427" i="3"/>
  <c r="AF427" i="3"/>
  <c r="AE427" i="3"/>
  <c r="AD427" i="3"/>
  <c r="AC427" i="3"/>
  <c r="AB427" i="3"/>
  <c r="AA427" i="3"/>
  <c r="Z427" i="3"/>
  <c r="Y427" i="3"/>
  <c r="W427" i="3"/>
  <c r="V427" i="3"/>
  <c r="U427" i="3"/>
  <c r="T427" i="3"/>
  <c r="S427" i="3"/>
  <c r="R427" i="3"/>
  <c r="Q427" i="3"/>
  <c r="P427" i="3"/>
  <c r="O427" i="3"/>
  <c r="N427" i="3"/>
  <c r="M427" i="3"/>
  <c r="AU426" i="3"/>
  <c r="AT426" i="3"/>
  <c r="AS426" i="3"/>
  <c r="AR426" i="3"/>
  <c r="AQ426" i="3"/>
  <c r="AP426" i="3"/>
  <c r="AO426" i="3"/>
  <c r="AN426" i="3"/>
  <c r="AM426" i="3"/>
  <c r="AL426" i="3"/>
  <c r="AK426" i="3"/>
  <c r="AI426" i="3"/>
  <c r="AH426" i="3"/>
  <c r="AG426" i="3"/>
  <c r="AF426" i="3"/>
  <c r="AE426" i="3"/>
  <c r="AD426" i="3"/>
  <c r="AC426" i="3"/>
  <c r="AB426" i="3"/>
  <c r="AA426" i="3"/>
  <c r="Z426" i="3"/>
  <c r="Y426" i="3"/>
  <c r="W426" i="3"/>
  <c r="V426" i="3"/>
  <c r="U426" i="3"/>
  <c r="T426" i="3"/>
  <c r="S426" i="3"/>
  <c r="R426" i="3"/>
  <c r="Q426" i="3"/>
  <c r="P426" i="3"/>
  <c r="O426" i="3"/>
  <c r="N426" i="3"/>
  <c r="M426" i="3"/>
  <c r="J426" i="3"/>
  <c r="AU425" i="3"/>
  <c r="AT425" i="3"/>
  <c r="AS425" i="3"/>
  <c r="AR425" i="3"/>
  <c r="AQ425" i="3"/>
  <c r="AP425" i="3"/>
  <c r="AO425" i="3"/>
  <c r="AN425" i="3"/>
  <c r="AM425" i="3"/>
  <c r="AL425" i="3"/>
  <c r="AK425" i="3"/>
  <c r="AI425" i="3"/>
  <c r="AH425" i="3"/>
  <c r="AG425" i="3"/>
  <c r="AF425" i="3"/>
  <c r="AE425" i="3"/>
  <c r="AD425" i="3"/>
  <c r="AC425" i="3"/>
  <c r="AB425" i="3"/>
  <c r="AA425" i="3"/>
  <c r="Z425" i="3"/>
  <c r="Y425" i="3"/>
  <c r="W425" i="3"/>
  <c r="V425" i="3"/>
  <c r="U425" i="3"/>
  <c r="T425" i="3"/>
  <c r="S425" i="3"/>
  <c r="R425" i="3"/>
  <c r="Q425" i="3"/>
  <c r="P425" i="3"/>
  <c r="O425" i="3"/>
  <c r="N425" i="3"/>
  <c r="M425" i="3"/>
  <c r="J425" i="3"/>
  <c r="I425" i="3"/>
  <c r="AU424" i="3"/>
  <c r="AT424" i="3"/>
  <c r="AS424" i="3"/>
  <c r="AR424" i="3"/>
  <c r="AQ424" i="3"/>
  <c r="AP424" i="3"/>
  <c r="AO424" i="3"/>
  <c r="AN424" i="3"/>
  <c r="AM424" i="3"/>
  <c r="AL424" i="3"/>
  <c r="AK424" i="3"/>
  <c r="AI424" i="3"/>
  <c r="AH424" i="3"/>
  <c r="AG424" i="3"/>
  <c r="AF424" i="3"/>
  <c r="AE424" i="3"/>
  <c r="AD424" i="3"/>
  <c r="AC424" i="3"/>
  <c r="AB424" i="3"/>
  <c r="AA424" i="3"/>
  <c r="Z424" i="3"/>
  <c r="Y424" i="3"/>
  <c r="W424" i="3"/>
  <c r="V424" i="3"/>
  <c r="U424" i="3"/>
  <c r="T424" i="3"/>
  <c r="S424" i="3"/>
  <c r="R424" i="3"/>
  <c r="Q424" i="3"/>
  <c r="P424" i="3"/>
  <c r="O424" i="3"/>
  <c r="N424" i="3"/>
  <c r="M424" i="3"/>
  <c r="AU423" i="3"/>
  <c r="AT423" i="3"/>
  <c r="AS423" i="3"/>
  <c r="AR423" i="3"/>
  <c r="AQ423" i="3"/>
  <c r="AP423" i="3"/>
  <c r="AO423" i="3"/>
  <c r="AN423" i="3"/>
  <c r="AM423" i="3"/>
  <c r="AL423" i="3"/>
  <c r="AK423" i="3"/>
  <c r="AI423" i="3"/>
  <c r="AH423" i="3"/>
  <c r="AG423" i="3"/>
  <c r="AF423" i="3"/>
  <c r="AE423" i="3"/>
  <c r="AD423" i="3"/>
  <c r="AC423" i="3"/>
  <c r="AB423" i="3"/>
  <c r="AA423" i="3"/>
  <c r="Z423" i="3"/>
  <c r="Y423" i="3"/>
  <c r="W423" i="3"/>
  <c r="V423" i="3"/>
  <c r="U423" i="3"/>
  <c r="T423" i="3"/>
  <c r="S423" i="3"/>
  <c r="R423" i="3"/>
  <c r="Q423" i="3"/>
  <c r="P423" i="3"/>
  <c r="O423" i="3"/>
  <c r="N423" i="3"/>
  <c r="M423" i="3"/>
  <c r="AU422" i="3"/>
  <c r="AT422" i="3"/>
  <c r="AS422" i="3"/>
  <c r="AR422" i="3"/>
  <c r="AQ422" i="3"/>
  <c r="AP422" i="3"/>
  <c r="AO422" i="3"/>
  <c r="AN422" i="3"/>
  <c r="AM422" i="3"/>
  <c r="AL422" i="3"/>
  <c r="AK422" i="3"/>
  <c r="AI422" i="3"/>
  <c r="AH422" i="3"/>
  <c r="AG422" i="3"/>
  <c r="AF422" i="3"/>
  <c r="AE422" i="3"/>
  <c r="AD422" i="3"/>
  <c r="AC422" i="3"/>
  <c r="AB422" i="3"/>
  <c r="AA422" i="3"/>
  <c r="Z422" i="3"/>
  <c r="Y422" i="3"/>
  <c r="W422" i="3"/>
  <c r="V422" i="3"/>
  <c r="U422" i="3"/>
  <c r="T422" i="3"/>
  <c r="S422" i="3"/>
  <c r="R422" i="3"/>
  <c r="Q422" i="3"/>
  <c r="P422" i="3"/>
  <c r="O422" i="3"/>
  <c r="N422" i="3"/>
  <c r="M422" i="3"/>
  <c r="J422" i="3"/>
  <c r="AU421" i="3"/>
  <c r="AT421" i="3"/>
  <c r="AS421" i="3"/>
  <c r="AR421" i="3"/>
  <c r="AQ421" i="3"/>
  <c r="AP421" i="3"/>
  <c r="AO421" i="3"/>
  <c r="AN421" i="3"/>
  <c r="AM421" i="3"/>
  <c r="AL421" i="3"/>
  <c r="AK421" i="3"/>
  <c r="AI421" i="3"/>
  <c r="AH421" i="3"/>
  <c r="AG421" i="3"/>
  <c r="AF421" i="3"/>
  <c r="AE421" i="3"/>
  <c r="AD421" i="3"/>
  <c r="AC421" i="3"/>
  <c r="AB421" i="3"/>
  <c r="AA421" i="3"/>
  <c r="Z421" i="3"/>
  <c r="Y421" i="3"/>
  <c r="W421" i="3"/>
  <c r="V421" i="3"/>
  <c r="U421" i="3"/>
  <c r="T421" i="3"/>
  <c r="S421" i="3"/>
  <c r="R421" i="3"/>
  <c r="Q421" i="3"/>
  <c r="P421" i="3"/>
  <c r="O421" i="3"/>
  <c r="N421" i="3"/>
  <c r="M421" i="3"/>
  <c r="J421" i="3"/>
  <c r="AU420" i="3"/>
  <c r="AT420" i="3"/>
  <c r="AS420" i="3"/>
  <c r="AR420" i="3"/>
  <c r="AQ420" i="3"/>
  <c r="AP420" i="3"/>
  <c r="AO420" i="3"/>
  <c r="AN420" i="3"/>
  <c r="AM420" i="3"/>
  <c r="AL420" i="3"/>
  <c r="AK420" i="3"/>
  <c r="AI420" i="3"/>
  <c r="AH420" i="3"/>
  <c r="AG420" i="3"/>
  <c r="AF420" i="3"/>
  <c r="AE420" i="3"/>
  <c r="AD420" i="3"/>
  <c r="AC420" i="3"/>
  <c r="AB420" i="3"/>
  <c r="AA420" i="3"/>
  <c r="Z420" i="3"/>
  <c r="Y420" i="3"/>
  <c r="W420" i="3"/>
  <c r="V420" i="3"/>
  <c r="U420" i="3"/>
  <c r="T420" i="3"/>
  <c r="S420" i="3"/>
  <c r="R420" i="3"/>
  <c r="Q420" i="3"/>
  <c r="P420" i="3"/>
  <c r="O420" i="3"/>
  <c r="N420" i="3"/>
  <c r="M420" i="3"/>
  <c r="J420" i="3"/>
  <c r="AU419" i="3"/>
  <c r="AT419" i="3"/>
  <c r="AS419" i="3"/>
  <c r="AR419" i="3"/>
  <c r="AQ419" i="3"/>
  <c r="AP419" i="3"/>
  <c r="AO419" i="3"/>
  <c r="AN419" i="3"/>
  <c r="AM419" i="3"/>
  <c r="AL419" i="3"/>
  <c r="AK419" i="3"/>
  <c r="AI419" i="3"/>
  <c r="AH419" i="3"/>
  <c r="AG419" i="3"/>
  <c r="AF419" i="3"/>
  <c r="AE419" i="3"/>
  <c r="AD419" i="3"/>
  <c r="AC419" i="3"/>
  <c r="AB419" i="3"/>
  <c r="AA419" i="3"/>
  <c r="Z419" i="3"/>
  <c r="Y419" i="3"/>
  <c r="W419" i="3"/>
  <c r="V419" i="3"/>
  <c r="U419" i="3"/>
  <c r="T419" i="3"/>
  <c r="S419" i="3"/>
  <c r="R419" i="3"/>
  <c r="Q419" i="3"/>
  <c r="P419" i="3"/>
  <c r="O419" i="3"/>
  <c r="N419" i="3"/>
  <c r="M419" i="3"/>
  <c r="I419" i="3"/>
  <c r="AU418" i="3"/>
  <c r="AT418" i="3"/>
  <c r="AS418" i="3"/>
  <c r="AR418" i="3"/>
  <c r="AQ418" i="3"/>
  <c r="AP418" i="3"/>
  <c r="AO418" i="3"/>
  <c r="AN418" i="3"/>
  <c r="AM418" i="3"/>
  <c r="AL418" i="3"/>
  <c r="AK418" i="3"/>
  <c r="AI418" i="3"/>
  <c r="AH418" i="3"/>
  <c r="AG418" i="3"/>
  <c r="AF418" i="3"/>
  <c r="AE418" i="3"/>
  <c r="AD418" i="3"/>
  <c r="AC418" i="3"/>
  <c r="AB418" i="3"/>
  <c r="AA418" i="3"/>
  <c r="Z418" i="3"/>
  <c r="Y418" i="3"/>
  <c r="W418" i="3"/>
  <c r="V418" i="3"/>
  <c r="U418" i="3"/>
  <c r="T418" i="3"/>
  <c r="S418" i="3"/>
  <c r="R418" i="3"/>
  <c r="Q418" i="3"/>
  <c r="P418" i="3"/>
  <c r="O418" i="3"/>
  <c r="N418" i="3"/>
  <c r="M418" i="3"/>
  <c r="AU417" i="3"/>
  <c r="AT417" i="3"/>
  <c r="AS417" i="3"/>
  <c r="AR417" i="3"/>
  <c r="AQ417" i="3"/>
  <c r="AP417" i="3"/>
  <c r="AO417" i="3"/>
  <c r="AN417" i="3"/>
  <c r="AM417" i="3"/>
  <c r="AL417" i="3"/>
  <c r="AK417" i="3"/>
  <c r="AI417" i="3"/>
  <c r="AH417" i="3"/>
  <c r="AG417" i="3"/>
  <c r="AF417" i="3"/>
  <c r="AE417" i="3"/>
  <c r="AD417" i="3"/>
  <c r="AC417" i="3"/>
  <c r="AB417" i="3"/>
  <c r="AA417" i="3"/>
  <c r="Z417" i="3"/>
  <c r="Y417" i="3"/>
  <c r="W417" i="3"/>
  <c r="V417" i="3"/>
  <c r="U417" i="3"/>
  <c r="T417" i="3"/>
  <c r="S417" i="3"/>
  <c r="R417" i="3"/>
  <c r="Q417" i="3"/>
  <c r="P417" i="3"/>
  <c r="O417" i="3"/>
  <c r="N417" i="3"/>
  <c r="M417" i="3"/>
  <c r="AU416" i="3"/>
  <c r="AT416" i="3"/>
  <c r="AS416" i="3"/>
  <c r="AR416" i="3"/>
  <c r="AQ416" i="3"/>
  <c r="AP416" i="3"/>
  <c r="AO416" i="3"/>
  <c r="AN416" i="3"/>
  <c r="AM416" i="3"/>
  <c r="AL416" i="3"/>
  <c r="AK416" i="3"/>
  <c r="AI416" i="3"/>
  <c r="AH416" i="3"/>
  <c r="AG416" i="3"/>
  <c r="AF416" i="3"/>
  <c r="AE416" i="3"/>
  <c r="AD416" i="3"/>
  <c r="AC416" i="3"/>
  <c r="AB416" i="3"/>
  <c r="AA416" i="3"/>
  <c r="Z416" i="3"/>
  <c r="Y416" i="3"/>
  <c r="W416" i="3"/>
  <c r="V416" i="3"/>
  <c r="U416" i="3"/>
  <c r="T416" i="3"/>
  <c r="S416" i="3"/>
  <c r="R416" i="3"/>
  <c r="Q416" i="3"/>
  <c r="P416" i="3"/>
  <c r="O416" i="3"/>
  <c r="N416" i="3"/>
  <c r="M416" i="3"/>
  <c r="AU415" i="3"/>
  <c r="AT415" i="3"/>
  <c r="AS415" i="3"/>
  <c r="AR415" i="3"/>
  <c r="AQ415" i="3"/>
  <c r="AP415" i="3"/>
  <c r="AO415" i="3"/>
  <c r="AN415" i="3"/>
  <c r="AM415" i="3"/>
  <c r="AL415" i="3"/>
  <c r="AK415" i="3"/>
  <c r="AI415" i="3"/>
  <c r="AH415" i="3"/>
  <c r="AG415" i="3"/>
  <c r="AF415" i="3"/>
  <c r="AE415" i="3"/>
  <c r="AD415" i="3"/>
  <c r="AC415" i="3"/>
  <c r="AB415" i="3"/>
  <c r="AA415" i="3"/>
  <c r="Z415" i="3"/>
  <c r="Y415" i="3"/>
  <c r="W415" i="3"/>
  <c r="V415" i="3"/>
  <c r="U415" i="3"/>
  <c r="T415" i="3"/>
  <c r="S415" i="3"/>
  <c r="R415" i="3"/>
  <c r="Q415" i="3"/>
  <c r="P415" i="3"/>
  <c r="O415" i="3"/>
  <c r="N415" i="3"/>
  <c r="M415" i="3"/>
  <c r="AU414" i="3"/>
  <c r="AT414" i="3"/>
  <c r="AS414" i="3"/>
  <c r="AR414" i="3"/>
  <c r="AQ414" i="3"/>
  <c r="AP414" i="3"/>
  <c r="AO414" i="3"/>
  <c r="AN414" i="3"/>
  <c r="AM414" i="3"/>
  <c r="AL414" i="3"/>
  <c r="AK414" i="3"/>
  <c r="AI414" i="3"/>
  <c r="AH414" i="3"/>
  <c r="AG414" i="3"/>
  <c r="AF414" i="3"/>
  <c r="AE414" i="3"/>
  <c r="AD414" i="3"/>
  <c r="AC414" i="3"/>
  <c r="AB414" i="3"/>
  <c r="AA414" i="3"/>
  <c r="Z414" i="3"/>
  <c r="Y414" i="3"/>
  <c r="W414" i="3"/>
  <c r="V414" i="3"/>
  <c r="U414" i="3"/>
  <c r="T414" i="3"/>
  <c r="S414" i="3"/>
  <c r="R414" i="3"/>
  <c r="Q414" i="3"/>
  <c r="P414" i="3"/>
  <c r="O414" i="3"/>
  <c r="N414" i="3"/>
  <c r="M414" i="3"/>
  <c r="J414" i="3"/>
  <c r="AU413" i="3"/>
  <c r="AT413" i="3"/>
  <c r="AS413" i="3"/>
  <c r="AR413" i="3"/>
  <c r="AQ413" i="3"/>
  <c r="AP413" i="3"/>
  <c r="AO413" i="3"/>
  <c r="AN413" i="3"/>
  <c r="AM413" i="3"/>
  <c r="AL413" i="3"/>
  <c r="AK413" i="3"/>
  <c r="AI413" i="3"/>
  <c r="AH413" i="3"/>
  <c r="AG413" i="3"/>
  <c r="AF413" i="3"/>
  <c r="AE413" i="3"/>
  <c r="AD413" i="3"/>
  <c r="AC413" i="3"/>
  <c r="AB413" i="3"/>
  <c r="AA413" i="3"/>
  <c r="Z413" i="3"/>
  <c r="Y413" i="3"/>
  <c r="W413" i="3"/>
  <c r="V413" i="3"/>
  <c r="U413" i="3"/>
  <c r="T413" i="3"/>
  <c r="S413" i="3"/>
  <c r="R413" i="3"/>
  <c r="Q413" i="3"/>
  <c r="P413" i="3"/>
  <c r="O413" i="3"/>
  <c r="N413" i="3"/>
  <c r="M413" i="3"/>
  <c r="J413" i="3"/>
  <c r="I413" i="3"/>
  <c r="AU412" i="3"/>
  <c r="AT412" i="3"/>
  <c r="AS412" i="3"/>
  <c r="AR412" i="3"/>
  <c r="AQ412" i="3"/>
  <c r="AP412" i="3"/>
  <c r="AO412" i="3"/>
  <c r="AN412" i="3"/>
  <c r="AM412" i="3"/>
  <c r="AL412" i="3"/>
  <c r="AK412" i="3"/>
  <c r="AI412" i="3"/>
  <c r="AH412" i="3"/>
  <c r="AG412" i="3"/>
  <c r="AF412" i="3"/>
  <c r="AE412" i="3"/>
  <c r="AD412" i="3"/>
  <c r="AC412" i="3"/>
  <c r="AB412" i="3"/>
  <c r="AA412" i="3"/>
  <c r="Z412" i="3"/>
  <c r="Y412" i="3"/>
  <c r="W412" i="3"/>
  <c r="V412" i="3"/>
  <c r="U412" i="3"/>
  <c r="T412" i="3"/>
  <c r="S412" i="3"/>
  <c r="R412" i="3"/>
  <c r="Q412" i="3"/>
  <c r="P412" i="3"/>
  <c r="O412" i="3"/>
  <c r="N412" i="3"/>
  <c r="M412" i="3"/>
  <c r="AU411" i="3"/>
  <c r="AT411" i="3"/>
  <c r="AS411" i="3"/>
  <c r="AR411" i="3"/>
  <c r="AQ411" i="3"/>
  <c r="AP411" i="3"/>
  <c r="AO411" i="3"/>
  <c r="AN411" i="3"/>
  <c r="AM411" i="3"/>
  <c r="AL411" i="3"/>
  <c r="AK411" i="3"/>
  <c r="AI411" i="3"/>
  <c r="AH411" i="3"/>
  <c r="AG411" i="3"/>
  <c r="AF411" i="3"/>
  <c r="AE411" i="3"/>
  <c r="AD411" i="3"/>
  <c r="AC411" i="3"/>
  <c r="AB411" i="3"/>
  <c r="AA411" i="3"/>
  <c r="Z411" i="3"/>
  <c r="Y411" i="3"/>
  <c r="W411" i="3"/>
  <c r="V411" i="3"/>
  <c r="U411" i="3"/>
  <c r="T411" i="3"/>
  <c r="S411" i="3"/>
  <c r="R411" i="3"/>
  <c r="Q411" i="3"/>
  <c r="P411" i="3"/>
  <c r="O411" i="3"/>
  <c r="N411" i="3"/>
  <c r="M411" i="3"/>
  <c r="AU410" i="3"/>
  <c r="AT410" i="3"/>
  <c r="AS410" i="3"/>
  <c r="AR410" i="3"/>
  <c r="AQ410" i="3"/>
  <c r="AP410" i="3"/>
  <c r="AO410" i="3"/>
  <c r="AN410" i="3"/>
  <c r="AM410" i="3"/>
  <c r="AL410" i="3"/>
  <c r="AK410" i="3"/>
  <c r="AI410" i="3"/>
  <c r="AH410" i="3"/>
  <c r="AG410" i="3"/>
  <c r="AF410" i="3"/>
  <c r="AE410" i="3"/>
  <c r="AD410" i="3"/>
  <c r="AC410" i="3"/>
  <c r="AB410" i="3"/>
  <c r="AA410" i="3"/>
  <c r="Z410" i="3"/>
  <c r="Y410" i="3"/>
  <c r="W410" i="3"/>
  <c r="V410" i="3"/>
  <c r="U410" i="3"/>
  <c r="T410" i="3"/>
  <c r="S410" i="3"/>
  <c r="R410" i="3"/>
  <c r="Q410" i="3"/>
  <c r="P410" i="3"/>
  <c r="O410" i="3"/>
  <c r="N410" i="3"/>
  <c r="M410" i="3"/>
  <c r="J410" i="3"/>
  <c r="AU409" i="3"/>
  <c r="AT409" i="3"/>
  <c r="AS409" i="3"/>
  <c r="AR409" i="3"/>
  <c r="AQ409" i="3"/>
  <c r="AP409" i="3"/>
  <c r="AO409" i="3"/>
  <c r="AN409" i="3"/>
  <c r="AM409" i="3"/>
  <c r="AL409" i="3"/>
  <c r="AK409" i="3"/>
  <c r="AI409" i="3"/>
  <c r="AH409" i="3"/>
  <c r="AG409" i="3"/>
  <c r="AF409" i="3"/>
  <c r="AE409" i="3"/>
  <c r="AD409" i="3"/>
  <c r="AC409" i="3"/>
  <c r="AB409" i="3"/>
  <c r="AA409" i="3"/>
  <c r="Z409" i="3"/>
  <c r="Y409" i="3"/>
  <c r="W409" i="3"/>
  <c r="V409" i="3"/>
  <c r="U409" i="3"/>
  <c r="T409" i="3"/>
  <c r="S409" i="3"/>
  <c r="R409" i="3"/>
  <c r="Q409" i="3"/>
  <c r="P409" i="3"/>
  <c r="O409" i="3"/>
  <c r="N409" i="3"/>
  <c r="M409" i="3"/>
  <c r="J409" i="3"/>
  <c r="AU408" i="3"/>
  <c r="AT408" i="3"/>
  <c r="AS408" i="3"/>
  <c r="AR408" i="3"/>
  <c r="AQ408" i="3"/>
  <c r="AP408" i="3"/>
  <c r="AO408" i="3"/>
  <c r="AN408" i="3"/>
  <c r="AM408" i="3"/>
  <c r="AL408" i="3"/>
  <c r="AK408" i="3"/>
  <c r="AI408" i="3"/>
  <c r="AH408" i="3"/>
  <c r="AG408" i="3"/>
  <c r="AF408" i="3"/>
  <c r="AE408" i="3"/>
  <c r="AD408" i="3"/>
  <c r="AC408" i="3"/>
  <c r="AB408" i="3"/>
  <c r="AA408" i="3"/>
  <c r="Z408" i="3"/>
  <c r="Y408" i="3"/>
  <c r="W408" i="3"/>
  <c r="V408" i="3"/>
  <c r="U408" i="3"/>
  <c r="T408" i="3"/>
  <c r="S408" i="3"/>
  <c r="R408" i="3"/>
  <c r="Q408" i="3"/>
  <c r="P408" i="3"/>
  <c r="O408" i="3"/>
  <c r="N408" i="3"/>
  <c r="M408" i="3"/>
  <c r="J408" i="3"/>
  <c r="AU407" i="3"/>
  <c r="AT407" i="3"/>
  <c r="AS407" i="3"/>
  <c r="AR407" i="3"/>
  <c r="AQ407" i="3"/>
  <c r="AP407" i="3"/>
  <c r="AO407" i="3"/>
  <c r="AN407" i="3"/>
  <c r="AM407" i="3"/>
  <c r="AL407" i="3"/>
  <c r="AK407" i="3"/>
  <c r="AI407" i="3"/>
  <c r="AH407" i="3"/>
  <c r="AG407" i="3"/>
  <c r="AF407" i="3"/>
  <c r="AE407" i="3"/>
  <c r="AD407" i="3"/>
  <c r="AC407" i="3"/>
  <c r="AB407" i="3"/>
  <c r="AA407" i="3"/>
  <c r="Z407" i="3"/>
  <c r="Y407" i="3"/>
  <c r="W407" i="3"/>
  <c r="V407" i="3"/>
  <c r="U407" i="3"/>
  <c r="T407" i="3"/>
  <c r="S407" i="3"/>
  <c r="R407" i="3"/>
  <c r="Q407" i="3"/>
  <c r="P407" i="3"/>
  <c r="O407" i="3"/>
  <c r="N407" i="3"/>
  <c r="M407" i="3"/>
  <c r="I407" i="3"/>
  <c r="AU406" i="3"/>
  <c r="AT406" i="3"/>
  <c r="AS406" i="3"/>
  <c r="AR406" i="3"/>
  <c r="AQ406" i="3"/>
  <c r="AP406" i="3"/>
  <c r="AO406" i="3"/>
  <c r="AN406" i="3"/>
  <c r="AM406" i="3"/>
  <c r="AL406" i="3"/>
  <c r="AK406" i="3"/>
  <c r="AI406" i="3"/>
  <c r="AH406" i="3"/>
  <c r="AG406" i="3"/>
  <c r="AF406" i="3"/>
  <c r="AE406" i="3"/>
  <c r="AD406" i="3"/>
  <c r="AC406" i="3"/>
  <c r="AB406" i="3"/>
  <c r="AA406" i="3"/>
  <c r="Z406" i="3"/>
  <c r="Y406" i="3"/>
  <c r="W406" i="3"/>
  <c r="V406" i="3"/>
  <c r="U406" i="3"/>
  <c r="T406" i="3"/>
  <c r="S406" i="3"/>
  <c r="R406" i="3"/>
  <c r="Q406" i="3"/>
  <c r="P406" i="3"/>
  <c r="O406" i="3"/>
  <c r="N406" i="3"/>
  <c r="M406" i="3"/>
  <c r="AU405" i="3"/>
  <c r="AT405" i="3"/>
  <c r="AS405" i="3"/>
  <c r="AR405" i="3"/>
  <c r="AQ405" i="3"/>
  <c r="AP405" i="3"/>
  <c r="AO405" i="3"/>
  <c r="AN405" i="3"/>
  <c r="AM405" i="3"/>
  <c r="AL405" i="3"/>
  <c r="AK405" i="3"/>
  <c r="AI405" i="3"/>
  <c r="AH405" i="3"/>
  <c r="AG405" i="3"/>
  <c r="AF405" i="3"/>
  <c r="AE405" i="3"/>
  <c r="AD405" i="3"/>
  <c r="AC405" i="3"/>
  <c r="AB405" i="3"/>
  <c r="AA405" i="3"/>
  <c r="Z405" i="3"/>
  <c r="Y405" i="3"/>
  <c r="W405" i="3"/>
  <c r="V405" i="3"/>
  <c r="U405" i="3"/>
  <c r="T405" i="3"/>
  <c r="S405" i="3"/>
  <c r="R405" i="3"/>
  <c r="Q405" i="3"/>
  <c r="P405" i="3"/>
  <c r="O405" i="3"/>
  <c r="N405" i="3"/>
  <c r="M405" i="3"/>
  <c r="AU404" i="3"/>
  <c r="AT404" i="3"/>
  <c r="AS404" i="3"/>
  <c r="AR404" i="3"/>
  <c r="AQ404" i="3"/>
  <c r="AP404" i="3"/>
  <c r="AO404" i="3"/>
  <c r="AN404" i="3"/>
  <c r="AM404" i="3"/>
  <c r="AL404" i="3"/>
  <c r="AK404" i="3"/>
  <c r="AI404" i="3"/>
  <c r="AH404" i="3"/>
  <c r="AG404" i="3"/>
  <c r="AF404" i="3"/>
  <c r="AE404" i="3"/>
  <c r="AD404" i="3"/>
  <c r="AC404" i="3"/>
  <c r="AB404" i="3"/>
  <c r="AA404" i="3"/>
  <c r="Z404" i="3"/>
  <c r="Y404" i="3"/>
  <c r="W404" i="3"/>
  <c r="V404" i="3"/>
  <c r="U404" i="3"/>
  <c r="T404" i="3"/>
  <c r="S404" i="3"/>
  <c r="R404" i="3"/>
  <c r="Q404" i="3"/>
  <c r="P404" i="3"/>
  <c r="O404" i="3"/>
  <c r="N404" i="3"/>
  <c r="M404" i="3"/>
  <c r="AU403" i="3"/>
  <c r="AT403" i="3"/>
  <c r="AS403" i="3"/>
  <c r="AR403" i="3"/>
  <c r="AQ403" i="3"/>
  <c r="AP403" i="3"/>
  <c r="AO403" i="3"/>
  <c r="AN403" i="3"/>
  <c r="AM403" i="3"/>
  <c r="AL403" i="3"/>
  <c r="AK403" i="3"/>
  <c r="AI403" i="3"/>
  <c r="AH403" i="3"/>
  <c r="AG403" i="3"/>
  <c r="AF403" i="3"/>
  <c r="AE403" i="3"/>
  <c r="AD403" i="3"/>
  <c r="AC403" i="3"/>
  <c r="AB403" i="3"/>
  <c r="AA403" i="3"/>
  <c r="Z403" i="3"/>
  <c r="Y403" i="3"/>
  <c r="W403" i="3"/>
  <c r="V403" i="3"/>
  <c r="U403" i="3"/>
  <c r="T403" i="3"/>
  <c r="S403" i="3"/>
  <c r="R403" i="3"/>
  <c r="Q403" i="3"/>
  <c r="P403" i="3"/>
  <c r="O403" i="3"/>
  <c r="N403" i="3"/>
  <c r="M403" i="3"/>
  <c r="AU402" i="3"/>
  <c r="AT402" i="3"/>
  <c r="AS402" i="3"/>
  <c r="AR402" i="3"/>
  <c r="AQ402" i="3"/>
  <c r="AP402" i="3"/>
  <c r="AO402" i="3"/>
  <c r="AN402" i="3"/>
  <c r="AM402" i="3"/>
  <c r="AL402" i="3"/>
  <c r="AK402" i="3"/>
  <c r="AI402" i="3"/>
  <c r="AH402" i="3"/>
  <c r="AG402" i="3"/>
  <c r="AF402" i="3"/>
  <c r="AE402" i="3"/>
  <c r="AD402" i="3"/>
  <c r="AC402" i="3"/>
  <c r="AB402" i="3"/>
  <c r="AA402" i="3"/>
  <c r="Z402" i="3"/>
  <c r="Y402" i="3"/>
  <c r="W402" i="3"/>
  <c r="V402" i="3"/>
  <c r="U402" i="3"/>
  <c r="T402" i="3"/>
  <c r="S402" i="3"/>
  <c r="R402" i="3"/>
  <c r="Q402" i="3"/>
  <c r="P402" i="3"/>
  <c r="O402" i="3"/>
  <c r="N402" i="3"/>
  <c r="M402" i="3"/>
  <c r="J402" i="3"/>
  <c r="AU401" i="3"/>
  <c r="AT401" i="3"/>
  <c r="AS401" i="3"/>
  <c r="AR401" i="3"/>
  <c r="AQ401" i="3"/>
  <c r="AQ766" i="3" s="1" a="1"/>
  <c r="AQ766" i="3" s="1"/>
  <c r="AD771" i="3" s="1"/>
  <c r="AP401" i="3"/>
  <c r="AO401" i="3"/>
  <c r="AN401" i="3"/>
  <c r="AM401" i="3"/>
  <c r="AL401" i="3"/>
  <c r="AK401" i="3"/>
  <c r="AI401" i="3"/>
  <c r="AH401" i="3"/>
  <c r="AG401" i="3"/>
  <c r="AF401" i="3"/>
  <c r="AE401" i="3"/>
  <c r="AD401" i="3"/>
  <c r="AD766" i="3" s="1" a="1"/>
  <c r="AD766" i="3" s="1"/>
  <c r="AC401" i="3"/>
  <c r="AB401" i="3"/>
  <c r="AA401" i="3"/>
  <c r="Z401" i="3"/>
  <c r="Y401" i="3"/>
  <c r="W401" i="3"/>
  <c r="V401" i="3"/>
  <c r="U401" i="3"/>
  <c r="T401" i="3"/>
  <c r="S401" i="3"/>
  <c r="R401" i="3"/>
  <c r="Q401" i="3"/>
  <c r="Q766" i="3" s="1" a="1"/>
  <c r="Q766" i="3" s="1"/>
  <c r="O771" i="3" s="1"/>
  <c r="P401" i="3"/>
  <c r="O401" i="3"/>
  <c r="N401" i="3"/>
  <c r="M401" i="3"/>
  <c r="J401" i="3"/>
  <c r="I401" i="3"/>
  <c r="AU400" i="3"/>
  <c r="AT400" i="3"/>
  <c r="AS400" i="3"/>
  <c r="AR400" i="3"/>
  <c r="AQ400" i="3"/>
  <c r="AP400" i="3"/>
  <c r="AO400" i="3"/>
  <c r="AN400" i="3"/>
  <c r="AM400" i="3"/>
  <c r="AL400" i="3"/>
  <c r="AK400" i="3"/>
  <c r="AI400" i="3"/>
  <c r="AH400" i="3"/>
  <c r="AG400" i="3"/>
  <c r="AF400" i="3"/>
  <c r="AE400" i="3"/>
  <c r="AD400" i="3"/>
  <c r="AC400" i="3"/>
  <c r="AB400" i="3"/>
  <c r="AA400" i="3"/>
  <c r="Z400" i="3"/>
  <c r="Y400" i="3"/>
  <c r="W400" i="3"/>
  <c r="V400" i="3"/>
  <c r="U400" i="3"/>
  <c r="T400" i="3"/>
  <c r="S400" i="3"/>
  <c r="R400" i="3"/>
  <c r="Q400" i="3"/>
  <c r="P400" i="3"/>
  <c r="O400" i="3"/>
  <c r="N400" i="3"/>
  <c r="M400" i="3"/>
  <c r="AU399" i="3"/>
  <c r="AT399" i="3"/>
  <c r="AS399" i="3"/>
  <c r="AR399" i="3"/>
  <c r="AQ399" i="3"/>
  <c r="AP399" i="3"/>
  <c r="AO399" i="3"/>
  <c r="AN399" i="3"/>
  <c r="AM399" i="3"/>
  <c r="AL399" i="3"/>
  <c r="AK399" i="3"/>
  <c r="AI399" i="3"/>
  <c r="AH399" i="3"/>
  <c r="AG399" i="3"/>
  <c r="AF399" i="3"/>
  <c r="AE399" i="3"/>
  <c r="AD399" i="3"/>
  <c r="AC399" i="3"/>
  <c r="AB399" i="3"/>
  <c r="AA399" i="3"/>
  <c r="Z399" i="3"/>
  <c r="Y399" i="3"/>
  <c r="W399" i="3"/>
  <c r="V399" i="3"/>
  <c r="U399" i="3"/>
  <c r="T399" i="3"/>
  <c r="S399" i="3"/>
  <c r="R399" i="3"/>
  <c r="Q399" i="3"/>
  <c r="P399" i="3"/>
  <c r="O399" i="3"/>
  <c r="O766" i="3" s="1" a="1"/>
  <c r="O766" i="3" s="1"/>
  <c r="N771" i="3" s="1"/>
  <c r="N399" i="3"/>
  <c r="M399" i="3"/>
  <c r="AU398" i="3"/>
  <c r="AT398" i="3"/>
  <c r="AS398" i="3"/>
  <c r="AR398" i="3"/>
  <c r="AQ398" i="3"/>
  <c r="AP398" i="3"/>
  <c r="AO398" i="3"/>
  <c r="AN398" i="3"/>
  <c r="AM398" i="3"/>
  <c r="AL398" i="3"/>
  <c r="AK398" i="3"/>
  <c r="AI398" i="3"/>
  <c r="AH398" i="3"/>
  <c r="AG398" i="3"/>
  <c r="AF398" i="3"/>
  <c r="AE398" i="3"/>
  <c r="AD398" i="3"/>
  <c r="AC398" i="3"/>
  <c r="AB398" i="3"/>
  <c r="AA398" i="3"/>
  <c r="Z398" i="3"/>
  <c r="Y398" i="3"/>
  <c r="W398" i="3"/>
  <c r="V398" i="3"/>
  <c r="U398" i="3"/>
  <c r="T398" i="3"/>
  <c r="S398" i="3"/>
  <c r="R398" i="3"/>
  <c r="Q398" i="3"/>
  <c r="P398" i="3"/>
  <c r="O398" i="3"/>
  <c r="N398" i="3"/>
  <c r="M398" i="3"/>
  <c r="J398" i="3"/>
  <c r="AU397" i="3"/>
  <c r="AT397" i="3"/>
  <c r="AS397" i="3"/>
  <c r="AR397" i="3"/>
  <c r="AQ397" i="3"/>
  <c r="AP397" i="3"/>
  <c r="AO397" i="3"/>
  <c r="AN397" i="3"/>
  <c r="AM397" i="3"/>
  <c r="AL397" i="3"/>
  <c r="AK397" i="3"/>
  <c r="AI397" i="3"/>
  <c r="AH397" i="3"/>
  <c r="AG397" i="3"/>
  <c r="AF397" i="3"/>
  <c r="AE397" i="3"/>
  <c r="AD397" i="3"/>
  <c r="AC397" i="3"/>
  <c r="AB397" i="3"/>
  <c r="AA397" i="3"/>
  <c r="Z397" i="3"/>
  <c r="Y397" i="3"/>
  <c r="W397" i="3"/>
  <c r="V397" i="3"/>
  <c r="U397" i="3"/>
  <c r="T397" i="3"/>
  <c r="S397" i="3"/>
  <c r="R397" i="3"/>
  <c r="Q397" i="3"/>
  <c r="P397" i="3"/>
  <c r="O397" i="3"/>
  <c r="N397" i="3"/>
  <c r="M397" i="3"/>
  <c r="J397" i="3"/>
  <c r="AU396" i="3"/>
  <c r="AT396" i="3"/>
  <c r="AS396" i="3"/>
  <c r="AR396" i="3"/>
  <c r="AQ396" i="3"/>
  <c r="AP396" i="3"/>
  <c r="AO396" i="3"/>
  <c r="AN396" i="3"/>
  <c r="AM396" i="3"/>
  <c r="AL396" i="3"/>
  <c r="AK396" i="3"/>
  <c r="AI396" i="3"/>
  <c r="AH396" i="3"/>
  <c r="AG396" i="3"/>
  <c r="AF396" i="3"/>
  <c r="AE396" i="3"/>
  <c r="AD396" i="3"/>
  <c r="AC396" i="3"/>
  <c r="AB396" i="3"/>
  <c r="AA396" i="3"/>
  <c r="Z396" i="3"/>
  <c r="Y396" i="3"/>
  <c r="W396" i="3"/>
  <c r="V396" i="3"/>
  <c r="U396" i="3"/>
  <c r="T396" i="3"/>
  <c r="S396" i="3"/>
  <c r="R396" i="3"/>
  <c r="Q396" i="3"/>
  <c r="P396" i="3"/>
  <c r="O396" i="3"/>
  <c r="N396" i="3"/>
  <c r="M396" i="3"/>
  <c r="J396" i="3"/>
  <c r="AU395" i="3"/>
  <c r="AT395" i="3"/>
  <c r="AS395" i="3"/>
  <c r="AR395" i="3"/>
  <c r="AQ395" i="3"/>
  <c r="AP395" i="3"/>
  <c r="AO395" i="3"/>
  <c r="AN395" i="3"/>
  <c r="AM395" i="3"/>
  <c r="AL395" i="3"/>
  <c r="AK395" i="3"/>
  <c r="AI395" i="3"/>
  <c r="AH395" i="3"/>
  <c r="AG395" i="3"/>
  <c r="AF395" i="3"/>
  <c r="AE395" i="3"/>
  <c r="AD395" i="3"/>
  <c r="AC395" i="3"/>
  <c r="AB395" i="3"/>
  <c r="AA395" i="3"/>
  <c r="Z395" i="3"/>
  <c r="Y395" i="3"/>
  <c r="W395" i="3"/>
  <c r="V395" i="3"/>
  <c r="U395" i="3"/>
  <c r="T395" i="3"/>
  <c r="S395" i="3"/>
  <c r="R395" i="3"/>
  <c r="Q395" i="3"/>
  <c r="P395" i="3"/>
  <c r="O395" i="3"/>
  <c r="N395" i="3"/>
  <c r="M395" i="3"/>
  <c r="I395" i="3"/>
  <c r="AU394" i="3"/>
  <c r="AT394" i="3"/>
  <c r="AS394" i="3"/>
  <c r="AR394" i="3"/>
  <c r="AQ394" i="3"/>
  <c r="AP394" i="3"/>
  <c r="AO394" i="3"/>
  <c r="AN394" i="3"/>
  <c r="AM394" i="3"/>
  <c r="AL394" i="3"/>
  <c r="AK394" i="3"/>
  <c r="AI394" i="3"/>
  <c r="AH394" i="3"/>
  <c r="AG394" i="3"/>
  <c r="AF394" i="3"/>
  <c r="AE394" i="3"/>
  <c r="AD394" i="3"/>
  <c r="AC394" i="3"/>
  <c r="AB394" i="3"/>
  <c r="AA394" i="3"/>
  <c r="Z394" i="3"/>
  <c r="Y394" i="3"/>
  <c r="W394" i="3"/>
  <c r="V394" i="3"/>
  <c r="U394" i="3"/>
  <c r="T394" i="3"/>
  <c r="S394" i="3"/>
  <c r="R394" i="3"/>
  <c r="Q394" i="3"/>
  <c r="P394" i="3"/>
  <c r="O394" i="3"/>
  <c r="N394" i="3"/>
  <c r="M394" i="3"/>
  <c r="AU393" i="3"/>
  <c r="AT393" i="3"/>
  <c r="AS393" i="3"/>
  <c r="AR393" i="3"/>
  <c r="AQ393" i="3"/>
  <c r="AP393" i="3"/>
  <c r="AO393" i="3"/>
  <c r="AN393" i="3"/>
  <c r="AM393" i="3"/>
  <c r="AL393" i="3"/>
  <c r="AK393" i="3"/>
  <c r="AI393" i="3"/>
  <c r="AH393" i="3"/>
  <c r="AG393" i="3"/>
  <c r="AF393" i="3"/>
  <c r="AE393" i="3"/>
  <c r="AD393" i="3"/>
  <c r="AC393" i="3"/>
  <c r="AB393" i="3"/>
  <c r="AA393" i="3"/>
  <c r="Z393" i="3"/>
  <c r="Y393" i="3"/>
  <c r="W393" i="3"/>
  <c r="V393" i="3"/>
  <c r="U393" i="3"/>
  <c r="T393" i="3"/>
  <c r="S393" i="3"/>
  <c r="R393" i="3"/>
  <c r="Q393" i="3"/>
  <c r="P393" i="3"/>
  <c r="O393" i="3"/>
  <c r="N393" i="3"/>
  <c r="M393" i="3"/>
  <c r="AU392" i="3"/>
  <c r="AT392" i="3"/>
  <c r="AS392" i="3"/>
  <c r="AR392" i="3"/>
  <c r="AQ392" i="3"/>
  <c r="AP392" i="3"/>
  <c r="AO392" i="3"/>
  <c r="AN392" i="3"/>
  <c r="AM392" i="3"/>
  <c r="AL392" i="3"/>
  <c r="AK392" i="3"/>
  <c r="AI392" i="3"/>
  <c r="AH392" i="3"/>
  <c r="AG392" i="3"/>
  <c r="AF392" i="3"/>
  <c r="AE392" i="3"/>
  <c r="AD392" i="3"/>
  <c r="AC392" i="3"/>
  <c r="AB392" i="3"/>
  <c r="AA392" i="3"/>
  <c r="Z392" i="3"/>
  <c r="Y392" i="3"/>
  <c r="W392" i="3"/>
  <c r="V392" i="3"/>
  <c r="U392" i="3"/>
  <c r="T392" i="3"/>
  <c r="S392" i="3"/>
  <c r="R392" i="3"/>
  <c r="Q392" i="3"/>
  <c r="P392" i="3"/>
  <c r="O392" i="3"/>
  <c r="N392" i="3"/>
  <c r="M392" i="3"/>
  <c r="AU391" i="3"/>
  <c r="AT391" i="3"/>
  <c r="AS391" i="3"/>
  <c r="AR391" i="3"/>
  <c r="AQ391" i="3"/>
  <c r="AP391" i="3"/>
  <c r="AO391" i="3"/>
  <c r="AN391" i="3"/>
  <c r="AM391" i="3"/>
  <c r="AL391" i="3"/>
  <c r="AK391" i="3"/>
  <c r="AI391" i="3"/>
  <c r="AH391" i="3"/>
  <c r="AG391" i="3"/>
  <c r="AF391" i="3"/>
  <c r="AE391" i="3"/>
  <c r="AD391" i="3"/>
  <c r="AC391" i="3"/>
  <c r="AB391" i="3"/>
  <c r="AA391" i="3"/>
  <c r="Z391" i="3"/>
  <c r="Y391" i="3"/>
  <c r="W391" i="3"/>
  <c r="V391" i="3"/>
  <c r="U391" i="3"/>
  <c r="T391" i="3"/>
  <c r="S391" i="3"/>
  <c r="R391" i="3"/>
  <c r="Q391" i="3"/>
  <c r="P391" i="3"/>
  <c r="O391" i="3"/>
  <c r="N391" i="3"/>
  <c r="M391" i="3"/>
  <c r="AU390" i="3"/>
  <c r="AT390" i="3"/>
  <c r="AS390" i="3"/>
  <c r="AR390" i="3"/>
  <c r="AQ390" i="3"/>
  <c r="AP390" i="3"/>
  <c r="AO390" i="3"/>
  <c r="AN390" i="3"/>
  <c r="AM390" i="3"/>
  <c r="AL390" i="3"/>
  <c r="AK390" i="3"/>
  <c r="AI390" i="3"/>
  <c r="AH390" i="3"/>
  <c r="AG390" i="3"/>
  <c r="AF390" i="3"/>
  <c r="AE390" i="3"/>
  <c r="AD390" i="3"/>
  <c r="AC390" i="3"/>
  <c r="AB390" i="3"/>
  <c r="AA390" i="3"/>
  <c r="Z390" i="3"/>
  <c r="Y390" i="3"/>
  <c r="W390" i="3"/>
  <c r="V390" i="3"/>
  <c r="U390" i="3"/>
  <c r="T390" i="3"/>
  <c r="S390" i="3"/>
  <c r="R390" i="3"/>
  <c r="Q390" i="3"/>
  <c r="P390" i="3"/>
  <c r="O390" i="3"/>
  <c r="N390" i="3"/>
  <c r="M390" i="3"/>
  <c r="J390" i="3"/>
  <c r="AU389" i="3"/>
  <c r="AT389" i="3"/>
  <c r="AS389" i="3"/>
  <c r="AR389" i="3"/>
  <c r="AQ389" i="3"/>
  <c r="AP389" i="3"/>
  <c r="AO389" i="3"/>
  <c r="AN389" i="3"/>
  <c r="AM389" i="3"/>
  <c r="AL389" i="3"/>
  <c r="AK389" i="3"/>
  <c r="AI389" i="3"/>
  <c r="AH389" i="3"/>
  <c r="AG389" i="3"/>
  <c r="AF389" i="3"/>
  <c r="AE389" i="3"/>
  <c r="AD389" i="3"/>
  <c r="AC389" i="3"/>
  <c r="AB389" i="3"/>
  <c r="AA389" i="3"/>
  <c r="Z389" i="3"/>
  <c r="Y389" i="3"/>
  <c r="W389" i="3"/>
  <c r="V389" i="3"/>
  <c r="U389" i="3"/>
  <c r="T389" i="3"/>
  <c r="S389" i="3"/>
  <c r="R389" i="3"/>
  <c r="Q389" i="3"/>
  <c r="P389" i="3"/>
  <c r="O389" i="3"/>
  <c r="N389" i="3"/>
  <c r="M389" i="3"/>
  <c r="J389" i="3"/>
  <c r="I389" i="3"/>
  <c r="AU388" i="3"/>
  <c r="AT388" i="3"/>
  <c r="AS388" i="3"/>
  <c r="AR388" i="3"/>
  <c r="AQ388" i="3"/>
  <c r="AP388" i="3"/>
  <c r="AO388" i="3"/>
  <c r="AN388" i="3"/>
  <c r="AM388" i="3"/>
  <c r="AL388" i="3"/>
  <c r="AK388" i="3"/>
  <c r="AI388" i="3"/>
  <c r="AH388" i="3"/>
  <c r="AG388" i="3"/>
  <c r="AF388" i="3"/>
  <c r="AE388" i="3"/>
  <c r="AD388" i="3"/>
  <c r="AC388" i="3"/>
  <c r="AB388" i="3"/>
  <c r="AA388" i="3"/>
  <c r="Z388" i="3"/>
  <c r="Y388" i="3"/>
  <c r="W388" i="3"/>
  <c r="V388" i="3"/>
  <c r="U388" i="3"/>
  <c r="T388" i="3"/>
  <c r="S388" i="3"/>
  <c r="R388" i="3"/>
  <c r="Q388" i="3"/>
  <c r="P388" i="3"/>
  <c r="O388" i="3"/>
  <c r="N388" i="3"/>
  <c r="M388" i="3"/>
  <c r="AU387" i="3"/>
  <c r="AT387" i="3"/>
  <c r="AS387" i="3"/>
  <c r="AR387" i="3"/>
  <c r="AQ387" i="3"/>
  <c r="AP387" i="3"/>
  <c r="AO387" i="3"/>
  <c r="AN387" i="3"/>
  <c r="AM387" i="3"/>
  <c r="AL387" i="3"/>
  <c r="AK387" i="3"/>
  <c r="AI387" i="3"/>
  <c r="AH387" i="3"/>
  <c r="AG387" i="3"/>
  <c r="AF387" i="3"/>
  <c r="AE387" i="3"/>
  <c r="AD387" i="3"/>
  <c r="AC387" i="3"/>
  <c r="AB387" i="3"/>
  <c r="AA387" i="3"/>
  <c r="Z387" i="3"/>
  <c r="Y387" i="3"/>
  <c r="W387" i="3"/>
  <c r="V387" i="3"/>
  <c r="U387" i="3"/>
  <c r="T387" i="3"/>
  <c r="S387" i="3"/>
  <c r="R387" i="3"/>
  <c r="Q387" i="3"/>
  <c r="P387" i="3"/>
  <c r="O387" i="3"/>
  <c r="N387" i="3"/>
  <c r="M387" i="3"/>
  <c r="AU386" i="3"/>
  <c r="AT386" i="3"/>
  <c r="AS386" i="3"/>
  <c r="AR386" i="3"/>
  <c r="AQ386" i="3"/>
  <c r="AP386" i="3"/>
  <c r="AO386" i="3"/>
  <c r="AN386" i="3"/>
  <c r="AM386" i="3"/>
  <c r="AL386" i="3"/>
  <c r="AK386" i="3"/>
  <c r="AI386" i="3"/>
  <c r="AH386" i="3"/>
  <c r="AG386" i="3"/>
  <c r="AF386" i="3"/>
  <c r="AE386" i="3"/>
  <c r="AD386" i="3"/>
  <c r="AC386" i="3"/>
  <c r="AB386" i="3"/>
  <c r="AA386" i="3"/>
  <c r="Z386" i="3"/>
  <c r="Y386" i="3"/>
  <c r="W386" i="3"/>
  <c r="V386" i="3"/>
  <c r="U386" i="3"/>
  <c r="T386" i="3"/>
  <c r="S386" i="3"/>
  <c r="R386" i="3"/>
  <c r="Q386" i="3"/>
  <c r="P386" i="3"/>
  <c r="O386" i="3"/>
  <c r="N386" i="3"/>
  <c r="M386" i="3"/>
  <c r="J386" i="3"/>
  <c r="AU385" i="3"/>
  <c r="AT385" i="3"/>
  <c r="AS385" i="3"/>
  <c r="AR385" i="3"/>
  <c r="AQ385" i="3"/>
  <c r="AP385" i="3"/>
  <c r="AO385" i="3"/>
  <c r="AN385" i="3"/>
  <c r="AM385" i="3"/>
  <c r="AL385" i="3"/>
  <c r="AK385" i="3"/>
  <c r="AI385" i="3"/>
  <c r="AH385" i="3"/>
  <c r="AG385" i="3"/>
  <c r="AF385" i="3"/>
  <c r="AE385" i="3"/>
  <c r="AD385" i="3"/>
  <c r="AC385" i="3"/>
  <c r="AB385" i="3"/>
  <c r="AA385" i="3"/>
  <c r="Z385" i="3"/>
  <c r="Y385" i="3"/>
  <c r="W385" i="3"/>
  <c r="V385" i="3"/>
  <c r="U385" i="3"/>
  <c r="T385" i="3"/>
  <c r="S385" i="3"/>
  <c r="R385" i="3"/>
  <c r="Q385" i="3"/>
  <c r="P385" i="3"/>
  <c r="O385" i="3"/>
  <c r="N385" i="3"/>
  <c r="M385" i="3"/>
  <c r="J385" i="3"/>
  <c r="AU384" i="3"/>
  <c r="AU766" i="3" s="1" a="1"/>
  <c r="AU766" i="3" s="1"/>
  <c r="AF771" i="3" s="1"/>
  <c r="AT384" i="3"/>
  <c r="AT766" i="3" s="1" a="1"/>
  <c r="AT766" i="3" s="1"/>
  <c r="AS384" i="3"/>
  <c r="AS766" i="3" s="1" a="1"/>
  <c r="AS766" i="3" s="1"/>
  <c r="AE771" i="3" s="1"/>
  <c r="AR384" i="3"/>
  <c r="AR765" i="3" s="1"/>
  <c r="AQ384" i="3"/>
  <c r="AP384" i="3"/>
  <c r="AP766" i="3" s="1" a="1"/>
  <c r="AP766" i="3" s="1"/>
  <c r="AO384" i="3"/>
  <c r="AO765" i="3" s="1"/>
  <c r="AC770" i="3" s="1"/>
  <c r="AN384" i="3"/>
  <c r="AN765" i="3" s="1"/>
  <c r="AM384" i="3"/>
  <c r="AM765" i="3" s="1"/>
  <c r="AB770" i="3" s="1"/>
  <c r="AL384" i="3"/>
  <c r="AL765" i="3" s="1"/>
  <c r="AA770" i="3" s="1"/>
  <c r="AK384" i="3"/>
  <c r="AK765" i="3" s="1"/>
  <c r="AI384" i="3"/>
  <c r="AI765" i="3" s="1"/>
  <c r="Y770" i="3" s="1"/>
  <c r="AH384" i="3"/>
  <c r="AH766" i="3" s="1" a="1"/>
  <c r="AH766" i="3" s="1"/>
  <c r="AG384" i="3"/>
  <c r="AG766" i="3" s="1" a="1"/>
  <c r="AG766" i="3" s="1"/>
  <c r="X771" i="3" s="1"/>
  <c r="AF384" i="3"/>
  <c r="AF766" i="3" s="1" a="1"/>
  <c r="AF766" i="3" s="1"/>
  <c r="AE384" i="3"/>
  <c r="AE766" i="3" s="1" a="1"/>
  <c r="AE766" i="3" s="1"/>
  <c r="W771" i="3" s="1"/>
  <c r="AD384" i="3"/>
  <c r="AC384" i="3"/>
  <c r="AC766" i="3" s="1" a="1"/>
  <c r="AC766" i="3" s="1"/>
  <c r="V771" i="3" s="1"/>
  <c r="AB384" i="3"/>
  <c r="AB765" i="3" s="1"/>
  <c r="AA384" i="3"/>
  <c r="AA765" i="3" s="1"/>
  <c r="U770" i="3" s="1"/>
  <c r="Z384" i="3"/>
  <c r="Y384" i="3"/>
  <c r="Y765" i="3" s="1"/>
  <c r="W384" i="3"/>
  <c r="W765" i="3" s="1"/>
  <c r="R770" i="3" s="1"/>
  <c r="V384" i="3"/>
  <c r="V765" i="3" s="1"/>
  <c r="U384" i="3"/>
  <c r="U766" i="3" s="1" a="1"/>
  <c r="U766" i="3" s="1"/>
  <c r="Q771" i="3" s="1"/>
  <c r="T384" i="3"/>
  <c r="T766" i="3" s="1" a="1"/>
  <c r="T766" i="3" s="1"/>
  <c r="S384" i="3"/>
  <c r="S766" i="3" s="1" a="1"/>
  <c r="S766" i="3" s="1"/>
  <c r="P771" i="3" s="1"/>
  <c r="R384" i="3"/>
  <c r="R766" i="3" s="1" a="1"/>
  <c r="R766" i="3" s="1"/>
  <c r="Q384" i="3"/>
  <c r="P384" i="3"/>
  <c r="P766" i="3" s="1" a="1"/>
  <c r="P766" i="3" s="1"/>
  <c r="O384" i="3"/>
  <c r="O765" i="3" s="1"/>
  <c r="N770" i="3" s="1"/>
  <c r="N384" i="3"/>
  <c r="N765" i="3" s="1"/>
  <c r="M770" i="3" s="1"/>
  <c r="M384" i="3"/>
  <c r="M765" i="3" s="1"/>
  <c r="J384" i="3"/>
  <c r="J162" i="3"/>
  <c r="J543" i="3" s="1"/>
  <c r="J161" i="3"/>
  <c r="I161" i="3" s="1"/>
  <c r="I542" i="3" s="1"/>
  <c r="J160" i="3"/>
  <c r="I160" i="3" s="1"/>
  <c r="I541" i="3" s="1"/>
  <c r="J159" i="3"/>
  <c r="I159" i="3" s="1"/>
  <c r="I540" i="3" s="1"/>
  <c r="J158" i="3"/>
  <c r="J539" i="3" s="1"/>
  <c r="I158" i="3"/>
  <c r="J157" i="3"/>
  <c r="J538" i="3" s="1"/>
  <c r="I157" i="3"/>
  <c r="I538" i="3" s="1"/>
  <c r="J156" i="3"/>
  <c r="I156" i="3" s="1"/>
  <c r="I537" i="3" s="1"/>
  <c r="J155" i="3"/>
  <c r="I155" i="3" s="1"/>
  <c r="I536" i="3" s="1"/>
  <c r="J154" i="3"/>
  <c r="J535" i="3" s="1"/>
  <c r="J153" i="3"/>
  <c r="I153" i="3" s="1"/>
  <c r="I534" i="3" s="1"/>
  <c r="J152" i="3"/>
  <c r="J533" i="3" s="1"/>
  <c r="I152" i="3"/>
  <c r="J151" i="3"/>
  <c r="J532" i="3" s="1"/>
  <c r="I151" i="3"/>
  <c r="I532" i="3" s="1"/>
  <c r="J150" i="3"/>
  <c r="J531" i="3" s="1"/>
  <c r="J149" i="3"/>
  <c r="I149" i="3" s="1"/>
  <c r="I530" i="3" s="1"/>
  <c r="J148" i="3"/>
  <c r="I148" i="3" s="1"/>
  <c r="I529" i="3" s="1"/>
  <c r="J147" i="3"/>
  <c r="I147" i="3" s="1"/>
  <c r="I528" i="3" s="1"/>
  <c r="J146" i="3"/>
  <c r="J527" i="3" s="1"/>
  <c r="I146" i="3"/>
  <c r="J145" i="3"/>
  <c r="J526" i="3" s="1"/>
  <c r="I145" i="3"/>
  <c r="I526" i="3" s="1"/>
  <c r="J144" i="3"/>
  <c r="I144" i="3" s="1"/>
  <c r="I525" i="3" s="1"/>
  <c r="J143" i="3"/>
  <c r="I143" i="3" s="1"/>
  <c r="I524" i="3" s="1"/>
  <c r="J142" i="3"/>
  <c r="J523" i="3" s="1"/>
  <c r="J141" i="3"/>
  <c r="I141" i="3" s="1"/>
  <c r="I522" i="3" s="1"/>
  <c r="J140" i="3"/>
  <c r="J521" i="3" s="1"/>
  <c r="I140" i="3"/>
  <c r="J139" i="3"/>
  <c r="J520" i="3" s="1"/>
  <c r="I139" i="3"/>
  <c r="I520" i="3" s="1"/>
  <c r="J138" i="3"/>
  <c r="J519" i="3" s="1"/>
  <c r="J137" i="3"/>
  <c r="I137" i="3" s="1"/>
  <c r="I518" i="3" s="1"/>
  <c r="J136" i="3"/>
  <c r="I136" i="3" s="1"/>
  <c r="I517" i="3" s="1"/>
  <c r="J135" i="3"/>
  <c r="I135" i="3" s="1"/>
  <c r="I516" i="3" s="1"/>
  <c r="J134" i="3"/>
  <c r="J515" i="3" s="1"/>
  <c r="I134" i="3"/>
  <c r="J133" i="3"/>
  <c r="J514" i="3" s="1"/>
  <c r="I133" i="3"/>
  <c r="I514" i="3" s="1"/>
  <c r="J132" i="3"/>
  <c r="I132" i="3" s="1"/>
  <c r="I513" i="3" s="1"/>
  <c r="J131" i="3"/>
  <c r="I131" i="3" s="1"/>
  <c r="I512" i="3" s="1"/>
  <c r="J130" i="3"/>
  <c r="J511" i="3" s="1"/>
  <c r="J129" i="3"/>
  <c r="I129" i="3" s="1"/>
  <c r="I510" i="3" s="1"/>
  <c r="J128" i="3"/>
  <c r="J509" i="3" s="1"/>
  <c r="I128" i="3"/>
  <c r="J127" i="3"/>
  <c r="J508" i="3" s="1"/>
  <c r="I127" i="3"/>
  <c r="I508" i="3" s="1"/>
  <c r="J126" i="3"/>
  <c r="J507" i="3" s="1"/>
  <c r="J125" i="3"/>
  <c r="I125" i="3" s="1"/>
  <c r="I506" i="3" s="1"/>
  <c r="J124" i="3"/>
  <c r="I124" i="3" s="1"/>
  <c r="I505" i="3" s="1"/>
  <c r="J123" i="3"/>
  <c r="I123" i="3" s="1"/>
  <c r="I504" i="3" s="1"/>
  <c r="J122" i="3"/>
  <c r="J503" i="3" s="1"/>
  <c r="I122" i="3"/>
  <c r="J121" i="3"/>
  <c r="J502" i="3" s="1"/>
  <c r="I121" i="3"/>
  <c r="I502" i="3" s="1"/>
  <c r="J120" i="3"/>
  <c r="I120" i="3" s="1"/>
  <c r="I501" i="3" s="1"/>
  <c r="J119" i="3"/>
  <c r="I119" i="3" s="1"/>
  <c r="I500" i="3" s="1"/>
  <c r="J118" i="3"/>
  <c r="J499" i="3" s="1"/>
  <c r="J117" i="3"/>
  <c r="I117" i="3" s="1"/>
  <c r="I498" i="3" s="1"/>
  <c r="J116" i="3"/>
  <c r="J497" i="3" s="1"/>
  <c r="I116" i="3"/>
  <c r="J115" i="3"/>
  <c r="J496" i="3" s="1"/>
  <c r="I115" i="3"/>
  <c r="I496" i="3" s="1"/>
  <c r="J114" i="3"/>
  <c r="J495" i="3" s="1"/>
  <c r="J113" i="3"/>
  <c r="I113" i="3" s="1"/>
  <c r="I494" i="3" s="1"/>
  <c r="J112" i="3"/>
  <c r="I112" i="3" s="1"/>
  <c r="I493" i="3" s="1"/>
  <c r="J111" i="3"/>
  <c r="I111" i="3" s="1"/>
  <c r="I492" i="3" s="1"/>
  <c r="J110" i="3"/>
  <c r="J491" i="3" s="1"/>
  <c r="I110" i="3"/>
  <c r="J109" i="3"/>
  <c r="J490" i="3" s="1"/>
  <c r="I109" i="3"/>
  <c r="I490" i="3" s="1"/>
  <c r="J108" i="3"/>
  <c r="I108" i="3" s="1"/>
  <c r="I489" i="3" s="1"/>
  <c r="J107" i="3"/>
  <c r="I107" i="3" s="1"/>
  <c r="I488" i="3" s="1"/>
  <c r="J106" i="3"/>
  <c r="J487" i="3" s="1"/>
  <c r="J105" i="3"/>
  <c r="I105" i="3" s="1"/>
  <c r="I486" i="3" s="1"/>
  <c r="J104" i="3"/>
  <c r="I104" i="3"/>
  <c r="J103" i="3"/>
  <c r="J484" i="3" s="1"/>
  <c r="I103" i="3"/>
  <c r="I484" i="3" s="1"/>
  <c r="J102" i="3"/>
  <c r="J483" i="3" s="1"/>
  <c r="J101" i="3"/>
  <c r="I101" i="3" s="1"/>
  <c r="I482" i="3" s="1"/>
  <c r="J100" i="3"/>
  <c r="I100" i="3" s="1"/>
  <c r="I481" i="3" s="1"/>
  <c r="J99" i="3"/>
  <c r="I99" i="3" s="1"/>
  <c r="I480" i="3" s="1"/>
  <c r="J98" i="3"/>
  <c r="J479" i="3" s="1"/>
  <c r="I98" i="3"/>
  <c r="J97" i="3"/>
  <c r="J478" i="3" s="1"/>
  <c r="I97" i="3"/>
  <c r="I478" i="3" s="1"/>
  <c r="J96" i="3"/>
  <c r="I96" i="3" s="1"/>
  <c r="I477" i="3" s="1"/>
  <c r="J95" i="3"/>
  <c r="I95" i="3" s="1"/>
  <c r="I476" i="3" s="1"/>
  <c r="J94" i="3"/>
  <c r="J475" i="3" s="1"/>
  <c r="J93" i="3"/>
  <c r="I93" i="3" s="1"/>
  <c r="I474" i="3" s="1"/>
  <c r="J92" i="3"/>
  <c r="I92" i="3"/>
  <c r="J91" i="3"/>
  <c r="J472" i="3" s="1"/>
  <c r="I91" i="3"/>
  <c r="I472" i="3" s="1"/>
  <c r="J90" i="3"/>
  <c r="J471" i="3" s="1"/>
  <c r="J89" i="3"/>
  <c r="I89" i="3" s="1"/>
  <c r="I470" i="3" s="1"/>
  <c r="J88" i="3"/>
  <c r="I88" i="3" s="1"/>
  <c r="I469" i="3" s="1"/>
  <c r="J87" i="3"/>
  <c r="I87" i="3" s="1"/>
  <c r="I468" i="3" s="1"/>
  <c r="J86" i="3"/>
  <c r="J467" i="3" s="1"/>
  <c r="I86" i="3"/>
  <c r="J85" i="3"/>
  <c r="J466" i="3" s="1"/>
  <c r="I85" i="3"/>
  <c r="I466" i="3" s="1"/>
  <c r="J84" i="3"/>
  <c r="I84" i="3" s="1"/>
  <c r="I465" i="3" s="1"/>
  <c r="J83" i="3"/>
  <c r="I83" i="3" s="1"/>
  <c r="I464" i="3" s="1"/>
  <c r="J82" i="3"/>
  <c r="J463" i="3" s="1"/>
  <c r="J81" i="3"/>
  <c r="I81" i="3" s="1"/>
  <c r="I462" i="3" s="1"/>
  <c r="J80" i="3"/>
  <c r="I80" i="3"/>
  <c r="J79" i="3"/>
  <c r="J460" i="3" s="1"/>
  <c r="I79" i="3"/>
  <c r="I460" i="3" s="1"/>
  <c r="J78" i="3"/>
  <c r="J459" i="3" s="1"/>
  <c r="J77" i="3"/>
  <c r="I77" i="3" s="1"/>
  <c r="I458" i="3" s="1"/>
  <c r="J76" i="3"/>
  <c r="I76" i="3" s="1"/>
  <c r="I457" i="3" s="1"/>
  <c r="J75" i="3"/>
  <c r="I75" i="3" s="1"/>
  <c r="I456" i="3" s="1"/>
  <c r="J74" i="3"/>
  <c r="J455" i="3" s="1"/>
  <c r="I74" i="3"/>
  <c r="J73" i="3"/>
  <c r="J454" i="3" s="1"/>
  <c r="I73" i="3"/>
  <c r="I454" i="3" s="1"/>
  <c r="J72" i="3"/>
  <c r="I72" i="3" s="1"/>
  <c r="I453" i="3" s="1"/>
  <c r="J71" i="3"/>
  <c r="I71" i="3" s="1"/>
  <c r="I452" i="3" s="1"/>
  <c r="J70" i="3"/>
  <c r="J451" i="3" s="1"/>
  <c r="J69" i="3"/>
  <c r="I69" i="3" s="1"/>
  <c r="I450" i="3" s="1"/>
  <c r="J68" i="3"/>
  <c r="I68" i="3"/>
  <c r="J67" i="3"/>
  <c r="J448" i="3" s="1"/>
  <c r="I67" i="3"/>
  <c r="I448" i="3" s="1"/>
  <c r="J66" i="3"/>
  <c r="J447" i="3" s="1"/>
  <c r="J65" i="3"/>
  <c r="I65" i="3" s="1"/>
  <c r="I446" i="3" s="1"/>
  <c r="J64" i="3"/>
  <c r="I64" i="3" s="1"/>
  <c r="I445" i="3" s="1"/>
  <c r="J63" i="3"/>
  <c r="I63" i="3" s="1"/>
  <c r="I444" i="3" s="1"/>
  <c r="J62" i="3"/>
  <c r="J443" i="3" s="1"/>
  <c r="I62" i="3"/>
  <c r="J61" i="3"/>
  <c r="J442" i="3" s="1"/>
  <c r="I61" i="3"/>
  <c r="I442" i="3" s="1"/>
  <c r="J60" i="3"/>
  <c r="I60" i="3" s="1"/>
  <c r="I441" i="3" s="1"/>
  <c r="J59" i="3"/>
  <c r="I59" i="3" s="1"/>
  <c r="I440" i="3" s="1"/>
  <c r="J58" i="3"/>
  <c r="J439" i="3" s="1"/>
  <c r="J57" i="3"/>
  <c r="I57" i="3" s="1"/>
  <c r="I438" i="3" s="1"/>
  <c r="J56" i="3"/>
  <c r="I56" i="3"/>
  <c r="J55" i="3"/>
  <c r="J436" i="3" s="1"/>
  <c r="I55" i="3"/>
  <c r="I436" i="3" s="1"/>
  <c r="J54" i="3"/>
  <c r="J435" i="3" s="1"/>
  <c r="J53" i="3"/>
  <c r="I53" i="3" s="1"/>
  <c r="I434" i="3" s="1"/>
  <c r="J52" i="3"/>
  <c r="I52" i="3" s="1"/>
  <c r="I433" i="3" s="1"/>
  <c r="J51" i="3"/>
  <c r="I51" i="3" s="1"/>
  <c r="I432" i="3" s="1"/>
  <c r="J50" i="3"/>
  <c r="J431" i="3" s="1"/>
  <c r="I50" i="3"/>
  <c r="J49" i="3"/>
  <c r="J430" i="3" s="1"/>
  <c r="I49" i="3"/>
  <c r="I430" i="3" s="1"/>
  <c r="J48" i="3"/>
  <c r="I48" i="3" s="1"/>
  <c r="I429" i="3" s="1"/>
  <c r="J47" i="3"/>
  <c r="I47" i="3" s="1"/>
  <c r="I428" i="3" s="1"/>
  <c r="J46" i="3"/>
  <c r="J427" i="3" s="1"/>
  <c r="J45" i="3"/>
  <c r="I45" i="3" s="1"/>
  <c r="I426" i="3" s="1"/>
  <c r="J44" i="3"/>
  <c r="I44" i="3"/>
  <c r="J43" i="3"/>
  <c r="J424" i="3" s="1"/>
  <c r="I43" i="3"/>
  <c r="I424" i="3" s="1"/>
  <c r="J42" i="3"/>
  <c r="J423" i="3" s="1"/>
  <c r="J41" i="3"/>
  <c r="I41" i="3" s="1"/>
  <c r="I422" i="3" s="1"/>
  <c r="J40" i="3"/>
  <c r="I40" i="3" s="1"/>
  <c r="I421" i="3" s="1"/>
  <c r="J39" i="3"/>
  <c r="I39" i="3" s="1"/>
  <c r="I420" i="3" s="1"/>
  <c r="J38" i="3"/>
  <c r="J419" i="3" s="1"/>
  <c r="I38" i="3"/>
  <c r="J37" i="3"/>
  <c r="J418" i="3" s="1"/>
  <c r="I37" i="3"/>
  <c r="I418" i="3" s="1"/>
  <c r="J36" i="3"/>
  <c r="I36" i="3" s="1"/>
  <c r="I417" i="3" s="1"/>
  <c r="J35" i="3"/>
  <c r="I35" i="3" s="1"/>
  <c r="I416" i="3" s="1"/>
  <c r="J34" i="3"/>
  <c r="J415" i="3" s="1"/>
  <c r="J33" i="3"/>
  <c r="I33" i="3" s="1"/>
  <c r="I414" i="3" s="1"/>
  <c r="J32" i="3"/>
  <c r="I32" i="3"/>
  <c r="J31" i="3"/>
  <c r="J412" i="3" s="1"/>
  <c r="I31" i="3"/>
  <c r="I412" i="3" s="1"/>
  <c r="J30" i="3"/>
  <c r="J411" i="3" s="1"/>
  <c r="J29" i="3"/>
  <c r="I29" i="3" s="1"/>
  <c r="I410" i="3" s="1"/>
  <c r="J28" i="3"/>
  <c r="I28" i="3" s="1"/>
  <c r="I409" i="3" s="1"/>
  <c r="J27" i="3"/>
  <c r="I27" i="3" s="1"/>
  <c r="I408" i="3" s="1"/>
  <c r="J26" i="3"/>
  <c r="J407" i="3" s="1"/>
  <c r="I26" i="3"/>
  <c r="J25" i="3"/>
  <c r="J406" i="3" s="1"/>
  <c r="I25" i="3"/>
  <c r="I406" i="3" s="1"/>
  <c r="J24" i="3"/>
  <c r="I24" i="3" s="1"/>
  <c r="I405" i="3" s="1"/>
  <c r="J23" i="3"/>
  <c r="I23" i="3" s="1"/>
  <c r="I404" i="3" s="1"/>
  <c r="J22" i="3"/>
  <c r="J403" i="3" s="1"/>
  <c r="J21" i="3"/>
  <c r="I21" i="3" s="1"/>
  <c r="I402" i="3" s="1"/>
  <c r="J20" i="3"/>
  <c r="I20" i="3"/>
  <c r="J19" i="3"/>
  <c r="J400" i="3" s="1"/>
  <c r="I19" i="3"/>
  <c r="I400" i="3" s="1"/>
  <c r="J18" i="3"/>
  <c r="J399" i="3" s="1"/>
  <c r="J17" i="3"/>
  <c r="I17" i="3" s="1"/>
  <c r="I398" i="3" s="1"/>
  <c r="J16" i="3"/>
  <c r="I16" i="3" s="1"/>
  <c r="I397" i="3" s="1"/>
  <c r="J15" i="3"/>
  <c r="I15" i="3" s="1"/>
  <c r="I396" i="3" s="1"/>
  <c r="J14" i="3"/>
  <c r="J395" i="3" s="1"/>
  <c r="I14" i="3"/>
  <c r="J13" i="3"/>
  <c r="J394" i="3" s="1"/>
  <c r="I13" i="3"/>
  <c r="I394" i="3" s="1"/>
  <c r="J12" i="3"/>
  <c r="I12" i="3" s="1"/>
  <c r="I393" i="3" s="1"/>
  <c r="J11" i="3"/>
  <c r="I11" i="3" s="1"/>
  <c r="I392" i="3" s="1"/>
  <c r="J10" i="3"/>
  <c r="J391" i="3" s="1"/>
  <c r="J9" i="3"/>
  <c r="I9" i="3" s="1"/>
  <c r="I390" i="3" s="1"/>
  <c r="J8" i="3"/>
  <c r="I8" i="3"/>
  <c r="J7" i="3"/>
  <c r="J388" i="3" s="1"/>
  <c r="I7" i="3"/>
  <c r="I388" i="3" s="1"/>
  <c r="J6" i="3"/>
  <c r="J387" i="3" s="1"/>
  <c r="J5" i="3"/>
  <c r="I5" i="3" s="1"/>
  <c r="I386" i="3" s="1"/>
  <c r="J4" i="3"/>
  <c r="I4" i="3" s="1"/>
  <c r="I385" i="3" s="1"/>
  <c r="J3" i="3"/>
  <c r="I3" i="3" s="1"/>
  <c r="I384" i="3" s="1"/>
  <c r="T770" i="3" l="1"/>
  <c r="J506" i="3"/>
  <c r="J518" i="3"/>
  <c r="J530" i="3"/>
  <c r="J542" i="3"/>
  <c r="P765" i="3"/>
  <c r="AC765" i="3"/>
  <c r="V770" i="3" s="1"/>
  <c r="AP765" i="3"/>
  <c r="V766" i="3" a="1"/>
  <c r="V766" i="3" s="1"/>
  <c r="AI766" i="3" a="1"/>
  <c r="AI766" i="3" s="1"/>
  <c r="Y771" i="3" s="1"/>
  <c r="J469" i="3"/>
  <c r="J481" i="3"/>
  <c r="J493" i="3"/>
  <c r="J505" i="3"/>
  <c r="J517" i="3"/>
  <c r="J529" i="3"/>
  <c r="J541" i="3"/>
  <c r="Q765" i="3"/>
  <c r="O770" i="3" s="1"/>
  <c r="AD765" i="3"/>
  <c r="AQ765" i="3"/>
  <c r="AD770" i="3" s="1"/>
  <c r="J433" i="3"/>
  <c r="J480" i="3"/>
  <c r="R765" i="3"/>
  <c r="W766" i="3" a="1"/>
  <c r="W766" i="3" s="1"/>
  <c r="R771" i="3" s="1"/>
  <c r="AK766" i="3" a="1"/>
  <c r="AK766" i="3" s="1"/>
  <c r="S765" i="3"/>
  <c r="P770" i="3" s="1"/>
  <c r="AF765" i="3"/>
  <c r="AS765" i="3"/>
  <c r="AE770" i="3" s="1"/>
  <c r="J445" i="3"/>
  <c r="J457" i="3"/>
  <c r="J492" i="3"/>
  <c r="AE765" i="3"/>
  <c r="W770" i="3" s="1"/>
  <c r="T765" i="3"/>
  <c r="AG765" i="3"/>
  <c r="X770" i="3" s="1"/>
  <c r="AT765" i="3"/>
  <c r="Y766" i="3" a="1"/>
  <c r="Y766" i="3" s="1"/>
  <c r="AL766" i="3" a="1"/>
  <c r="AL766" i="3" s="1"/>
  <c r="AA771" i="3" s="1"/>
  <c r="AR766" i="3" a="1"/>
  <c r="AR766" i="3" s="1"/>
  <c r="J468" i="3"/>
  <c r="J504" i="3"/>
  <c r="J516" i="3"/>
  <c r="J393" i="3"/>
  <c r="J405" i="3"/>
  <c r="J417" i="3"/>
  <c r="J429" i="3"/>
  <c r="J441" i="3"/>
  <c r="J453" i="3"/>
  <c r="J465" i="3"/>
  <c r="J477" i="3"/>
  <c r="J489" i="3"/>
  <c r="J501" i="3"/>
  <c r="J513" i="3"/>
  <c r="J525" i="3"/>
  <c r="J537" i="3"/>
  <c r="U765" i="3"/>
  <c r="Q770" i="3" s="1"/>
  <c r="AH765" i="3"/>
  <c r="AU765" i="3"/>
  <c r="AF770" i="3" s="1"/>
  <c r="J392" i="3"/>
  <c r="J404" i="3"/>
  <c r="J416" i="3"/>
  <c r="J428" i="3"/>
  <c r="J440" i="3"/>
  <c r="J452" i="3"/>
  <c r="J464" i="3"/>
  <c r="J476" i="3"/>
  <c r="J488" i="3"/>
  <c r="J500" i="3"/>
  <c r="J512" i="3"/>
  <c r="J524" i="3"/>
  <c r="J536" i="3"/>
  <c r="M766" i="3" a="1"/>
  <c r="M766" i="3" s="1"/>
  <c r="Z766" i="3" a="1"/>
  <c r="Z766" i="3" s="1"/>
  <c r="T771" i="3" s="1"/>
  <c r="AM766" i="3" a="1"/>
  <c r="AM766" i="3" s="1"/>
  <c r="AB771" i="3" s="1"/>
  <c r="I10" i="3"/>
  <c r="I391" i="3" s="1"/>
  <c r="I22" i="3"/>
  <c r="I403" i="3" s="1"/>
  <c r="I34" i="3"/>
  <c r="I415" i="3" s="1"/>
  <c r="I46" i="3"/>
  <c r="I427" i="3" s="1"/>
  <c r="I58" i="3"/>
  <c r="I439" i="3" s="1"/>
  <c r="I70" i="3"/>
  <c r="I451" i="3" s="1"/>
  <c r="I82" i="3"/>
  <c r="I463" i="3" s="1"/>
  <c r="I94" i="3"/>
  <c r="I475" i="3" s="1"/>
  <c r="I106" i="3"/>
  <c r="I487" i="3" s="1"/>
  <c r="I118" i="3"/>
  <c r="I499" i="3" s="1"/>
  <c r="I130" i="3"/>
  <c r="I511" i="3" s="1"/>
  <c r="I142" i="3"/>
  <c r="I523" i="3" s="1"/>
  <c r="I154" i="3"/>
  <c r="I535" i="3" s="1"/>
  <c r="AA766" i="3" a="1"/>
  <c r="AA766" i="3" s="1"/>
  <c r="U771" i="3" s="1"/>
  <c r="AN766" i="3" a="1"/>
  <c r="AN766" i="3" s="1"/>
  <c r="AB766" i="3" a="1"/>
  <c r="AB766" i="3" s="1"/>
  <c r="AO766" i="3" a="1"/>
  <c r="AO766" i="3" s="1"/>
  <c r="AC771" i="3" s="1"/>
  <c r="I6" i="3"/>
  <c r="I387" i="3" s="1"/>
  <c r="I18" i="3"/>
  <c r="I399" i="3" s="1"/>
  <c r="I30" i="3"/>
  <c r="I411" i="3" s="1"/>
  <c r="I42" i="3"/>
  <c r="I423" i="3" s="1"/>
  <c r="I54" i="3"/>
  <c r="I435" i="3" s="1"/>
  <c r="I66" i="3"/>
  <c r="I447" i="3" s="1"/>
  <c r="I78" i="3"/>
  <c r="I459" i="3" s="1"/>
  <c r="I90" i="3"/>
  <c r="I471" i="3" s="1"/>
  <c r="I102" i="3"/>
  <c r="I483" i="3" s="1"/>
  <c r="I114" i="3"/>
  <c r="I495" i="3" s="1"/>
  <c r="I126" i="3"/>
  <c r="I507" i="3" s="1"/>
  <c r="I138" i="3"/>
  <c r="I519" i="3" s="1"/>
  <c r="I150" i="3"/>
  <c r="I531" i="3" s="1"/>
  <c r="I162" i="3"/>
  <c r="I54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<sst xmlns="http://schemas.openxmlformats.org/spreadsheetml/2006/main" count="2814" uniqueCount="231">
  <si>
    <t>Average Benchmark (results)</t>
  </si>
  <si>
    <t>Average Benchmark (timing)</t>
  </si>
  <si>
    <t>Average Benchmark (parallel timing)</t>
  </si>
  <si>
    <t>Average Benchmark (cluster time)</t>
  </si>
  <si>
    <t>BNL</t>
  </si>
  <si>
    <t>BNL Causal</t>
  </si>
  <si>
    <t>BNL Causal HM</t>
  </si>
  <si>
    <t>SFS</t>
  </si>
  <si>
    <t>SFS Causal</t>
  </si>
  <si>
    <t>LESS</t>
  </si>
  <si>
    <t>LESS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</si>
  <si>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</si>
  <si>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</si>
  <si>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</si>
  <si>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</si>
  <si>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</si>
  <si>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</si>
  <si>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</si>
  <si>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156XXXX</t>
  </si>
  <si>
    <t>Hong_Kong_Weather_3</t>
  </si>
  <si>
    <t>{cloud, mean_wet_bulb_temp, rainfall, rel_humidity}</t>
  </si>
  <si>
    <t>156XXXN</t>
  </si>
  <si>
    <t>156XXNX</t>
  </si>
  <si>
    <t>156XXNN</t>
  </si>
  <si>
    <t>156XNXX</t>
  </si>
  <si>
    <t>156XNXN</t>
  </si>
  <si>
    <t>156XNNX</t>
  </si>
  <si>
    <t>156XNNN</t>
  </si>
  <si>
    <t>156NXXX</t>
  </si>
  <si>
    <t>156NXXN</t>
  </si>
  <si>
    <t>156NXNX</t>
  </si>
  <si>
    <t>156NXNN</t>
  </si>
  <si>
    <t>156NNXX</t>
  </si>
  <si>
    <t>156NNXN</t>
  </si>
  <si>
    <t>156NNNX</t>
  </si>
  <si>
    <t>156NNNN</t>
  </si>
  <si>
    <t>157XXX</t>
  </si>
  <si>
    <t>DryBean_3</t>
  </si>
  <si>
    <t>{AspectRatio, Perimeter, Roundness}</t>
  </si>
  <si>
    <t>157XXN</t>
  </si>
  <si>
    <t>157XNX</t>
  </si>
  <si>
    <t>157XNN</t>
  </si>
  <si>
    <t>157NXX</t>
  </si>
  <si>
    <t>157NXN</t>
  </si>
  <si>
    <t>157NNX</t>
  </si>
  <si>
    <t>157NNN</t>
  </si>
  <si>
    <t>158XXXX</t>
  </si>
  <si>
    <t>IndividualHouseholdPowerConsumption4</t>
  </si>
  <si>
    <t>{Global_intensity, Sub_metering_2, Sub_metering_3, Voltage}</t>
  </si>
  <si>
    <t>158XXXN</t>
  </si>
  <si>
    <t>158XXNX</t>
  </si>
  <si>
    <t>158XXNN</t>
  </si>
  <si>
    <t>158XNXX</t>
  </si>
  <si>
    <t>158XNXN</t>
  </si>
  <si>
    <t>158XNNX</t>
  </si>
  <si>
    <t>158XNNN</t>
  </si>
  <si>
    <t>158NXXX</t>
  </si>
  <si>
    <t>158NXXN</t>
  </si>
  <si>
    <t>158NXNX</t>
  </si>
  <si>
    <t>158NXNN</t>
  </si>
  <si>
    <t>158NNXX</t>
  </si>
  <si>
    <t>158NNXN</t>
  </si>
  <si>
    <t>158NNNX</t>
  </si>
  <si>
    <t>158NNNN</t>
  </si>
  <si>
    <t>159XXX</t>
  </si>
  <si>
    <t>AutoMPG7</t>
  </si>
  <si>
    <t>{acceleration, displacement, weight}</t>
  </si>
  <si>
    <t>159XXN</t>
  </si>
  <si>
    <t>159XNX</t>
  </si>
  <si>
    <t>159XNN</t>
  </si>
  <si>
    <t>159NXX</t>
  </si>
  <si>
    <t>159NXN</t>
  </si>
  <si>
    <t>159NNX</t>
  </si>
  <si>
    <t>159NNN</t>
  </si>
  <si>
    <t>160XXX</t>
  </si>
  <si>
    <t>AutoMPG8</t>
  </si>
  <si>
    <t>160XXN</t>
  </si>
  <si>
    <t>160XNX</t>
  </si>
  <si>
    <t>160XNN</t>
  </si>
  <si>
    <t>160NXX</t>
  </si>
  <si>
    <t>160NXN</t>
  </si>
  <si>
    <t>160NNX</t>
  </si>
  <si>
    <t>160NNN</t>
  </si>
  <si>
    <t>75XXX</t>
  </si>
  <si>
    <t>AutoMPG5</t>
  </si>
  <si>
    <t>75XXN</t>
  </si>
  <si>
    <t>75XNX</t>
  </si>
  <si>
    <t>75XNN</t>
  </si>
  <si>
    <t>75NXX</t>
  </si>
  <si>
    <t>75NXN</t>
  </si>
  <si>
    <t>75NNX</t>
  </si>
  <si>
    <t>75NNN</t>
  </si>
  <si>
    <t>78XXX</t>
  </si>
  <si>
    <t>Abalone4</t>
  </si>
  <si>
    <t>{Diameter, Length, Whole Weight}</t>
  </si>
  <si>
    <t>78XXN</t>
  </si>
  <si>
    <t>78XNX</t>
  </si>
  <si>
    <t>78XNN</t>
  </si>
  <si>
    <t>78NXX</t>
  </si>
  <si>
    <t>78NXN</t>
  </si>
  <si>
    <t>78NNX</t>
  </si>
  <si>
    <t>78NNN</t>
  </si>
  <si>
    <t>79XXX</t>
  </si>
  <si>
    <t>Abalone5</t>
  </si>
  <si>
    <t>{Height, Length, Whole Weight}</t>
  </si>
  <si>
    <t>79XXN</t>
  </si>
  <si>
    <t>79XNX</t>
  </si>
  <si>
    <t>79XNN</t>
  </si>
  <si>
    <t>79NXX</t>
  </si>
  <si>
    <t>79NXN</t>
  </si>
  <si>
    <t>79NNX</t>
  </si>
  <si>
    <t>79NNN</t>
  </si>
  <si>
    <t>80XXX</t>
  </si>
  <si>
    <t>Abalone6</t>
  </si>
  <si>
    <t>{Diameter, Rings, Shucked Weight}</t>
  </si>
  <si>
    <t>80XXN</t>
  </si>
  <si>
    <t>80XNX</t>
  </si>
  <si>
    <t>80XNN</t>
  </si>
  <si>
    <t>80NXX</t>
  </si>
  <si>
    <t>80NXN</t>
  </si>
  <si>
    <t>80NNX</t>
  </si>
  <si>
    <t>80NNN</t>
  </si>
  <si>
    <t>81XXX</t>
  </si>
  <si>
    <t>Adult10</t>
  </si>
  <si>
    <t>{age, cap-gain, cap-loss}</t>
  </si>
  <si>
    <t>81XXN</t>
  </si>
  <si>
    <t>81XNX</t>
  </si>
  <si>
    <t>81XNN</t>
  </si>
  <si>
    <t>81NXX</t>
  </si>
  <si>
    <t>81NXN</t>
  </si>
  <si>
    <t>81NNX</t>
  </si>
  <si>
    <t>81NNN</t>
  </si>
  <si>
    <t>82XXX</t>
  </si>
  <si>
    <t>ConcreteCompressiveStrength4</t>
  </si>
  <si>
    <t>{blast furnace slag, fly ash, water}</t>
  </si>
  <si>
    <t>82XXN</t>
  </si>
  <si>
    <t>82XNX</t>
  </si>
  <si>
    <t>82XNN</t>
  </si>
  <si>
    <t>82NXX</t>
  </si>
  <si>
    <t>82NXN</t>
  </si>
  <si>
    <t>82NNX</t>
  </si>
  <si>
    <t>82NNN</t>
  </si>
  <si>
    <t>83XXX</t>
  </si>
  <si>
    <t>ConcreteCompressiveStrength5</t>
  </si>
  <si>
    <t>{blast furnace slag, fly ash, superplasticizer}</t>
  </si>
  <si>
    <t>83XXN</t>
  </si>
  <si>
    <t>83XNX</t>
  </si>
  <si>
    <t>83XNN</t>
  </si>
  <si>
    <t>83NXX</t>
  </si>
  <si>
    <t>83NXN</t>
  </si>
  <si>
    <t>83NNX</t>
  </si>
  <si>
    <t>83NNN</t>
  </si>
  <si>
    <t>84XXX</t>
  </si>
  <si>
    <t>SeoulBikeDemandDataset_8</t>
  </si>
  <si>
    <t>{Rainfall(mm), Rented Bike Count, Snowfall (cm)}</t>
  </si>
  <si>
    <t>84XXN</t>
  </si>
  <si>
    <t>84XNX</t>
  </si>
  <si>
    <t>84XNN</t>
  </si>
  <si>
    <t>84NXX</t>
  </si>
  <si>
    <t>84NXN</t>
  </si>
  <si>
    <t>84NNX</t>
  </si>
  <si>
    <t>84NNN</t>
  </si>
  <si>
    <t>85XXX</t>
  </si>
  <si>
    <t>WineQualityWhite5</t>
  </si>
  <si>
    <t>{chlorides, citric acid, free sulfur dioxide}</t>
  </si>
  <si>
    <t>85XXN</t>
  </si>
  <si>
    <t>85XNX</t>
  </si>
  <si>
    <t>85XNN</t>
  </si>
  <si>
    <t>85NXX</t>
  </si>
  <si>
    <t>85NXN</t>
  </si>
  <si>
    <t>85NNX</t>
  </si>
  <si>
    <t>85NNN</t>
  </si>
  <si>
    <t>86XXX</t>
  </si>
  <si>
    <t>IndividualHouseholdPowerConsumption3</t>
  </si>
  <si>
    <t>{Sub_metering_2, Sub_metering_3, Voltage}</t>
  </si>
  <si>
    <t>86XXN</t>
  </si>
  <si>
    <t>86XNX</t>
  </si>
  <si>
    <t>86XNN</t>
  </si>
  <si>
    <t>86NXX</t>
  </si>
  <si>
    <t>86NXN</t>
  </si>
  <si>
    <t>86NNX</t>
  </si>
  <si>
    <t>86NNN</t>
  </si>
  <si>
    <t>87XX</t>
  </si>
  <si>
    <t>Hong_Kong_Weather_1</t>
  </si>
  <si>
    <t>{min_temp, pressure}</t>
  </si>
  <si>
    <t>87XN</t>
  </si>
  <si>
    <t>87NX</t>
  </si>
  <si>
    <t>87NN</t>
  </si>
  <si>
    <t>88XXX</t>
  </si>
  <si>
    <t>Hong_Kong_Weather_2</t>
  </si>
  <si>
    <t>{mean_dew_point_temp, min_temp, pressure}</t>
  </si>
  <si>
    <t>88XXN</t>
  </si>
  <si>
    <t>88XNX</t>
  </si>
  <si>
    <t>88XNN</t>
  </si>
  <si>
    <t>88NXX</t>
  </si>
  <si>
    <t>88NXN</t>
  </si>
  <si>
    <t>88NNX</t>
  </si>
  <si>
    <t>88NNN</t>
  </si>
  <si>
    <t>89XX</t>
  </si>
  <si>
    <t>DryBean_1</t>
  </si>
  <si>
    <t>{Compactness, Eccentricity}</t>
  </si>
  <si>
    <t>89XN</t>
  </si>
  <si>
    <t>89NX</t>
  </si>
  <si>
    <t>89NN</t>
  </si>
  <si>
    <t>90XXX</t>
  </si>
  <si>
    <t>DryBean_2</t>
  </si>
  <si>
    <t>{Area, Compactness, Eccentricity}</t>
  </si>
  <si>
    <t>90XXN</t>
  </si>
  <si>
    <t>90XNX</t>
  </si>
  <si>
    <t>90XNN</t>
  </si>
  <si>
    <t>90NXX</t>
  </si>
  <si>
    <t>90NXN</t>
  </si>
  <si>
    <t>90NNX</t>
  </si>
  <si>
    <t>90NNN</t>
  </si>
  <si>
    <t>Target (or sym)</t>
  </si>
  <si>
    <t>Mean</t>
  </si>
  <si>
    <t>Median</t>
  </si>
  <si>
    <t>Average Benchmark (sequential timing)</t>
  </si>
  <si>
    <t>Average Benchmark (cluster_time)</t>
  </si>
  <si>
    <t>TargetN</t>
  </si>
  <si>
    <t>#N</t>
  </si>
  <si>
    <t>Gain &lt;=0</t>
  </si>
  <si>
    <t>Gain &gt; 0</t>
  </si>
  <si>
    <t>Pref</t>
  </si>
  <si>
    <t>Pref&amp;Target</t>
  </si>
  <si>
    <t>Gain</t>
  </si>
  <si>
    <t>Dominance Checks</t>
  </si>
  <si>
    <t>Execution Time</t>
  </si>
  <si>
    <t>Non-Causal</t>
  </si>
  <si>
    <t>lnSky. (0.6, 0.4)</t>
  </si>
  <si>
    <t>lnSky. w/ inf. 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</si>
</sst>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# of Dominance Checks 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/>
              <a:t>(real graphs)</a:t>
            </a:r>
          </a:p>
        </c:rich>
      </c:tx>
      <c:layout>
        <c:manualLayout>
          <c:xMode val="edge"/>
          <c:yMode val="edge"/>
          <c:x val="0.26648745522122863"/>
          <c:y val="3.7334219163625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33019643835067"/>
          <c:y val="0.22272181718713366"/>
          <c:w val="0.84836401767984138"/>
          <c:h val="0.5842379042274389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Summary!$A$3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cat>
            <c:strRef>
              <c:f>Summary!$B$2:$F$2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Summary!$B$3:$F$3</c:f>
              <c:numCache>
                <c:formatCode>General</c:formatCode>
                <c:ptCount val="5"/>
                <c:pt idx="0">
                  <c:v>2408467.8947368427</c:v>
                </c:pt>
                <c:pt idx="1">
                  <c:v>3929169.3368421048</c:v>
                </c:pt>
                <c:pt idx="2">
                  <c:v>4556204.4736842103</c:v>
                </c:pt>
                <c:pt idx="3">
                  <c:v>4656147.4789473685</c:v>
                </c:pt>
                <c:pt idx="4">
                  <c:v>7453565.2631578948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8-47F1-8136-DA5369739FCF}"/>
            </c:ext>
          </c:extLst>
        </c:ser>
        <c:ser>
          <c:idx val="5"/>
          <c:order val="1"/>
          <c:tx>
            <c:strRef>
              <c:f>Summary!$A$4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f>Summary!$B$2:$F$2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Summary!$B$4:$F$4</c:f>
              <c:numCache>
                <c:formatCode>General</c:formatCode>
                <c:ptCount val="5"/>
                <c:pt idx="0">
                  <c:v>1628461.7253132835</c:v>
                </c:pt>
                <c:pt idx="1">
                  <c:v>1170930.5343358398</c:v>
                </c:pt>
                <c:pt idx="2">
                  <c:v>1368880.0804511278</c:v>
                </c:pt>
                <c:pt idx="3">
                  <c:v>3588291.6649122811</c:v>
                </c:pt>
                <c:pt idx="4">
                  <c:v>1923083.5824561401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8-47F1-8136-DA5369739FCF}"/>
            </c:ext>
          </c:extLst>
        </c:ser>
        <c:ser>
          <c:idx val="1"/>
          <c:order val="2"/>
          <c:tx>
            <c:strRef>
              <c:f>Summary!$A$5</c:f>
              <c:strCache>
                <c:ptCount val="1"/>
                <c:pt idx="0">
                  <c:v>lnSky. w/ inf. DAG</c:v>
                </c:pt>
              </c:strCache>
            </c:strRef>
          </c:tx>
          <c:spPr>
            <a:solidFill>
              <a:srgbClr val="009E73"/>
            </a:solidFill>
            <a:ln>
              <a:noFill/>
            </a:ln>
            <a:effectLst/>
          </c:spPr>
          <c:invertIfNegative val="0"/>
          <c:cat>
            <c:strRef>
              <c:f>Summary!$B$2:$F$2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Summary!$B$5:$F$5</c:f>
              <c:numCache>
                <c:formatCode>General</c:formatCode>
                <c:ptCount val="5"/>
                <c:pt idx="0">
                  <c:v>1277765.2894736843</c:v>
                </c:pt>
                <c:pt idx="1">
                  <c:v>1135011.6473684215</c:v>
                </c:pt>
                <c:pt idx="2">
                  <c:v>1037503.1631578946</c:v>
                </c:pt>
                <c:pt idx="3">
                  <c:v>3603658.6210526316</c:v>
                </c:pt>
                <c:pt idx="4">
                  <c:v>2026629.4210526317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8-47F1-8136-DA5369739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</a:rPr>
                  <a:t># of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4008974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Execution Time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/>
              <a:t>(real graphs)</a:t>
            </a:r>
          </a:p>
        </c:rich>
      </c:tx>
      <c:layout>
        <c:manualLayout>
          <c:xMode val="edge"/>
          <c:yMode val="edge"/>
          <c:x val="0.33101298747397778"/>
          <c:y val="3.7334219163625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2398301448747"/>
          <c:y val="0.22272181718713366"/>
          <c:w val="0.87227023110370461"/>
          <c:h val="0.5842379042274389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Summary!$H$3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cat>
            <c:strRef>
              <c:f>Summary!$I$2:$M$2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Summary!$I$3:$M$3</c:f>
              <c:numCache>
                <c:formatCode>General</c:formatCode>
                <c:ptCount val="5"/>
                <c:pt idx="0">
                  <c:v>2.1598267327363017</c:v>
                </c:pt>
                <c:pt idx="1">
                  <c:v>2.9966932935257264</c:v>
                </c:pt>
                <c:pt idx="2">
                  <c:v>3.7183700868767975</c:v>
                </c:pt>
                <c:pt idx="3">
                  <c:v>2.2138695855410524</c:v>
                </c:pt>
                <c:pt idx="4">
                  <c:v>4.2239395179788852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A-45CE-97A1-7D137BEB235A}"/>
            </c:ext>
          </c:extLst>
        </c:ser>
        <c:ser>
          <c:idx val="5"/>
          <c:order val="1"/>
          <c:tx>
            <c:strRef>
              <c:f>Summary!$H$4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f>Summary!$I$2:$M$2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Summary!$I$4:$M$4</c:f>
              <c:numCache>
                <c:formatCode>General</c:formatCode>
                <c:ptCount val="5"/>
                <c:pt idx="0">
                  <c:v>1.6059582397208096</c:v>
                </c:pt>
                <c:pt idx="1">
                  <c:v>1.265506059129363</c:v>
                </c:pt>
                <c:pt idx="2">
                  <c:v>1.6692291500592309</c:v>
                </c:pt>
                <c:pt idx="3">
                  <c:v>2.0746859792974588</c:v>
                </c:pt>
                <c:pt idx="4">
                  <c:v>2.5518904156052891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A-45CE-97A1-7D137BEB235A}"/>
            </c:ext>
          </c:extLst>
        </c:ser>
        <c:ser>
          <c:idx val="1"/>
          <c:order val="2"/>
          <c:tx>
            <c:strRef>
              <c:f>Summary!$H$5</c:f>
              <c:strCache>
                <c:ptCount val="1"/>
                <c:pt idx="0">
                  <c:v>lnSky. w/ inf. DAG</c:v>
                </c:pt>
              </c:strCache>
            </c:strRef>
          </c:tx>
          <c:spPr>
            <a:solidFill>
              <a:srgbClr val="009E73"/>
            </a:solidFill>
            <a:ln>
              <a:noFill/>
            </a:ln>
            <a:effectLst/>
          </c:spPr>
          <c:invertIfNegative val="0"/>
          <c:cat>
            <c:strRef>
              <c:f>Summary!$I$2:$M$2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Summary!$I$5:$M$5</c:f>
              <c:numCache>
                <c:formatCode>General</c:formatCode>
                <c:ptCount val="5"/>
                <c:pt idx="0">
                  <c:v>1.3750872245680317</c:v>
                </c:pt>
                <c:pt idx="1">
                  <c:v>1.4811652509847928</c:v>
                </c:pt>
                <c:pt idx="2">
                  <c:v>1.5150468698229431</c:v>
                </c:pt>
                <c:pt idx="3">
                  <c:v>1.930161246526864</c:v>
                </c:pt>
                <c:pt idx="4">
                  <c:v>2.3498893235609435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A-45CE-97A1-7D137BEB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</a:rPr>
                  <a:t>Execution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4008974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11</xdr:col>
      <xdr:colOff>419284</xdr:colOff>
      <xdr:row>25</xdr:row>
      <xdr:rowOff>167174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A917BE-7EC7-4FA5-9927-8D23E1F90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</xdr:row>
      <xdr:rowOff>0</xdr:rowOff>
    </xdr:from>
    <xdr:to>
      <xdr:col>24</xdr:col>
      <xdr:colOff>288686</xdr:colOff>
      <xdr:row>25</xdr:row>
      <xdr:rowOff>167174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770E0D-9402-47C8-983C-3C4500DBF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B2ED-0C3D-4BCD-AE67-838ED13C9F25}">
  <dimension ref="A1:M5"/>
  <sheetViews>
    <sheetView tabSelected="1" workbookViewId="0">
      <selection activeCell="O1" sqref="O1"/>
    </sheetView>
  </sheetViews>
  <sheetFormatPr defaultRowHeight="14.4" x14ac:dyDescent="0.3"/>
  <cols>
    <col min="1" max="1" width="15.88671875" bestFit="1" customWidth="1"/>
    <col min="8" max="8" width="15.88671875" bestFit="1" customWidth="1"/>
  </cols>
  <sheetData>
    <row r="1" spans="1:13" x14ac:dyDescent="0.3">
      <c r="A1" s="8" t="s">
        <v>215</v>
      </c>
      <c r="B1" s="8" t="s">
        <v>226</v>
      </c>
      <c r="H1" s="8" t="s">
        <v>215</v>
      </c>
      <c r="I1" s="8" t="s">
        <v>227</v>
      </c>
    </row>
    <row r="2" spans="1:13" x14ac:dyDescent="0.3">
      <c r="B2" s="5" t="s">
        <v>4</v>
      </c>
      <c r="C2" s="5" t="s">
        <v>7</v>
      </c>
      <c r="D2" s="5" t="s">
        <v>11</v>
      </c>
      <c r="E2" s="5" t="s">
        <v>13</v>
      </c>
      <c r="F2" s="5" t="s">
        <v>15</v>
      </c>
      <c r="G2" s="9"/>
      <c r="I2" s="5" t="s">
        <v>4</v>
      </c>
      <c r="J2" s="5" t="s">
        <v>7</v>
      </c>
      <c r="K2" s="5" t="s">
        <v>11</v>
      </c>
      <c r="L2" s="5" t="s">
        <v>13</v>
      </c>
      <c r="M2" s="5" t="s">
        <v>15</v>
      </c>
    </row>
    <row r="3" spans="1:13" x14ac:dyDescent="0.3">
      <c r="A3" s="4" t="s">
        <v>228</v>
      </c>
      <c r="B3">
        <f>'Pure Decorrelation'!$M$765</f>
        <v>2408467.8947368427</v>
      </c>
      <c r="C3">
        <f>'Pure Decorrelation'!$P$765</f>
        <v>3929169.3368421048</v>
      </c>
      <c r="D3">
        <f>'Pure Decorrelation'!$R$765</f>
        <v>4556204.4736842103</v>
      </c>
      <c r="E3">
        <f>'Pure Decorrelation'!$T$765</f>
        <v>4656147.4789473685</v>
      </c>
      <c r="F3">
        <f>'Pure Decorrelation'!$V$765</f>
        <v>7453565.2631578948</v>
      </c>
      <c r="H3" s="4" t="s">
        <v>228</v>
      </c>
      <c r="I3">
        <f>'Pure Decorrelation'!$Y$765</f>
        <v>2.1598267327363017</v>
      </c>
      <c r="J3">
        <f>'Pure Decorrelation'!$AB$765</f>
        <v>2.9966932935257264</v>
      </c>
      <c r="K3">
        <f>'Pure Decorrelation'!$AD$765</f>
        <v>3.7183700868767975</v>
      </c>
      <c r="L3">
        <f>'Pure Decorrelation'!$AF$765</f>
        <v>2.2138695855410524</v>
      </c>
      <c r="M3">
        <f>'Pure Decorrelation'!$AH$765</f>
        <v>4.2239395179788852</v>
      </c>
    </row>
    <row r="4" spans="1:13" x14ac:dyDescent="0.3">
      <c r="A4" s="4" t="s">
        <v>229</v>
      </c>
      <c r="B4">
        <f>'Provided DAG'!$N$765</f>
        <v>1628461.7253132835</v>
      </c>
      <c r="C4">
        <f>'Provided DAG'!$Q$765</f>
        <v>1170930.5343358398</v>
      </c>
      <c r="D4">
        <f>'Provided DAG'!$S$765</f>
        <v>1368880.0804511278</v>
      </c>
      <c r="E4">
        <f>'Provided DAG'!$U$765</f>
        <v>3588291.6649122811</v>
      </c>
      <c r="F4">
        <f>'Provided DAG'!$W$765</f>
        <v>1923083.5824561401</v>
      </c>
      <c r="H4" s="4" t="s">
        <v>229</v>
      </c>
      <c r="I4">
        <f>'Provided DAG'!$Z$765</f>
        <v>1.6059582397208096</v>
      </c>
      <c r="J4">
        <f>'Provided DAG'!$AC$765</f>
        <v>1.265506059129363</v>
      </c>
      <c r="K4">
        <f>'Provided DAG'!$AE$765</f>
        <v>1.6692291500592309</v>
      </c>
      <c r="L4">
        <f>'Provided DAG'!$AG$765</f>
        <v>2.0746859792974588</v>
      </c>
      <c r="M4">
        <f>'Provided DAG'!$AI$765</f>
        <v>2.5518904156052891</v>
      </c>
    </row>
    <row r="5" spans="1:13" x14ac:dyDescent="0.3">
      <c r="A5" s="4" t="s">
        <v>230</v>
      </c>
      <c r="B5">
        <f>'Inferred DAG'!$G$383</f>
        <v>1277765.2894736843</v>
      </c>
      <c r="C5">
        <f>'Inferred DAG'!$J$383</f>
        <v>1135011.6473684215</v>
      </c>
      <c r="D5">
        <f>'Inferred DAG'!$N$383</f>
        <v>1037503.1631578946</v>
      </c>
      <c r="E5">
        <f>'Inferred DAG'!$P$383</f>
        <v>3603658.6210526316</v>
      </c>
      <c r="F5">
        <f>'Inferred DAG'!$R$383</f>
        <v>2026629.4210526317</v>
      </c>
      <c r="H5" s="4" t="s">
        <v>230</v>
      </c>
      <c r="I5">
        <f>'Inferred DAG'!$U$383</f>
        <v>1.3750872245680317</v>
      </c>
      <c r="J5">
        <f>'Inferred DAG'!$X$383</f>
        <v>1.4811652509847928</v>
      </c>
      <c r="K5">
        <f>'Inferred DAG'!$AB$383</f>
        <v>1.5150468698229431</v>
      </c>
      <c r="L5">
        <f>'Inferred DAG'!$AD$383</f>
        <v>1.930161246526864</v>
      </c>
      <c r="M5">
        <f>'Inferred DAG'!$AF$383</f>
        <v>2.3498893235609435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30F1-4202-4BC9-B672-ABFFCCFA1FA7}">
  <dimension ref="A1:AY771"/>
  <sheetViews>
    <sheetView topLeftCell="P745" zoomScale="85" zoomScaleNormal="85" workbookViewId="0">
      <selection activeCell="AH769" sqref="AH769"/>
    </sheetView>
  </sheetViews>
  <sheetFormatPr defaultRowHeight="14.4" x14ac:dyDescent="0.3"/>
  <cols>
    <col min="13" max="13" width="11.77734375" bestFit="1" customWidth="1"/>
    <col min="15" max="16" width="10.77734375" bestFit="1" customWidth="1"/>
    <col min="17" max="17" width="9.77734375" bestFit="1" customWidth="1"/>
    <col min="18" max="18" width="10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11" t="s">
        <v>0</v>
      </c>
      <c r="N1" s="12"/>
      <c r="O1" s="12"/>
      <c r="P1" s="12"/>
      <c r="Q1" s="12"/>
      <c r="R1" s="12"/>
      <c r="S1" s="12"/>
      <c r="T1" s="12"/>
      <c r="U1" s="12"/>
      <c r="V1" s="12"/>
      <c r="W1" s="12"/>
      <c r="Y1" s="11" t="s">
        <v>217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K1" s="11" t="s">
        <v>2</v>
      </c>
      <c r="AL1" s="12"/>
      <c r="AM1" s="12"/>
      <c r="AN1" s="12"/>
      <c r="AO1" s="12"/>
      <c r="AP1" s="12"/>
      <c r="AQ1" s="12"/>
      <c r="AR1" s="12"/>
      <c r="AS1" s="12"/>
      <c r="AT1" s="12"/>
      <c r="AU1" s="12"/>
      <c r="AW1" s="1" t="s">
        <v>218</v>
      </c>
    </row>
    <row r="2" spans="1:51" x14ac:dyDescent="0.3">
      <c r="F2" s="7" t="s">
        <v>219</v>
      </c>
      <c r="G2" s="7" t="s">
        <v>220</v>
      </c>
      <c r="H2" t="s">
        <v>214</v>
      </c>
      <c r="I2" t="s">
        <v>221</v>
      </c>
      <c r="J2" t="s">
        <v>222</v>
      </c>
      <c r="K2" t="s">
        <v>223</v>
      </c>
      <c r="L2" t="s">
        <v>224</v>
      </c>
      <c r="M2" s="10" t="s">
        <v>4</v>
      </c>
      <c r="N2" s="10" t="s">
        <v>5</v>
      </c>
      <c r="O2" s="10" t="s">
        <v>6</v>
      </c>
      <c r="P2" s="10" t="s">
        <v>7</v>
      </c>
      <c r="Q2" s="10" t="s">
        <v>8</v>
      </c>
      <c r="R2" s="10" t="s">
        <v>11</v>
      </c>
      <c r="S2" s="10" t="s">
        <v>12</v>
      </c>
      <c r="T2" s="10" t="s">
        <v>13</v>
      </c>
      <c r="U2" s="10" t="s">
        <v>14</v>
      </c>
      <c r="V2" s="10" t="s">
        <v>15</v>
      </c>
      <c r="W2" s="10" t="s">
        <v>16</v>
      </c>
      <c r="Y2" s="10" t="s">
        <v>4</v>
      </c>
      <c r="Z2" s="10" t="s">
        <v>5</v>
      </c>
      <c r="AA2" s="10" t="s">
        <v>6</v>
      </c>
      <c r="AB2" s="10" t="s">
        <v>7</v>
      </c>
      <c r="AC2" s="10" t="s">
        <v>8</v>
      </c>
      <c r="AD2" s="10" t="s">
        <v>11</v>
      </c>
      <c r="AE2" s="10" t="s">
        <v>12</v>
      </c>
      <c r="AF2" s="10" t="s">
        <v>13</v>
      </c>
      <c r="AG2" s="10" t="s">
        <v>14</v>
      </c>
      <c r="AH2" s="10" t="s">
        <v>15</v>
      </c>
      <c r="AI2" s="10" t="s">
        <v>16</v>
      </c>
      <c r="AK2" s="10" t="s">
        <v>4</v>
      </c>
      <c r="AL2" s="10" t="s">
        <v>5</v>
      </c>
      <c r="AM2" s="10" t="s">
        <v>6</v>
      </c>
      <c r="AN2" s="10" t="s">
        <v>7</v>
      </c>
      <c r="AO2" s="10" t="s">
        <v>8</v>
      </c>
      <c r="AP2" s="10" t="s">
        <v>11</v>
      </c>
      <c r="AQ2" s="10" t="s">
        <v>12</v>
      </c>
      <c r="AR2" s="10" t="s">
        <v>13</v>
      </c>
      <c r="AS2" s="10" t="s">
        <v>14</v>
      </c>
      <c r="AT2" s="10" t="s">
        <v>15</v>
      </c>
      <c r="AU2" s="10" t="s">
        <v>16</v>
      </c>
      <c r="AW2" s="10" t="s">
        <v>17</v>
      </c>
      <c r="AY2" s="2" t="s">
        <v>225</v>
      </c>
    </row>
    <row r="3" spans="1:51" x14ac:dyDescent="0.3">
      <c r="A3">
        <v>21</v>
      </c>
      <c r="B3" t="s">
        <v>18</v>
      </c>
      <c r="C3" t="s">
        <v>19</v>
      </c>
      <c r="D3" t="s">
        <v>20</v>
      </c>
      <c r="F3" s="7">
        <v>0</v>
      </c>
      <c r="G3" s="7">
        <v>0</v>
      </c>
      <c r="H3" s="3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984737.8</v>
      </c>
      <c r="N3">
        <v>10022863.4</v>
      </c>
      <c r="O3">
        <v>10082711.199999999</v>
      </c>
      <c r="P3">
        <v>1004122.8</v>
      </c>
      <c r="Q3">
        <v>5817876.7999999998</v>
      </c>
      <c r="R3">
        <v>881239.4</v>
      </c>
      <c r="S3">
        <v>10274494</v>
      </c>
      <c r="T3">
        <v>4185627.2</v>
      </c>
      <c r="U3">
        <v>4336446.8</v>
      </c>
      <c r="V3">
        <v>1396199.2</v>
      </c>
      <c r="W3">
        <v>8664971.5999999996</v>
      </c>
      <c r="Y3">
        <v>1.371865545783657</v>
      </c>
      <c r="Z3">
        <v>7.3616698622121479</v>
      </c>
      <c r="AA3">
        <v>7.3149721455643881</v>
      </c>
      <c r="AB3">
        <v>1.607515723194229</v>
      </c>
      <c r="AC3">
        <v>5.2482227500062439</v>
      </c>
      <c r="AD3">
        <v>1.090254262799863</v>
      </c>
      <c r="AE3">
        <v>8.1007790300296616</v>
      </c>
      <c r="AF3">
        <v>1.5241145187756051</v>
      </c>
      <c r="AG3">
        <v>2.7269406535662708</v>
      </c>
      <c r="AH3">
        <v>2.958229601394851</v>
      </c>
      <c r="AI3">
        <v>14.57607608536491</v>
      </c>
      <c r="AK3">
        <v>1.371865545783657</v>
      </c>
      <c r="AL3">
        <v>2.5448768859729172</v>
      </c>
      <c r="AM3">
        <v>2.549264932365622</v>
      </c>
      <c r="AN3">
        <v>1.607515723194229</v>
      </c>
      <c r="AO3">
        <v>1.883196123607922</v>
      </c>
      <c r="AP3">
        <v>1.090254262799863</v>
      </c>
      <c r="AQ3">
        <v>2.9239905918249862</v>
      </c>
      <c r="AR3">
        <v>0.97509710196172816</v>
      </c>
      <c r="AS3">
        <v>0.64183103158138688</v>
      </c>
      <c r="AT3">
        <v>2.958229601394851</v>
      </c>
      <c r="AU3">
        <v>11.772233658388719</v>
      </c>
      <c r="AW3">
        <v>0.31142346620326861</v>
      </c>
      <c r="AY3">
        <v>1</v>
      </c>
    </row>
    <row r="4" spans="1:51" x14ac:dyDescent="0.3">
      <c r="A4">
        <v>21</v>
      </c>
      <c r="B4" t="s">
        <v>21</v>
      </c>
      <c r="C4" t="s">
        <v>19</v>
      </c>
      <c r="D4" t="s">
        <v>20</v>
      </c>
      <c r="F4" s="7">
        <v>0</v>
      </c>
      <c r="G4" s="7">
        <v>1</v>
      </c>
      <c r="H4" s="3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9774060</v>
      </c>
      <c r="N4">
        <v>4768147.5999999996</v>
      </c>
      <c r="O4">
        <v>4743320.2</v>
      </c>
      <c r="P4">
        <v>14747945.4</v>
      </c>
      <c r="Q4">
        <v>1555096.6</v>
      </c>
      <c r="R4">
        <v>16571915</v>
      </c>
      <c r="S4">
        <v>3159799.4</v>
      </c>
      <c r="T4">
        <v>4907318.2</v>
      </c>
      <c r="U4">
        <v>3939126.4</v>
      </c>
      <c r="V4">
        <v>21091677.399999999</v>
      </c>
      <c r="W4">
        <v>2550318.6</v>
      </c>
      <c r="Y4">
        <v>8.3853129845927477</v>
      </c>
      <c r="Z4">
        <v>3.8032575646066111</v>
      </c>
      <c r="AA4">
        <v>3.7796305642114021</v>
      </c>
      <c r="AB4">
        <v>7.9825206500012431</v>
      </c>
      <c r="AC4">
        <v>2.201966765586985</v>
      </c>
      <c r="AD4">
        <v>11.33787458079169</v>
      </c>
      <c r="AE4">
        <v>3.3661470956401902</v>
      </c>
      <c r="AF4">
        <v>2.1943270763615148</v>
      </c>
      <c r="AG4">
        <v>2.3247524692094879</v>
      </c>
      <c r="AH4">
        <v>7.951091266609728</v>
      </c>
      <c r="AI4">
        <v>5.5401984097436072</v>
      </c>
      <c r="AK4">
        <v>8.3853129845927477</v>
      </c>
      <c r="AL4">
        <v>1.646166047197767</v>
      </c>
      <c r="AM4">
        <v>1.628709727607202</v>
      </c>
      <c r="AN4">
        <v>7.9825206500012431</v>
      </c>
      <c r="AO4">
        <v>0.97883885038318108</v>
      </c>
      <c r="AP4">
        <v>11.33787458079169</v>
      </c>
      <c r="AQ4">
        <v>1.2861934142420071</v>
      </c>
      <c r="AR4">
        <v>1.2434554775711151</v>
      </c>
      <c r="AS4">
        <v>0.63097686200635505</v>
      </c>
      <c r="AT4">
        <v>7.951091266609728</v>
      </c>
      <c r="AU4">
        <v>3.943318069167435</v>
      </c>
      <c r="AW4">
        <v>0.31174662220291788</v>
      </c>
      <c r="AY4">
        <v>1</v>
      </c>
    </row>
    <row r="5" spans="1:51" x14ac:dyDescent="0.3">
      <c r="A5">
        <v>21</v>
      </c>
      <c r="B5" t="s">
        <v>22</v>
      </c>
      <c r="C5" t="s">
        <v>19</v>
      </c>
      <c r="D5" t="s">
        <v>20</v>
      </c>
      <c r="F5" s="7">
        <v>0</v>
      </c>
      <c r="G5" s="7">
        <v>1</v>
      </c>
      <c r="H5" s="3">
        <v>0</v>
      </c>
      <c r="I5">
        <f t="shared" si="0"/>
        <v>0</v>
      </c>
      <c r="J5">
        <f t="shared" si="1"/>
        <v>1</v>
      </c>
      <c r="K5">
        <v>4</v>
      </c>
      <c r="L5">
        <v>0</v>
      </c>
      <c r="M5">
        <v>4329316.4000000004</v>
      </c>
      <c r="N5">
        <v>5708330.4000000004</v>
      </c>
      <c r="O5">
        <v>5876682.4000000004</v>
      </c>
      <c r="P5">
        <v>1278792.2</v>
      </c>
      <c r="Q5">
        <v>2762314.2</v>
      </c>
      <c r="R5">
        <v>616378.19999999995</v>
      </c>
      <c r="S5">
        <v>2267205</v>
      </c>
      <c r="T5">
        <v>4215981.4000000004</v>
      </c>
      <c r="U5">
        <v>3916185.8</v>
      </c>
      <c r="V5">
        <v>2636300</v>
      </c>
      <c r="W5">
        <v>3949562.8</v>
      </c>
      <c r="Y5">
        <v>3.828655961796176</v>
      </c>
      <c r="Z5">
        <v>4.4432907190057449</v>
      </c>
      <c r="AA5">
        <v>4.5239025023649448</v>
      </c>
      <c r="AB5">
        <v>2.3397782895946881</v>
      </c>
      <c r="AC5">
        <v>2.714683988422621</v>
      </c>
      <c r="AD5">
        <v>1.726516963983886</v>
      </c>
      <c r="AE5">
        <v>2.9614979039411988</v>
      </c>
      <c r="AF5">
        <v>1.5807120505487551</v>
      </c>
      <c r="AG5">
        <v>2.2169169667176898</v>
      </c>
      <c r="AH5">
        <v>3.668314809398725</v>
      </c>
      <c r="AI5">
        <v>7.5135419702040966</v>
      </c>
      <c r="AK5">
        <v>3.828655961796176</v>
      </c>
      <c r="AL5">
        <v>1.5569136271835311</v>
      </c>
      <c r="AM5">
        <v>1.638305972982198</v>
      </c>
      <c r="AN5">
        <v>2.3397782895946881</v>
      </c>
      <c r="AO5">
        <v>1.235776852385607</v>
      </c>
      <c r="AP5">
        <v>1.726516963983886</v>
      </c>
      <c r="AQ5">
        <v>1.1493316369946109</v>
      </c>
      <c r="AR5">
        <v>1.0567209487431679</v>
      </c>
      <c r="AS5">
        <v>0.56853996699210252</v>
      </c>
      <c r="AT5">
        <v>3.668314809398725</v>
      </c>
      <c r="AU5">
        <v>5.5275729479966689</v>
      </c>
      <c r="AW5">
        <v>0.32285666399402552</v>
      </c>
      <c r="AY5">
        <v>1</v>
      </c>
    </row>
    <row r="6" spans="1:51" x14ac:dyDescent="0.3">
      <c r="A6">
        <v>21</v>
      </c>
      <c r="B6" t="s">
        <v>23</v>
      </c>
      <c r="C6" t="s">
        <v>19</v>
      </c>
      <c r="D6" t="s">
        <v>20</v>
      </c>
      <c r="F6" s="7">
        <v>0</v>
      </c>
      <c r="G6" s="7">
        <v>0</v>
      </c>
      <c r="H6" s="3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2327862</v>
      </c>
      <c r="O6">
        <v>2333566.4</v>
      </c>
      <c r="P6">
        <v>1475770.8</v>
      </c>
      <c r="Q6">
        <v>639802.80000000005</v>
      </c>
      <c r="R6">
        <v>1030299.8</v>
      </c>
      <c r="S6">
        <v>781966.2</v>
      </c>
      <c r="T6">
        <v>4594408.8</v>
      </c>
      <c r="U6">
        <v>3608168.8</v>
      </c>
      <c r="V6">
        <v>8246724.5999999996</v>
      </c>
      <c r="W6">
        <v>1026269.8</v>
      </c>
      <c r="Y6">
        <v>4.3051407293882216</v>
      </c>
      <c r="Z6">
        <v>2.2448574927519069</v>
      </c>
      <c r="AA6">
        <v>2.2267145413788971</v>
      </c>
      <c r="AB6">
        <v>2.570054528606124</v>
      </c>
      <c r="AC6">
        <v>1.329627793986583</v>
      </c>
      <c r="AD6">
        <v>2.8279425699962299</v>
      </c>
      <c r="AE6">
        <v>1.922627424821258</v>
      </c>
      <c r="AF6">
        <v>1.8526587278232911</v>
      </c>
      <c r="AG6">
        <v>1.9668248630710881</v>
      </c>
      <c r="AH6">
        <v>5.3781421782216059</v>
      </c>
      <c r="AI6">
        <v>3.0659769427729771</v>
      </c>
      <c r="AK6">
        <v>4.3051407293882216</v>
      </c>
      <c r="AL6">
        <v>0.87471072617918255</v>
      </c>
      <c r="AM6">
        <v>0.87191543378867209</v>
      </c>
      <c r="AN6">
        <v>2.570054528606124</v>
      </c>
      <c r="AO6">
        <v>0.63183793218340722</v>
      </c>
      <c r="AP6">
        <v>2.8279425699962299</v>
      </c>
      <c r="AQ6">
        <v>0.74748457759851594</v>
      </c>
      <c r="AR6">
        <v>1.07301487083314</v>
      </c>
      <c r="AS6">
        <v>0.53986057523870845</v>
      </c>
      <c r="AT6">
        <v>5.3781421782216059</v>
      </c>
      <c r="AU6">
        <v>1.910186011367478</v>
      </c>
      <c r="AW6">
        <v>0.31912436959100893</v>
      </c>
      <c r="AY6">
        <v>1</v>
      </c>
    </row>
    <row r="7" spans="1:51" x14ac:dyDescent="0.3">
      <c r="A7">
        <v>21</v>
      </c>
      <c r="B7" t="s">
        <v>24</v>
      </c>
      <c r="C7" t="s">
        <v>19</v>
      </c>
      <c r="D7" t="s">
        <v>20</v>
      </c>
      <c r="F7" s="7">
        <v>0</v>
      </c>
      <c r="G7" s="7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8211267.7999999998</v>
      </c>
      <c r="O7">
        <v>8385658.4000000004</v>
      </c>
      <c r="P7">
        <v>3405256</v>
      </c>
      <c r="Q7">
        <v>5392684.4000000004</v>
      </c>
      <c r="R7">
        <v>1465331.4</v>
      </c>
      <c r="S7">
        <v>11978384</v>
      </c>
      <c r="T7">
        <v>4677209.5999999996</v>
      </c>
      <c r="U7">
        <v>4016900.4</v>
      </c>
      <c r="V7">
        <v>7657925.2000000002</v>
      </c>
      <c r="W7">
        <v>7117200.4000000004</v>
      </c>
      <c r="Y7">
        <v>1.745998588623479</v>
      </c>
      <c r="Z7">
        <v>6.7369938235962774</v>
      </c>
      <c r="AA7">
        <v>6.8520818875520488</v>
      </c>
      <c r="AB7">
        <v>3.1992729973979288</v>
      </c>
      <c r="AC7">
        <v>4.8323710231925361</v>
      </c>
      <c r="AD7">
        <v>2.892981030000374</v>
      </c>
      <c r="AE7">
        <v>10.556205437984319</v>
      </c>
      <c r="AF7">
        <v>2.0297542882035491</v>
      </c>
      <c r="AG7">
        <v>2.5032137821544889</v>
      </c>
      <c r="AH7">
        <v>5.2049517270061187</v>
      </c>
      <c r="AI7">
        <v>9.8846657634712756</v>
      </c>
      <c r="AK7">
        <v>1.745998588623479</v>
      </c>
      <c r="AL7">
        <v>4.2834748519933781</v>
      </c>
      <c r="AM7">
        <v>4.4000099075958126</v>
      </c>
      <c r="AN7">
        <v>3.1992729973979288</v>
      </c>
      <c r="AO7">
        <v>3.0720110869966448</v>
      </c>
      <c r="AP7">
        <v>2.892981030000374</v>
      </c>
      <c r="AQ7">
        <v>7.730213014408946</v>
      </c>
      <c r="AR7">
        <v>1.109715382009745</v>
      </c>
      <c r="AS7">
        <v>0.77787959835259246</v>
      </c>
      <c r="AT7">
        <v>5.2049517270061187</v>
      </c>
      <c r="AU7">
        <v>8.2927166930167004</v>
      </c>
      <c r="AW7">
        <v>0.3172036169911735</v>
      </c>
      <c r="AY7">
        <v>1</v>
      </c>
    </row>
    <row r="8" spans="1:51" x14ac:dyDescent="0.3">
      <c r="A8">
        <v>21</v>
      </c>
      <c r="B8" t="s">
        <v>25</v>
      </c>
      <c r="C8" t="s">
        <v>19</v>
      </c>
      <c r="D8" t="s">
        <v>20</v>
      </c>
      <c r="F8" s="7">
        <v>0</v>
      </c>
      <c r="G8" s="7">
        <v>0</v>
      </c>
      <c r="H8" s="3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4932159</v>
      </c>
      <c r="O8">
        <v>5277290.8</v>
      </c>
      <c r="P8">
        <v>5594837.2000000002</v>
      </c>
      <c r="Q8">
        <v>1744670</v>
      </c>
      <c r="R8">
        <v>4114032.2</v>
      </c>
      <c r="S8">
        <v>4301307.4000000004</v>
      </c>
      <c r="T8">
        <v>4018927.8</v>
      </c>
      <c r="U8">
        <v>4004214.4</v>
      </c>
      <c r="V8">
        <v>24198068.199999999</v>
      </c>
      <c r="W8">
        <v>2695408.4</v>
      </c>
      <c r="Y8">
        <v>5.2910014783963559</v>
      </c>
      <c r="Z8">
        <v>4.2471253887633793</v>
      </c>
      <c r="AA8">
        <v>4.4392391110421157</v>
      </c>
      <c r="AB8">
        <v>6.9649183743982572</v>
      </c>
      <c r="AC8">
        <v>2.550881217647111</v>
      </c>
      <c r="AD8">
        <v>6.292093955213204</v>
      </c>
      <c r="AE8">
        <v>4.1369935586000786</v>
      </c>
      <c r="AF8">
        <v>1.5069673505728129</v>
      </c>
      <c r="AG8">
        <v>2.529447287891526</v>
      </c>
      <c r="AH8">
        <v>8.443171339598484</v>
      </c>
      <c r="AI8">
        <v>6.5814193752594292</v>
      </c>
      <c r="AK8">
        <v>5.2910014783963559</v>
      </c>
      <c r="AL8">
        <v>1.6044603035552429</v>
      </c>
      <c r="AM8">
        <v>1.802669058204629</v>
      </c>
      <c r="AN8">
        <v>6.9649183743982572</v>
      </c>
      <c r="AO8">
        <v>1.048642413620837</v>
      </c>
      <c r="AP8">
        <v>6.292093955213204</v>
      </c>
      <c r="AQ8">
        <v>1.614074858790264</v>
      </c>
      <c r="AR8">
        <v>1.004748235177249</v>
      </c>
      <c r="AS8">
        <v>0.62829524958506222</v>
      </c>
      <c r="AT8">
        <v>8.443171339598484</v>
      </c>
      <c r="AU8">
        <v>4.9306730620330201</v>
      </c>
      <c r="AW8">
        <v>0.32276494558900592</v>
      </c>
      <c r="AY8">
        <v>1</v>
      </c>
    </row>
    <row r="9" spans="1:51" x14ac:dyDescent="0.3">
      <c r="A9">
        <v>21</v>
      </c>
      <c r="B9" t="s">
        <v>26</v>
      </c>
      <c r="C9" t="s">
        <v>19</v>
      </c>
      <c r="D9" t="s">
        <v>20</v>
      </c>
      <c r="F9" s="7">
        <v>0</v>
      </c>
      <c r="G9" s="7">
        <v>0</v>
      </c>
      <c r="H9" s="3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4570545.2</v>
      </c>
      <c r="O9">
        <v>4339608.5999999996</v>
      </c>
      <c r="P9">
        <v>1589889</v>
      </c>
      <c r="Q9">
        <v>2689294.8</v>
      </c>
      <c r="R9">
        <v>616867</v>
      </c>
      <c r="S9">
        <v>2147966.7999999998</v>
      </c>
      <c r="T9">
        <v>4560935.4000000004</v>
      </c>
      <c r="U9">
        <v>3691327.6</v>
      </c>
      <c r="V9">
        <v>575641.80000000005</v>
      </c>
      <c r="W9">
        <v>2539553.2000000002</v>
      </c>
      <c r="Y9">
        <v>2.1583616274059749</v>
      </c>
      <c r="Z9">
        <v>3.9812016531941481</v>
      </c>
      <c r="AA9">
        <v>3.8367980420240202</v>
      </c>
      <c r="AB9">
        <v>2.0238635920046359</v>
      </c>
      <c r="AC9">
        <v>2.9633647755836141</v>
      </c>
      <c r="AD9">
        <v>1.6820758899906649</v>
      </c>
      <c r="AE9">
        <v>3.1078366771922452</v>
      </c>
      <c r="AF9">
        <v>1.853701166633982</v>
      </c>
      <c r="AG9">
        <v>2.0354692695313128</v>
      </c>
      <c r="AH9">
        <v>2.9026718026143499</v>
      </c>
      <c r="AI9">
        <v>5.0440308159682896</v>
      </c>
      <c r="AK9">
        <v>2.1583616274059749</v>
      </c>
      <c r="AL9">
        <v>1.9623006657697259</v>
      </c>
      <c r="AM9">
        <v>1.8304167020251041</v>
      </c>
      <c r="AN9">
        <v>2.0238635920046359</v>
      </c>
      <c r="AO9">
        <v>1.4115784065914341</v>
      </c>
      <c r="AP9">
        <v>1.6820758899906649</v>
      </c>
      <c r="AQ9">
        <v>1.405772071587853</v>
      </c>
      <c r="AR9">
        <v>1.087151012045797</v>
      </c>
      <c r="AS9">
        <v>0.60014934520004315</v>
      </c>
      <c r="AT9">
        <v>2.9026718026143499</v>
      </c>
      <c r="AU9">
        <v>3.622853692807257</v>
      </c>
      <c r="AW9">
        <v>0.31864881200017398</v>
      </c>
      <c r="AY9">
        <v>1</v>
      </c>
    </row>
    <row r="10" spans="1:51" x14ac:dyDescent="0.3">
      <c r="A10">
        <v>21</v>
      </c>
      <c r="B10" t="s">
        <v>27</v>
      </c>
      <c r="C10" t="s">
        <v>19</v>
      </c>
      <c r="D10" t="s">
        <v>20</v>
      </c>
      <c r="F10" s="7">
        <v>0</v>
      </c>
      <c r="G10" s="7">
        <v>1</v>
      </c>
      <c r="H10" s="3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1359597.6</v>
      </c>
      <c r="N10">
        <v>3167304.6</v>
      </c>
      <c r="O10">
        <v>3404874</v>
      </c>
      <c r="P10">
        <v>602084</v>
      </c>
      <c r="Q10">
        <v>1300983.6000000001</v>
      </c>
      <c r="R10">
        <v>362702.6</v>
      </c>
      <c r="S10">
        <v>1474098.6</v>
      </c>
      <c r="T10">
        <v>3787607.6</v>
      </c>
      <c r="U10">
        <v>3761598.4</v>
      </c>
      <c r="V10">
        <v>230918.39999999999</v>
      </c>
      <c r="W10">
        <v>2099069.6</v>
      </c>
      <c r="Y10">
        <v>1.650413250201382</v>
      </c>
      <c r="Z10">
        <v>2.958620946400333</v>
      </c>
      <c r="AA10">
        <v>3.106823352980427</v>
      </c>
      <c r="AB10">
        <v>1.3091880222025789</v>
      </c>
      <c r="AC10">
        <v>2.033639943017624</v>
      </c>
      <c r="AD10">
        <v>1.7599425997934299</v>
      </c>
      <c r="AE10">
        <v>2.587982779555023</v>
      </c>
      <c r="AF10">
        <v>1.216635976650287</v>
      </c>
      <c r="AG10">
        <v>2.1878350301296452</v>
      </c>
      <c r="AH10">
        <v>1.5905149184050971</v>
      </c>
      <c r="AI10">
        <v>4.9674127032631077</v>
      </c>
      <c r="AK10">
        <v>1.650413250201382</v>
      </c>
      <c r="AL10">
        <v>1.062223675998393</v>
      </c>
      <c r="AM10">
        <v>1.2209280819748529</v>
      </c>
      <c r="AN10">
        <v>1.3091880222025789</v>
      </c>
      <c r="AO10">
        <v>0.77097515040659348</v>
      </c>
      <c r="AP10">
        <v>1.7599425997934299</v>
      </c>
      <c r="AQ10">
        <v>0.84869093080051239</v>
      </c>
      <c r="AR10">
        <v>0.7880801608669572</v>
      </c>
      <c r="AS10">
        <v>0.56963751740986479</v>
      </c>
      <c r="AT10">
        <v>1.5905149184050971</v>
      </c>
      <c r="AU10">
        <v>3.388165322830901</v>
      </c>
      <c r="AW10">
        <v>0.3247617134125903</v>
      </c>
      <c r="AY10">
        <v>1</v>
      </c>
    </row>
    <row r="11" spans="1:51" x14ac:dyDescent="0.3">
      <c r="A11">
        <v>21</v>
      </c>
      <c r="B11" t="s">
        <v>28</v>
      </c>
      <c r="C11" t="s">
        <v>19</v>
      </c>
      <c r="D11" t="s">
        <v>20</v>
      </c>
      <c r="F11" s="7">
        <v>0</v>
      </c>
      <c r="G11" s="7">
        <v>1</v>
      </c>
      <c r="H11" s="3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6171416.2000000002</v>
      </c>
      <c r="N11">
        <v>6805158.4000000004</v>
      </c>
      <c r="O11">
        <v>6857539.4000000004</v>
      </c>
      <c r="P11">
        <v>8419143.5999999996</v>
      </c>
      <c r="Q11">
        <v>2905263.6</v>
      </c>
      <c r="R11">
        <v>9256532.1999999993</v>
      </c>
      <c r="S11">
        <v>6328932</v>
      </c>
      <c r="T11">
        <v>4215910.2</v>
      </c>
      <c r="U11">
        <v>4184912</v>
      </c>
      <c r="V11">
        <v>19259379.600000001</v>
      </c>
      <c r="W11">
        <v>3812327.2</v>
      </c>
      <c r="Y11">
        <v>6.5145960593828933</v>
      </c>
      <c r="Z11">
        <v>5.4953547633718696</v>
      </c>
      <c r="AA11">
        <v>5.4963909070240344</v>
      </c>
      <c r="AB11">
        <v>10.051684918999671</v>
      </c>
      <c r="AC11">
        <v>3.3562829126080032</v>
      </c>
      <c r="AD11">
        <v>9.2313233244116422</v>
      </c>
      <c r="AE11">
        <v>5.8270503188367</v>
      </c>
      <c r="AF11">
        <v>1.6626729771611279</v>
      </c>
      <c r="AG11">
        <v>2.7369826912414279</v>
      </c>
      <c r="AH11">
        <v>10.64112575000618</v>
      </c>
      <c r="AI11">
        <v>8.6416806893888864</v>
      </c>
      <c r="AK11">
        <v>6.5145960593828933</v>
      </c>
      <c r="AL11">
        <v>2.270572908793111</v>
      </c>
      <c r="AM11">
        <v>2.2902200391865342</v>
      </c>
      <c r="AN11">
        <v>10.051684918999671</v>
      </c>
      <c r="AO11">
        <v>1.5883352892007681</v>
      </c>
      <c r="AP11">
        <v>9.2313233244116422</v>
      </c>
      <c r="AQ11">
        <v>2.3235059678321699</v>
      </c>
      <c r="AR11">
        <v>1.056042246764991</v>
      </c>
      <c r="AS11">
        <v>0.6510023555601947</v>
      </c>
      <c r="AT11">
        <v>10.64112575000618</v>
      </c>
      <c r="AU11">
        <v>6.7449299822212199</v>
      </c>
      <c r="AW11">
        <v>0.32241961858235302</v>
      </c>
      <c r="AY11">
        <v>1</v>
      </c>
    </row>
    <row r="12" spans="1:51" x14ac:dyDescent="0.3">
      <c r="A12">
        <v>21</v>
      </c>
      <c r="B12" t="s">
        <v>29</v>
      </c>
      <c r="C12" t="s">
        <v>19</v>
      </c>
      <c r="D12" t="s">
        <v>20</v>
      </c>
      <c r="F12" s="7">
        <v>0</v>
      </c>
      <c r="G12" s="7">
        <v>0</v>
      </c>
      <c r="H12" s="3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6523186.2000000002</v>
      </c>
      <c r="O12">
        <v>6683859.2000000002</v>
      </c>
      <c r="P12">
        <v>14297375.6</v>
      </c>
      <c r="Q12">
        <v>2766018.8</v>
      </c>
      <c r="R12">
        <v>9345182.5999999996</v>
      </c>
      <c r="S12">
        <v>7992747.4000000004</v>
      </c>
      <c r="T12">
        <v>4852422.4000000004</v>
      </c>
      <c r="U12">
        <v>3966619.4</v>
      </c>
      <c r="V12">
        <v>31495538.800000001</v>
      </c>
      <c r="W12">
        <v>3691529.6</v>
      </c>
      <c r="Y12">
        <v>6.1149931791936982</v>
      </c>
      <c r="Z12">
        <v>5.2643429044052024</v>
      </c>
      <c r="AA12">
        <v>5.3412260987795888</v>
      </c>
      <c r="AB12">
        <v>12.623190893605351</v>
      </c>
      <c r="AC12">
        <v>3.3510143795982001</v>
      </c>
      <c r="AD12">
        <v>10.21535429179203</v>
      </c>
      <c r="AE12">
        <v>6.7976655208389278</v>
      </c>
      <c r="AF12">
        <v>2.24621086360421</v>
      </c>
      <c r="AG12">
        <v>2.4651818728190849</v>
      </c>
      <c r="AH12">
        <v>11.2255332886125</v>
      </c>
      <c r="AI12">
        <v>8.0396502943593084</v>
      </c>
      <c r="AK12">
        <v>6.1149931791936982</v>
      </c>
      <c r="AL12">
        <v>2.621938515407964</v>
      </c>
      <c r="AM12">
        <v>2.6974126777960921</v>
      </c>
      <c r="AN12">
        <v>12.623190893605351</v>
      </c>
      <c r="AO12">
        <v>1.7806580112024679</v>
      </c>
      <c r="AP12">
        <v>10.21535429179203</v>
      </c>
      <c r="AQ12">
        <v>3.925472252606415</v>
      </c>
      <c r="AR12">
        <v>1.2590690026176159</v>
      </c>
      <c r="AS12">
        <v>0.63015220101224256</v>
      </c>
      <c r="AT12">
        <v>11.2255332886125</v>
      </c>
      <c r="AU12">
        <v>6.3221945607801899</v>
      </c>
      <c r="AW12">
        <v>0.31969760580686851</v>
      </c>
      <c r="AY12">
        <v>1</v>
      </c>
    </row>
    <row r="13" spans="1:51" x14ac:dyDescent="0.3">
      <c r="A13">
        <v>21</v>
      </c>
      <c r="B13" t="s">
        <v>30</v>
      </c>
      <c r="C13" t="s">
        <v>19</v>
      </c>
      <c r="D13" t="s">
        <v>20</v>
      </c>
      <c r="F13" s="7">
        <v>0</v>
      </c>
      <c r="G13" s="7">
        <v>0</v>
      </c>
      <c r="H13" s="3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3525196.8</v>
      </c>
      <c r="O13">
        <v>3542716.8</v>
      </c>
      <c r="P13">
        <v>4791875</v>
      </c>
      <c r="Q13">
        <v>1227249</v>
      </c>
      <c r="R13">
        <v>3330299.8</v>
      </c>
      <c r="S13">
        <v>1129757.3999999999</v>
      </c>
      <c r="T13">
        <v>4221177.5999999996</v>
      </c>
      <c r="U13">
        <v>3820898.8</v>
      </c>
      <c r="V13">
        <v>5883243.7999999998</v>
      </c>
      <c r="W13">
        <v>2247583.4</v>
      </c>
      <c r="Y13">
        <v>4.0645884803845549</v>
      </c>
      <c r="Z13">
        <v>3.0854348990367719</v>
      </c>
      <c r="AA13">
        <v>3.0809417999931612</v>
      </c>
      <c r="AB13">
        <v>3.125943288201233</v>
      </c>
      <c r="AC13">
        <v>1.753664275392657</v>
      </c>
      <c r="AD13">
        <v>3.0631603482179339</v>
      </c>
      <c r="AE13">
        <v>2.3240295772091479</v>
      </c>
      <c r="AF13">
        <v>1.6403527827700599</v>
      </c>
      <c r="AG13">
        <v>2.2280405089724811</v>
      </c>
      <c r="AH13">
        <v>4.403506841009948</v>
      </c>
      <c r="AI13">
        <v>4.2895956472144459</v>
      </c>
      <c r="AK13">
        <v>4.0645884803845549</v>
      </c>
      <c r="AL13">
        <v>1.19052803539671</v>
      </c>
      <c r="AM13">
        <v>1.1977567186113449</v>
      </c>
      <c r="AN13">
        <v>3.125943288201233</v>
      </c>
      <c r="AO13">
        <v>0.77954667237936515</v>
      </c>
      <c r="AP13">
        <v>3.0631603482179339</v>
      </c>
      <c r="AQ13">
        <v>0.83620562839787449</v>
      </c>
      <c r="AR13">
        <v>1.0916917691822161</v>
      </c>
      <c r="AS13">
        <v>0.59449439820600669</v>
      </c>
      <c r="AT13">
        <v>4.403506841009948</v>
      </c>
      <c r="AU13">
        <v>2.6821505653904749</v>
      </c>
      <c r="AW13">
        <v>0.32064945340389378</v>
      </c>
      <c r="AY13">
        <v>1</v>
      </c>
    </row>
    <row r="14" spans="1:51" x14ac:dyDescent="0.3">
      <c r="A14">
        <v>21</v>
      </c>
      <c r="B14" t="s">
        <v>31</v>
      </c>
      <c r="C14" t="s">
        <v>19</v>
      </c>
      <c r="D14" t="s">
        <v>20</v>
      </c>
      <c r="F14" s="7">
        <v>0</v>
      </c>
      <c r="G14" s="7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5681416.4000000004</v>
      </c>
      <c r="O14">
        <v>5716200.7999999998</v>
      </c>
      <c r="P14">
        <v>3424600.8</v>
      </c>
      <c r="Q14">
        <v>3042341.4</v>
      </c>
      <c r="R14">
        <v>2642237</v>
      </c>
      <c r="S14">
        <v>2579986.7999999998</v>
      </c>
      <c r="T14">
        <v>4575869</v>
      </c>
      <c r="U14">
        <v>3750440.2</v>
      </c>
      <c r="V14">
        <v>7388502.4000000004</v>
      </c>
      <c r="W14">
        <v>4680236.4000000004</v>
      </c>
      <c r="Y14">
        <v>1.9127117983996871</v>
      </c>
      <c r="Z14">
        <v>4.7608887273818246</v>
      </c>
      <c r="AA14">
        <v>4.7306703048641792</v>
      </c>
      <c r="AB14">
        <v>3.1142022179963531</v>
      </c>
      <c r="AC14">
        <v>3.0985967031621842</v>
      </c>
      <c r="AD14">
        <v>3.349249165982473</v>
      </c>
      <c r="AE14">
        <v>3.409203715564217</v>
      </c>
      <c r="AF14">
        <v>1.858801947976463</v>
      </c>
      <c r="AG14">
        <v>2.1302449715672989</v>
      </c>
      <c r="AH14">
        <v>4.9357865429949017</v>
      </c>
      <c r="AI14">
        <v>7.1900989536661646</v>
      </c>
      <c r="AK14">
        <v>1.9127117983996871</v>
      </c>
      <c r="AL14">
        <v>2.2804257138050161</v>
      </c>
      <c r="AM14">
        <v>2.2775786200072621</v>
      </c>
      <c r="AN14">
        <v>3.1142022179963531</v>
      </c>
      <c r="AO14">
        <v>1.501202533399919</v>
      </c>
      <c r="AP14">
        <v>3.349249165982473</v>
      </c>
      <c r="AQ14">
        <v>1.4923651995952241</v>
      </c>
      <c r="AR14">
        <v>1.0765884193708191</v>
      </c>
      <c r="AS14">
        <v>0.60571621462004255</v>
      </c>
      <c r="AT14">
        <v>4.9357865429949017</v>
      </c>
      <c r="AU14">
        <v>5.4135304288123738</v>
      </c>
      <c r="AW14">
        <v>0.3258264177944511</v>
      </c>
      <c r="AY14">
        <v>1</v>
      </c>
    </row>
    <row r="15" spans="1:51" x14ac:dyDescent="0.3">
      <c r="A15">
        <v>21</v>
      </c>
      <c r="B15" t="s">
        <v>32</v>
      </c>
      <c r="C15" t="s">
        <v>19</v>
      </c>
      <c r="D15" t="s">
        <v>20</v>
      </c>
      <c r="F15" s="7">
        <v>0</v>
      </c>
      <c r="G15" s="7">
        <v>0</v>
      </c>
      <c r="H15" s="3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4956663</v>
      </c>
      <c r="O15">
        <v>4946696.5999999996</v>
      </c>
      <c r="P15">
        <v>18218009.600000001</v>
      </c>
      <c r="Q15">
        <v>1879359.4</v>
      </c>
      <c r="R15">
        <v>17723012.199999999</v>
      </c>
      <c r="S15">
        <v>2634966.7999999998</v>
      </c>
      <c r="T15">
        <v>4731131.5999999996</v>
      </c>
      <c r="U15">
        <v>3896406.6</v>
      </c>
      <c r="V15">
        <v>26229788.399999999</v>
      </c>
      <c r="W15">
        <v>2303932</v>
      </c>
      <c r="Y15">
        <v>10.45097025480354</v>
      </c>
      <c r="Z15">
        <v>4.1558674317435358</v>
      </c>
      <c r="AA15">
        <v>4.1392927835695454</v>
      </c>
      <c r="AB15">
        <v>11.2256593482045</v>
      </c>
      <c r="AC15">
        <v>2.45893694239785</v>
      </c>
      <c r="AD15">
        <v>14.37439649540465</v>
      </c>
      <c r="AE15">
        <v>3.4165343588218091</v>
      </c>
      <c r="AF15">
        <v>2.1013031546375709</v>
      </c>
      <c r="AG15">
        <v>2.3911654933937831</v>
      </c>
      <c r="AH15">
        <v>11.96196870759595</v>
      </c>
      <c r="AI15">
        <v>5.3582710998132823</v>
      </c>
      <c r="AK15">
        <v>10.45097025480354</v>
      </c>
      <c r="AL15">
        <v>1.832786726567428</v>
      </c>
      <c r="AM15">
        <v>1.824097263801377</v>
      </c>
      <c r="AN15">
        <v>11.2256593482045</v>
      </c>
      <c r="AO15">
        <v>1.154609910998261</v>
      </c>
      <c r="AP15">
        <v>14.37439649540465</v>
      </c>
      <c r="AQ15">
        <v>1.423356654215604</v>
      </c>
      <c r="AR15">
        <v>1.150393931823783</v>
      </c>
      <c r="AS15">
        <v>0.68909673239104452</v>
      </c>
      <c r="AT15">
        <v>11.96196870759595</v>
      </c>
      <c r="AU15">
        <v>3.917118695226963</v>
      </c>
      <c r="AW15">
        <v>0.33034589218441401</v>
      </c>
      <c r="AY15">
        <v>1</v>
      </c>
    </row>
    <row r="16" spans="1:51" x14ac:dyDescent="0.3">
      <c r="A16">
        <v>21</v>
      </c>
      <c r="B16" t="s">
        <v>33</v>
      </c>
      <c r="C16" t="s">
        <v>19</v>
      </c>
      <c r="D16" t="s">
        <v>20</v>
      </c>
      <c r="F16" s="7">
        <v>0</v>
      </c>
      <c r="G16" s="7">
        <v>1</v>
      </c>
      <c r="H16" s="3">
        <v>0</v>
      </c>
      <c r="I16">
        <f t="shared" si="0"/>
        <v>0</v>
      </c>
      <c r="J16">
        <f t="shared" si="1"/>
        <v>1</v>
      </c>
      <c r="K16">
        <v>4</v>
      </c>
      <c r="L16">
        <v>0</v>
      </c>
      <c r="M16">
        <v>4086782.6</v>
      </c>
      <c r="N16">
        <v>8396950.8000000007</v>
      </c>
      <c r="O16">
        <v>9072850.5999999996</v>
      </c>
      <c r="P16">
        <v>3127021.2</v>
      </c>
      <c r="Q16">
        <v>3011644.8</v>
      </c>
      <c r="R16">
        <v>3627884.8</v>
      </c>
      <c r="S16">
        <v>6840819.7999999998</v>
      </c>
      <c r="T16">
        <v>4001025.4</v>
      </c>
      <c r="U16">
        <v>4105374</v>
      </c>
      <c r="V16">
        <v>15964690.4</v>
      </c>
      <c r="W16">
        <v>4317869.4000000004</v>
      </c>
      <c r="Y16">
        <v>4.4390055509982629</v>
      </c>
      <c r="Z16">
        <v>6.7243578864028679</v>
      </c>
      <c r="AA16">
        <v>7.079800704016816</v>
      </c>
      <c r="AB16">
        <v>4.1721198601939253</v>
      </c>
      <c r="AC16">
        <v>3.6182557169639038</v>
      </c>
      <c r="AD16">
        <v>5.1547001075814478</v>
      </c>
      <c r="AE16">
        <v>6.1073857924086044</v>
      </c>
      <c r="AF16">
        <v>1.4913043438224121</v>
      </c>
      <c r="AG16">
        <v>2.6628234198084102</v>
      </c>
      <c r="AH16">
        <v>6.8338560923933986</v>
      </c>
      <c r="AI16">
        <v>10.16716714564245</v>
      </c>
      <c r="AK16">
        <v>4.4390055509982629</v>
      </c>
      <c r="AL16">
        <v>2.5583764257840809</v>
      </c>
      <c r="AM16">
        <v>2.9358364042011091</v>
      </c>
      <c r="AN16">
        <v>4.1721198601939253</v>
      </c>
      <c r="AO16">
        <v>1.530600520590087</v>
      </c>
      <c r="AP16">
        <v>5.1547001075814478</v>
      </c>
      <c r="AQ16">
        <v>2.1539793555857609</v>
      </c>
      <c r="AR16">
        <v>1.003793796000537</v>
      </c>
      <c r="AS16">
        <v>0.66429546660510819</v>
      </c>
      <c r="AT16">
        <v>6.8338560923933986</v>
      </c>
      <c r="AU16">
        <v>8.2573940334259532</v>
      </c>
      <c r="AW16">
        <v>0.33432428759988392</v>
      </c>
      <c r="AY16">
        <v>1</v>
      </c>
    </row>
    <row r="17" spans="1:51" x14ac:dyDescent="0.3">
      <c r="A17">
        <v>21</v>
      </c>
      <c r="B17" t="s">
        <v>34</v>
      </c>
      <c r="C17" t="s">
        <v>19</v>
      </c>
      <c r="D17" t="s">
        <v>20</v>
      </c>
      <c r="F17" s="7">
        <v>0</v>
      </c>
      <c r="G17" s="7">
        <v>1</v>
      </c>
      <c r="H17" s="3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7112853</v>
      </c>
      <c r="N17">
        <v>2746243.4</v>
      </c>
      <c r="O17">
        <v>2747191.6</v>
      </c>
      <c r="P17">
        <v>8723892</v>
      </c>
      <c r="Q17">
        <v>708396.6</v>
      </c>
      <c r="R17">
        <v>6128639</v>
      </c>
      <c r="S17">
        <v>783665.4</v>
      </c>
      <c r="T17">
        <v>4576948.2</v>
      </c>
      <c r="U17">
        <v>3606709.8</v>
      </c>
      <c r="V17">
        <v>5662981.7999999998</v>
      </c>
      <c r="W17">
        <v>1139695.8</v>
      </c>
      <c r="Y17">
        <v>5.9886686897953041</v>
      </c>
      <c r="Z17">
        <v>2.5857897356152528</v>
      </c>
      <c r="AA17">
        <v>2.5643880272284152</v>
      </c>
      <c r="AB17">
        <v>4.6316629145934716</v>
      </c>
      <c r="AC17">
        <v>1.3071354023821189</v>
      </c>
      <c r="AD17">
        <v>4.3273795805871487</v>
      </c>
      <c r="AE17">
        <v>1.984821832634043</v>
      </c>
      <c r="AF17">
        <v>1.876531615969725</v>
      </c>
      <c r="AG17">
        <v>1.999528189527336</v>
      </c>
      <c r="AH17">
        <v>4.5048450400005091</v>
      </c>
      <c r="AI17">
        <v>2.9993149652145799</v>
      </c>
      <c r="AK17">
        <v>5.9886686897953041</v>
      </c>
      <c r="AL17">
        <v>1.0736192691838371</v>
      </c>
      <c r="AM17">
        <v>1.0627783878007899</v>
      </c>
      <c r="AN17">
        <v>4.6316629145934716</v>
      </c>
      <c r="AO17">
        <v>0.62938220938085576</v>
      </c>
      <c r="AP17">
        <v>4.3273795805871487</v>
      </c>
      <c r="AQ17">
        <v>0.75997273359680551</v>
      </c>
      <c r="AR17">
        <v>1.1061279749730599</v>
      </c>
      <c r="AS17">
        <v>0.58398874480044471</v>
      </c>
      <c r="AT17">
        <v>4.5048450400005091</v>
      </c>
      <c r="AU17">
        <v>1.8290251086000351</v>
      </c>
      <c r="AW17">
        <v>0.33399411519058042</v>
      </c>
      <c r="AY17">
        <v>1</v>
      </c>
    </row>
    <row r="18" spans="1:51" x14ac:dyDescent="0.3">
      <c r="A18">
        <v>21</v>
      </c>
      <c r="B18" t="s">
        <v>35</v>
      </c>
      <c r="C18" t="s">
        <v>19</v>
      </c>
      <c r="D18" t="s">
        <v>20</v>
      </c>
      <c r="F18" s="7">
        <v>0</v>
      </c>
      <c r="G18" s="7">
        <v>0</v>
      </c>
      <c r="H18" s="3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492450</v>
      </c>
      <c r="N18">
        <v>7435345.5999999996</v>
      </c>
      <c r="O18">
        <v>7499038</v>
      </c>
      <c r="P18">
        <v>264522.40000000002</v>
      </c>
      <c r="Q18">
        <v>4031802.4</v>
      </c>
      <c r="R18">
        <v>253435.8</v>
      </c>
      <c r="S18">
        <v>4447089.2</v>
      </c>
      <c r="T18">
        <v>3780204.6</v>
      </c>
      <c r="U18">
        <v>3884984.4</v>
      </c>
      <c r="V18">
        <v>6495.2</v>
      </c>
      <c r="W18">
        <v>5616552.4000000004</v>
      </c>
      <c r="Y18">
        <v>0.64339787062490361</v>
      </c>
      <c r="Z18">
        <v>6.1564673291519281</v>
      </c>
      <c r="AA18">
        <v>6.1549702658783643</v>
      </c>
      <c r="AB18">
        <v>0.49780697500100363</v>
      </c>
      <c r="AC18">
        <v>4.042952708801022</v>
      </c>
      <c r="AD18">
        <v>1.1861672768020071</v>
      </c>
      <c r="AE18">
        <v>4.7535574079491196</v>
      </c>
      <c r="AF18">
        <v>1.2118877856060859</v>
      </c>
      <c r="AG18">
        <v>2.322022740810644</v>
      </c>
      <c r="AH18">
        <v>3.3740477997343941E-2</v>
      </c>
      <c r="AI18">
        <v>10.37070599120343</v>
      </c>
      <c r="AK18">
        <v>0.64339787062490361</v>
      </c>
      <c r="AL18">
        <v>2.5678783181821929</v>
      </c>
      <c r="AM18">
        <v>2.593745845998638</v>
      </c>
      <c r="AN18">
        <v>0.49780697500100363</v>
      </c>
      <c r="AO18">
        <v>1.741025536198868</v>
      </c>
      <c r="AP18">
        <v>1.1861672768020071</v>
      </c>
      <c r="AQ18">
        <v>1.9375769079895691</v>
      </c>
      <c r="AR18">
        <v>0.79128102920949461</v>
      </c>
      <c r="AS18">
        <v>0.61890311605529857</v>
      </c>
      <c r="AT18">
        <v>3.3740477997343941E-2</v>
      </c>
      <c r="AU18">
        <v>8.3462473839870661</v>
      </c>
      <c r="AW18">
        <v>0.33873777538537969</v>
      </c>
      <c r="AY18">
        <v>1</v>
      </c>
    </row>
    <row r="19" spans="1:51" x14ac:dyDescent="0.3">
      <c r="A19">
        <v>22</v>
      </c>
      <c r="B19" t="s">
        <v>36</v>
      </c>
      <c r="C19" t="s">
        <v>37</v>
      </c>
      <c r="D19" t="s">
        <v>38</v>
      </c>
      <c r="F19" s="7">
        <v>0</v>
      </c>
      <c r="G19" s="7">
        <v>0</v>
      </c>
      <c r="H19" s="3">
        <v>0</v>
      </c>
      <c r="I19">
        <f t="shared" si="0"/>
        <v>0</v>
      </c>
      <c r="J19">
        <f t="shared" si="1"/>
        <v>1</v>
      </c>
      <c r="K19">
        <v>3</v>
      </c>
      <c r="L19">
        <v>0</v>
      </c>
      <c r="M19">
        <v>6218015.5999999996</v>
      </c>
      <c r="N19">
        <v>2023825.2</v>
      </c>
      <c r="O19">
        <v>2050973.4</v>
      </c>
      <c r="P19">
        <v>14902021.800000001</v>
      </c>
      <c r="Q19">
        <v>1047875</v>
      </c>
      <c r="R19">
        <v>15785104.199999999</v>
      </c>
      <c r="S19">
        <v>1498358.4</v>
      </c>
      <c r="T19">
        <v>4656903.2</v>
      </c>
      <c r="U19">
        <v>4045584.4</v>
      </c>
      <c r="V19">
        <v>15292114.800000001</v>
      </c>
      <c r="W19">
        <v>2250255.4</v>
      </c>
      <c r="Y19">
        <v>5.6175818871939551</v>
      </c>
      <c r="Z19">
        <v>1.921075872832444</v>
      </c>
      <c r="AA19">
        <v>1.932050775585231</v>
      </c>
      <c r="AB19">
        <v>15.090376014600039</v>
      </c>
      <c r="AC19">
        <v>1.659220825618831</v>
      </c>
      <c r="AD19">
        <v>11.911601949005849</v>
      </c>
      <c r="AE19">
        <v>1.6832071901531891</v>
      </c>
      <c r="AF19">
        <v>2.280906761763617</v>
      </c>
      <c r="AG19">
        <v>2.5654198582051322</v>
      </c>
      <c r="AH19">
        <v>7.9992575424024839</v>
      </c>
      <c r="AI19">
        <v>3.5528840234153898</v>
      </c>
      <c r="AK19">
        <v>5.6175818871939551</v>
      </c>
      <c r="AL19">
        <v>0.7994292568066157</v>
      </c>
      <c r="AM19">
        <v>0.81371634479146449</v>
      </c>
      <c r="AN19">
        <v>15.090376014600039</v>
      </c>
      <c r="AO19">
        <v>0.75647047599777584</v>
      </c>
      <c r="AP19">
        <v>11.911601949005849</v>
      </c>
      <c r="AQ19">
        <v>0.8422154613770545</v>
      </c>
      <c r="AR19">
        <v>1.183351993176621</v>
      </c>
      <c r="AS19">
        <v>0.58539356938563292</v>
      </c>
      <c r="AT19">
        <v>7.9992575424024839</v>
      </c>
      <c r="AU19">
        <v>1.924169786612038</v>
      </c>
      <c r="AW19">
        <v>0.30121143321739507</v>
      </c>
      <c r="AY19">
        <v>1</v>
      </c>
    </row>
    <row r="20" spans="1:51" x14ac:dyDescent="0.3">
      <c r="A20">
        <v>22</v>
      </c>
      <c r="B20" t="s">
        <v>39</v>
      </c>
      <c r="C20" t="s">
        <v>37</v>
      </c>
      <c r="D20" t="s">
        <v>38</v>
      </c>
      <c r="F20" s="7">
        <v>0</v>
      </c>
      <c r="G20" s="7">
        <v>1</v>
      </c>
      <c r="H20" s="3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10584724</v>
      </c>
      <c r="O20">
        <v>10562189.800000001</v>
      </c>
      <c r="P20">
        <v>531781.6</v>
      </c>
      <c r="Q20">
        <v>11250010.199999999</v>
      </c>
      <c r="R20">
        <v>425951</v>
      </c>
      <c r="S20">
        <v>16252444.199999999</v>
      </c>
      <c r="T20">
        <v>4641178.5999999996</v>
      </c>
      <c r="U20">
        <v>4318672.2</v>
      </c>
      <c r="V20">
        <v>2057883</v>
      </c>
      <c r="W20">
        <v>21356422</v>
      </c>
      <c r="Y20">
        <v>0.89216858580475678</v>
      </c>
      <c r="Z20">
        <v>7.9231275779777208</v>
      </c>
      <c r="AA20">
        <v>7.8822658410063013</v>
      </c>
      <c r="AB20">
        <v>0.98109290699940177</v>
      </c>
      <c r="AC20">
        <v>10.33577997999382</v>
      </c>
      <c r="AD20">
        <v>0.57538598420796916</v>
      </c>
      <c r="AE20">
        <v>12.4606167497579</v>
      </c>
      <c r="AF20">
        <v>2.2631393956136892</v>
      </c>
      <c r="AG20">
        <v>2.7580866762436931</v>
      </c>
      <c r="AH20">
        <v>3.37720133002149</v>
      </c>
      <c r="AI20">
        <v>20.589141067001041</v>
      </c>
      <c r="AK20">
        <v>0.89216858580475678</v>
      </c>
      <c r="AL20">
        <v>3.807680078200065</v>
      </c>
      <c r="AM20">
        <v>3.7738010331639091</v>
      </c>
      <c r="AN20">
        <v>0.98109290699940177</v>
      </c>
      <c r="AO20">
        <v>5.0095263748022258</v>
      </c>
      <c r="AP20">
        <v>0.57538598420796916</v>
      </c>
      <c r="AQ20">
        <v>6.1740752518177029</v>
      </c>
      <c r="AR20">
        <v>1.181116468808614</v>
      </c>
      <c r="AS20">
        <v>0.68233685420127588</v>
      </c>
      <c r="AT20">
        <v>3.37720133002149</v>
      </c>
      <c r="AU20">
        <v>16.146299704012929</v>
      </c>
      <c r="AW20">
        <v>0.29953521220013501</v>
      </c>
      <c r="AY20">
        <v>1</v>
      </c>
    </row>
    <row r="21" spans="1:51" x14ac:dyDescent="0.3">
      <c r="A21">
        <v>22</v>
      </c>
      <c r="B21" t="s">
        <v>40</v>
      </c>
      <c r="C21" t="s">
        <v>37</v>
      </c>
      <c r="D21" t="s">
        <v>38</v>
      </c>
      <c r="F21" s="7">
        <v>0</v>
      </c>
      <c r="G21" s="7">
        <v>1</v>
      </c>
      <c r="H21" s="3">
        <v>0</v>
      </c>
      <c r="I21">
        <f t="shared" si="0"/>
        <v>0</v>
      </c>
      <c r="J21">
        <f t="shared" si="1"/>
        <v>1</v>
      </c>
      <c r="K21">
        <v>3</v>
      </c>
      <c r="L21">
        <v>0</v>
      </c>
      <c r="M21">
        <v>4386124.8</v>
      </c>
      <c r="N21">
        <v>2953382.2</v>
      </c>
      <c r="O21">
        <v>3018854.3999999999</v>
      </c>
      <c r="P21">
        <v>2573293.2000000002</v>
      </c>
      <c r="Q21">
        <v>1570631</v>
      </c>
      <c r="R21">
        <v>7628471.2000000002</v>
      </c>
      <c r="S21">
        <v>2641644.6</v>
      </c>
      <c r="T21">
        <v>4391893.8</v>
      </c>
      <c r="U21">
        <v>3935569.8</v>
      </c>
      <c r="V21">
        <v>7755154.4000000004</v>
      </c>
      <c r="W21">
        <v>5968810.5999999996</v>
      </c>
      <c r="Y21">
        <v>3.794481852778699</v>
      </c>
      <c r="Z21">
        <v>2.5381297488464041</v>
      </c>
      <c r="AA21">
        <v>2.5615287698805331</v>
      </c>
      <c r="AB21">
        <v>3.3510496179980689</v>
      </c>
      <c r="AC21">
        <v>1.975204401224619</v>
      </c>
      <c r="AD21">
        <v>6.5826911246054802</v>
      </c>
      <c r="AE21">
        <v>2.3251188130350782</v>
      </c>
      <c r="AF21">
        <v>2.1139266665908512</v>
      </c>
      <c r="AG21">
        <v>2.4855748114059679</v>
      </c>
      <c r="AH21">
        <v>5.090311671386007</v>
      </c>
      <c r="AI21">
        <v>5.6626620388007716</v>
      </c>
      <c r="AK21">
        <v>3.794481852778699</v>
      </c>
      <c r="AL21">
        <v>1.074580994830467</v>
      </c>
      <c r="AM21">
        <v>1.1026675126282499</v>
      </c>
      <c r="AN21">
        <v>3.3510496179980689</v>
      </c>
      <c r="AO21">
        <v>0.90242136620800006</v>
      </c>
      <c r="AP21">
        <v>6.5826911246054802</v>
      </c>
      <c r="AQ21">
        <v>1.2316048830165529</v>
      </c>
      <c r="AR21">
        <v>1.204127251601312</v>
      </c>
      <c r="AS21">
        <v>0.53223258556099606</v>
      </c>
      <c r="AT21">
        <v>5.090311671386007</v>
      </c>
      <c r="AU21">
        <v>3.3521887897863052</v>
      </c>
      <c r="AW21">
        <v>0.30642598762642592</v>
      </c>
      <c r="AY21">
        <v>1</v>
      </c>
    </row>
    <row r="22" spans="1:51" x14ac:dyDescent="0.3">
      <c r="A22">
        <v>22</v>
      </c>
      <c r="B22" t="s">
        <v>41</v>
      </c>
      <c r="C22" t="s">
        <v>37</v>
      </c>
      <c r="D22" t="s">
        <v>38</v>
      </c>
      <c r="F22" s="7">
        <v>0</v>
      </c>
      <c r="G22" s="7">
        <v>0</v>
      </c>
      <c r="H22" s="3">
        <v>0</v>
      </c>
      <c r="I22">
        <f t="shared" si="0"/>
        <v>0</v>
      </c>
      <c r="J22">
        <f t="shared" si="1"/>
        <v>1</v>
      </c>
      <c r="K22">
        <v>3</v>
      </c>
      <c r="L22">
        <v>0</v>
      </c>
      <c r="M22">
        <v>1288357.8</v>
      </c>
      <c r="N22">
        <v>5320058.5999999996</v>
      </c>
      <c r="O22">
        <v>5695100.7999999998</v>
      </c>
      <c r="P22">
        <v>8049014.7999999998</v>
      </c>
      <c r="Q22">
        <v>4599516.4000000004</v>
      </c>
      <c r="R22">
        <v>2096160</v>
      </c>
      <c r="S22">
        <v>7026087.5999999996</v>
      </c>
      <c r="T22">
        <v>4381979.4000000004</v>
      </c>
      <c r="U22">
        <v>4040090.4</v>
      </c>
      <c r="V22">
        <v>3344334.4</v>
      </c>
      <c r="W22">
        <v>5872072.7999999998</v>
      </c>
      <c r="Y22">
        <v>1.445537967397831</v>
      </c>
      <c r="Z22">
        <v>4.3606929179863076</v>
      </c>
      <c r="AA22">
        <v>4.4918979687732641</v>
      </c>
      <c r="AB22">
        <v>3.4821474546042741</v>
      </c>
      <c r="AC22">
        <v>4.7352273318159863</v>
      </c>
      <c r="AD22">
        <v>2.1735031197778878</v>
      </c>
      <c r="AE22">
        <v>5.6201024070032872</v>
      </c>
      <c r="AF22">
        <v>2.1156589821679521</v>
      </c>
      <c r="AG22">
        <v>2.5624369639554061</v>
      </c>
      <c r="AH22">
        <v>4.1502917225938294</v>
      </c>
      <c r="AI22">
        <v>8.531593541009352</v>
      </c>
      <c r="AK22">
        <v>1.445537967397831</v>
      </c>
      <c r="AL22">
        <v>2.1000688459840609</v>
      </c>
      <c r="AM22">
        <v>2.2563889257959091</v>
      </c>
      <c r="AN22">
        <v>3.4821474546042741</v>
      </c>
      <c r="AO22">
        <v>2.280094120197464</v>
      </c>
      <c r="AP22">
        <v>2.1735031197778878</v>
      </c>
      <c r="AQ22">
        <v>2.7527442501741461</v>
      </c>
      <c r="AR22">
        <v>1.2002171619795261</v>
      </c>
      <c r="AS22">
        <v>0.56327914716675875</v>
      </c>
      <c r="AT22">
        <v>4.1502917225938294</v>
      </c>
      <c r="AU22">
        <v>6.3688907785923217</v>
      </c>
      <c r="AW22">
        <v>0.31707513079745692</v>
      </c>
      <c r="AY22">
        <v>1</v>
      </c>
    </row>
    <row r="23" spans="1:51" x14ac:dyDescent="0.3">
      <c r="A23">
        <v>22</v>
      </c>
      <c r="B23" t="s">
        <v>42</v>
      </c>
      <c r="C23" t="s">
        <v>37</v>
      </c>
      <c r="D23" t="s">
        <v>38</v>
      </c>
      <c r="F23" s="7">
        <v>0</v>
      </c>
      <c r="G23" s="7">
        <v>1</v>
      </c>
      <c r="H23" s="3">
        <v>0</v>
      </c>
      <c r="I23">
        <f t="shared" si="0"/>
        <v>0</v>
      </c>
      <c r="J23">
        <f t="shared" si="1"/>
        <v>1</v>
      </c>
      <c r="K23">
        <v>3</v>
      </c>
      <c r="L23">
        <v>0</v>
      </c>
      <c r="M23">
        <v>878753.2</v>
      </c>
      <c r="N23">
        <v>4774228</v>
      </c>
      <c r="O23">
        <v>5440359</v>
      </c>
      <c r="P23">
        <v>1835525</v>
      </c>
      <c r="Q23">
        <v>3975867.4</v>
      </c>
      <c r="R23">
        <v>1062859</v>
      </c>
      <c r="S23">
        <v>4764882.4000000004</v>
      </c>
      <c r="T23">
        <v>4322342.5999999996</v>
      </c>
      <c r="U23">
        <v>3968592.2</v>
      </c>
      <c r="V23">
        <v>4812924.4000000004</v>
      </c>
      <c r="W23">
        <v>6080492.2000000002</v>
      </c>
      <c r="Y23">
        <v>1.098856685613282</v>
      </c>
      <c r="Z23">
        <v>3.9693465457530692</v>
      </c>
      <c r="AA23">
        <v>4.3116644189925868</v>
      </c>
      <c r="AB23">
        <v>2.081038791389437</v>
      </c>
      <c r="AC23">
        <v>4.2347406831686376</v>
      </c>
      <c r="AD23">
        <v>1.2051741965929981</v>
      </c>
      <c r="AE23">
        <v>3.9941168367629869</v>
      </c>
      <c r="AF23">
        <v>2.0761692461906929</v>
      </c>
      <c r="AG23">
        <v>2.527456875192001</v>
      </c>
      <c r="AH23">
        <v>4.1566794968093754</v>
      </c>
      <c r="AI23">
        <v>8.6783305603894405</v>
      </c>
      <c r="AK23">
        <v>1.098856685613282</v>
      </c>
      <c r="AL23">
        <v>1.834210740600247</v>
      </c>
      <c r="AM23">
        <v>2.1822455980000091</v>
      </c>
      <c r="AN23">
        <v>2.081038791389437</v>
      </c>
      <c r="AO23">
        <v>2.0923197573923971</v>
      </c>
      <c r="AP23">
        <v>1.2051741965929981</v>
      </c>
      <c r="AQ23">
        <v>1.9559515665867371</v>
      </c>
      <c r="AR23">
        <v>1.191944363783114</v>
      </c>
      <c r="AS23">
        <v>0.55983460455900058</v>
      </c>
      <c r="AT23">
        <v>4.1566794968093754</v>
      </c>
      <c r="AU23">
        <v>6.3122146217850972</v>
      </c>
      <c r="AW23">
        <v>0.29893647040007643</v>
      </c>
      <c r="AY23">
        <v>1</v>
      </c>
    </row>
    <row r="24" spans="1:51" x14ac:dyDescent="0.3">
      <c r="A24">
        <v>22</v>
      </c>
      <c r="B24" t="s">
        <v>43</v>
      </c>
      <c r="C24" t="s">
        <v>37</v>
      </c>
      <c r="D24" t="s">
        <v>38</v>
      </c>
      <c r="F24" s="7">
        <v>0</v>
      </c>
      <c r="G24" s="7">
        <v>0</v>
      </c>
      <c r="H24" s="3">
        <v>0</v>
      </c>
      <c r="I24">
        <f t="shared" si="0"/>
        <v>0</v>
      </c>
      <c r="J24">
        <f t="shared" si="1"/>
        <v>1</v>
      </c>
      <c r="K24">
        <v>3</v>
      </c>
      <c r="L24">
        <v>0</v>
      </c>
      <c r="M24">
        <v>1877990.2</v>
      </c>
      <c r="N24">
        <v>1881454.6</v>
      </c>
      <c r="O24">
        <v>1965526</v>
      </c>
      <c r="P24">
        <v>1753422.2</v>
      </c>
      <c r="Q24">
        <v>1472009.4</v>
      </c>
      <c r="R24">
        <v>1693590.8</v>
      </c>
      <c r="S24">
        <v>2143220</v>
      </c>
      <c r="T24">
        <v>4319504.5999999996</v>
      </c>
      <c r="U24">
        <v>3874163.2</v>
      </c>
      <c r="V24">
        <v>6489848.2000000002</v>
      </c>
      <c r="W24">
        <v>4737267</v>
      </c>
      <c r="Y24">
        <v>1.897604321409017</v>
      </c>
      <c r="Z24">
        <v>1.932087326038163</v>
      </c>
      <c r="AA24">
        <v>1.9671583272167481</v>
      </c>
      <c r="AB24">
        <v>2.129146062006475</v>
      </c>
      <c r="AC24">
        <v>1.8675069799937769</v>
      </c>
      <c r="AD24">
        <v>1.862124941998627</v>
      </c>
      <c r="AE24">
        <v>2.1109957279637461</v>
      </c>
      <c r="AF24">
        <v>2.0387529953848569</v>
      </c>
      <c r="AG24">
        <v>2.432663213426713</v>
      </c>
      <c r="AH24">
        <v>4.6340719502186403</v>
      </c>
      <c r="AI24">
        <v>4.6382920386153277</v>
      </c>
      <c r="AK24">
        <v>1.897604321409017</v>
      </c>
      <c r="AL24">
        <v>0.92237989461282266</v>
      </c>
      <c r="AM24">
        <v>0.96578578238841151</v>
      </c>
      <c r="AN24">
        <v>2.129146062006475</v>
      </c>
      <c r="AO24">
        <v>0.98711089820135389</v>
      </c>
      <c r="AP24">
        <v>1.862124941998627</v>
      </c>
      <c r="AQ24">
        <v>1.1558898015995509</v>
      </c>
      <c r="AR24">
        <v>1.1729364849743431</v>
      </c>
      <c r="AS24">
        <v>0.52426158942980694</v>
      </c>
      <c r="AT24">
        <v>4.6340719502186403</v>
      </c>
      <c r="AU24">
        <v>2.9887966054142452</v>
      </c>
      <c r="AW24">
        <v>0.30606834380887449</v>
      </c>
      <c r="AY24">
        <v>1</v>
      </c>
    </row>
    <row r="25" spans="1:51" x14ac:dyDescent="0.3">
      <c r="A25">
        <v>22</v>
      </c>
      <c r="B25" t="s">
        <v>44</v>
      </c>
      <c r="C25" t="s">
        <v>37</v>
      </c>
      <c r="D25" t="s">
        <v>38</v>
      </c>
      <c r="F25" s="7">
        <v>0</v>
      </c>
      <c r="G25" s="7">
        <v>0</v>
      </c>
      <c r="H25" s="3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10503780.199999999</v>
      </c>
      <c r="O25">
        <v>10514888</v>
      </c>
      <c r="P25">
        <v>240817.6</v>
      </c>
      <c r="Q25">
        <v>13520284</v>
      </c>
      <c r="R25">
        <v>47009</v>
      </c>
      <c r="S25">
        <v>14229575.800000001</v>
      </c>
      <c r="T25">
        <v>4421463</v>
      </c>
      <c r="U25">
        <v>4244866.8</v>
      </c>
      <c r="V25">
        <v>381348.6</v>
      </c>
      <c r="W25">
        <v>20957635.399999999</v>
      </c>
      <c r="Y25">
        <v>0.58044448941946025</v>
      </c>
      <c r="Z25">
        <v>7.643513289955445</v>
      </c>
      <c r="AA25">
        <v>7.6139644719427464</v>
      </c>
      <c r="AB25">
        <v>0.55770489339483897</v>
      </c>
      <c r="AC25">
        <v>10.042392857786041</v>
      </c>
      <c r="AD25">
        <v>0.16480432800017289</v>
      </c>
      <c r="AE25">
        <v>9.3745101407635936</v>
      </c>
      <c r="AF25">
        <v>2.0931816507829351</v>
      </c>
      <c r="AG25">
        <v>2.7169363917666489</v>
      </c>
      <c r="AH25">
        <v>1.019564961001743</v>
      </c>
      <c r="AI25">
        <v>21.115049038035799</v>
      </c>
      <c r="AK25">
        <v>0.58044448941946025</v>
      </c>
      <c r="AL25">
        <v>4.0334865774144406</v>
      </c>
      <c r="AM25">
        <v>4.0263543998007663</v>
      </c>
      <c r="AN25">
        <v>0.55770489339483897</v>
      </c>
      <c r="AO25">
        <v>5.1383745444007216</v>
      </c>
      <c r="AP25">
        <v>0.16480432800017289</v>
      </c>
      <c r="AQ25">
        <v>5.2259252433897929</v>
      </c>
      <c r="AR25">
        <v>1.20664220697945</v>
      </c>
      <c r="AS25">
        <v>0.69739050958305593</v>
      </c>
      <c r="AT25">
        <v>1.019564961001743</v>
      </c>
      <c r="AU25">
        <v>16.944566728593781</v>
      </c>
      <c r="AW25">
        <v>0.30873238081112497</v>
      </c>
      <c r="AY25">
        <v>1</v>
      </c>
    </row>
    <row r="26" spans="1:51" x14ac:dyDescent="0.3">
      <c r="A26">
        <v>22</v>
      </c>
      <c r="B26" t="s">
        <v>45</v>
      </c>
      <c r="C26" t="s">
        <v>37</v>
      </c>
      <c r="D26" t="s">
        <v>38</v>
      </c>
      <c r="F26" s="7">
        <v>0</v>
      </c>
      <c r="G26" s="7">
        <v>1</v>
      </c>
      <c r="H26" s="3">
        <v>0</v>
      </c>
      <c r="I26">
        <f t="shared" si="0"/>
        <v>0</v>
      </c>
      <c r="J26">
        <f t="shared" si="1"/>
        <v>1</v>
      </c>
      <c r="K26">
        <v>3</v>
      </c>
      <c r="L26">
        <v>0</v>
      </c>
      <c r="M26">
        <v>1837465.8</v>
      </c>
      <c r="N26">
        <v>1194820.3999999999</v>
      </c>
      <c r="O26">
        <v>1197119.8</v>
      </c>
      <c r="P26">
        <v>2405833.6</v>
      </c>
      <c r="Q26">
        <v>740416</v>
      </c>
      <c r="R26">
        <v>2353739.6</v>
      </c>
      <c r="S26">
        <v>561014.4</v>
      </c>
      <c r="T26">
        <v>4447722.5999999996</v>
      </c>
      <c r="U26">
        <v>3953049.4</v>
      </c>
      <c r="V26">
        <v>6130407.5999999996</v>
      </c>
      <c r="W26">
        <v>1099095.8</v>
      </c>
      <c r="Y26">
        <v>1.846656037610956</v>
      </c>
      <c r="Z26">
        <v>1.382153910188936</v>
      </c>
      <c r="AA26">
        <v>1.379343544482253</v>
      </c>
      <c r="AB26">
        <v>1.846905863791471</v>
      </c>
      <c r="AC26">
        <v>1.2092779776197859</v>
      </c>
      <c r="AD26">
        <v>2.7856085193809119</v>
      </c>
      <c r="AE26">
        <v>0.8850436618318781</v>
      </c>
      <c r="AF26">
        <v>2.097028564231004</v>
      </c>
      <c r="AG26">
        <v>2.4876472136122181</v>
      </c>
      <c r="AH26">
        <v>4.7785796128096987</v>
      </c>
      <c r="AI26">
        <v>2.1235996897565199</v>
      </c>
      <c r="AK26">
        <v>1.846656037610956</v>
      </c>
      <c r="AL26">
        <v>0.73292296036379412</v>
      </c>
      <c r="AM26">
        <v>0.73259780141524966</v>
      </c>
      <c r="AN26">
        <v>1.846905863791471</v>
      </c>
      <c r="AO26">
        <v>0.76624301419942642</v>
      </c>
      <c r="AP26">
        <v>2.7856085193809119</v>
      </c>
      <c r="AQ26">
        <v>0.68386722140712664</v>
      </c>
      <c r="AR26">
        <v>1.224009379220661</v>
      </c>
      <c r="AS26">
        <v>0.5860841009183787</v>
      </c>
      <c r="AT26">
        <v>4.7785796128096987</v>
      </c>
      <c r="AU26">
        <v>1.1734690229990521</v>
      </c>
      <c r="AW26">
        <v>0.31122538639465341</v>
      </c>
      <c r="AY26">
        <v>1</v>
      </c>
    </row>
    <row r="27" spans="1:51" x14ac:dyDescent="0.3">
      <c r="A27">
        <v>23</v>
      </c>
      <c r="B27" t="s">
        <v>46</v>
      </c>
      <c r="C27" t="s">
        <v>47</v>
      </c>
      <c r="D27" t="s">
        <v>48</v>
      </c>
      <c r="F27" s="7">
        <v>0</v>
      </c>
      <c r="G27" s="7">
        <v>0</v>
      </c>
      <c r="H27" s="3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2025390.8</v>
      </c>
      <c r="N27">
        <v>2244574.4</v>
      </c>
      <c r="O27">
        <v>2268436.4</v>
      </c>
      <c r="P27">
        <v>2641017.4</v>
      </c>
      <c r="Q27">
        <v>902289.6</v>
      </c>
      <c r="R27">
        <v>1830487.8</v>
      </c>
      <c r="S27">
        <v>1443151.4</v>
      </c>
      <c r="T27">
        <v>4660083.8</v>
      </c>
      <c r="U27">
        <v>4660911.4000000004</v>
      </c>
      <c r="V27">
        <v>3086489.6000000001</v>
      </c>
      <c r="W27">
        <v>1107015.6000000001</v>
      </c>
      <c r="Y27">
        <v>2.4244014645810239</v>
      </c>
      <c r="Z27">
        <v>2.4937410808051941</v>
      </c>
      <c r="AA27">
        <v>2.5068586422014052</v>
      </c>
      <c r="AB27">
        <v>3.8309627838141749</v>
      </c>
      <c r="AC27">
        <v>1.7700964562129231</v>
      </c>
      <c r="AD27">
        <v>2.6486254643998111</v>
      </c>
      <c r="AE27">
        <v>2.5378986787865871</v>
      </c>
      <c r="AF27">
        <v>2.9674528408213519</v>
      </c>
      <c r="AG27">
        <v>3.873624345741701</v>
      </c>
      <c r="AH27">
        <v>4.2795280933962214</v>
      </c>
      <c r="AI27">
        <v>3.947800132038537</v>
      </c>
      <c r="AK27">
        <v>2.4244014645810239</v>
      </c>
      <c r="AL27">
        <v>0.94597003799863155</v>
      </c>
      <c r="AM27">
        <v>0.95741710620932285</v>
      </c>
      <c r="AN27">
        <v>3.8309627838141749</v>
      </c>
      <c r="AO27">
        <v>0.7636533488170244</v>
      </c>
      <c r="AP27">
        <v>2.6486254643998111</v>
      </c>
      <c r="AQ27">
        <v>1.08740701781353</v>
      </c>
      <c r="AR27">
        <v>1.5276819468010221</v>
      </c>
      <c r="AS27">
        <v>0.84093664835672821</v>
      </c>
      <c r="AT27">
        <v>4.2795280933962214</v>
      </c>
      <c r="AU27">
        <v>2.5655628746259032</v>
      </c>
      <c r="AW27">
        <v>0.3261618537944741</v>
      </c>
      <c r="AY27">
        <v>1</v>
      </c>
    </row>
    <row r="28" spans="1:51" x14ac:dyDescent="0.3">
      <c r="A28">
        <v>23</v>
      </c>
      <c r="B28" t="s">
        <v>49</v>
      </c>
      <c r="C28" t="s">
        <v>47</v>
      </c>
      <c r="D28" t="s">
        <v>48</v>
      </c>
      <c r="F28" s="7">
        <v>0</v>
      </c>
      <c r="G28" s="7">
        <v>1</v>
      </c>
      <c r="H28" s="3">
        <v>0</v>
      </c>
      <c r="I28">
        <f t="shared" si="0"/>
        <v>0</v>
      </c>
      <c r="J28">
        <f t="shared" si="1"/>
        <v>1</v>
      </c>
      <c r="K28">
        <v>4</v>
      </c>
      <c r="L28">
        <v>0</v>
      </c>
      <c r="M28">
        <v>510392.8</v>
      </c>
      <c r="N28">
        <v>2692511</v>
      </c>
      <c r="O28">
        <v>2716241.2</v>
      </c>
      <c r="P28">
        <v>376094.8</v>
      </c>
      <c r="Q28">
        <v>1219518</v>
      </c>
      <c r="R28">
        <v>129116.6</v>
      </c>
      <c r="S28">
        <v>2714173.4</v>
      </c>
      <c r="T28">
        <v>4658087</v>
      </c>
      <c r="U28">
        <v>4722347.2</v>
      </c>
      <c r="V28">
        <v>306763.40000000002</v>
      </c>
      <c r="W28">
        <v>1496390.8</v>
      </c>
      <c r="Y28">
        <v>0.8823009623913094</v>
      </c>
      <c r="Z28">
        <v>2.9774100322625601</v>
      </c>
      <c r="AA28">
        <v>2.9794153856462802</v>
      </c>
      <c r="AB28">
        <v>0.90406667239731175</v>
      </c>
      <c r="AC28">
        <v>2.3138389884145001</v>
      </c>
      <c r="AD28">
        <v>0.27055353180039682</v>
      </c>
      <c r="AE28">
        <v>3.7911802558228369</v>
      </c>
      <c r="AF28">
        <v>2.966305187810212</v>
      </c>
      <c r="AG28">
        <v>3.9279745661769989</v>
      </c>
      <c r="AH28">
        <v>0.88293545380001892</v>
      </c>
      <c r="AI28">
        <v>4.9364758931798862</v>
      </c>
      <c r="AK28">
        <v>0.8823009623913094</v>
      </c>
      <c r="AL28">
        <v>1.2483959720353599</v>
      </c>
      <c r="AM28">
        <v>1.2639611032092939</v>
      </c>
      <c r="AN28">
        <v>0.90406667239731175</v>
      </c>
      <c r="AO28">
        <v>1.061737556598382</v>
      </c>
      <c r="AP28">
        <v>0.27055353180039682</v>
      </c>
      <c r="AQ28">
        <v>1.846622504980769</v>
      </c>
      <c r="AR28">
        <v>1.540750118799042</v>
      </c>
      <c r="AS28">
        <v>0.85037993309088056</v>
      </c>
      <c r="AT28">
        <v>0.88293545380001892</v>
      </c>
      <c r="AU28">
        <v>3.501903341384605</v>
      </c>
      <c r="AW28">
        <v>0.33097434820374472</v>
      </c>
      <c r="AY28">
        <v>1</v>
      </c>
    </row>
    <row r="29" spans="1:51" x14ac:dyDescent="0.3">
      <c r="A29">
        <v>23</v>
      </c>
      <c r="B29" t="s">
        <v>50</v>
      </c>
      <c r="C29" t="s">
        <v>47</v>
      </c>
      <c r="D29" t="s">
        <v>48</v>
      </c>
      <c r="F29" s="7">
        <v>0</v>
      </c>
      <c r="G29" s="7">
        <v>1</v>
      </c>
      <c r="H29" s="3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1761354.2</v>
      </c>
      <c r="O29">
        <v>1790108.8</v>
      </c>
      <c r="P29">
        <v>2545954.4</v>
      </c>
      <c r="Q29">
        <v>775358</v>
      </c>
      <c r="R29">
        <v>1544494.4</v>
      </c>
      <c r="S29">
        <v>843022.8</v>
      </c>
      <c r="T29">
        <v>5350565.4000000004</v>
      </c>
      <c r="U29">
        <v>4293950.5999999996</v>
      </c>
      <c r="V29">
        <v>5329729.2</v>
      </c>
      <c r="W29">
        <v>898367.6</v>
      </c>
      <c r="Y29">
        <v>2.122808769205585</v>
      </c>
      <c r="Z29">
        <v>2.1033353518578219</v>
      </c>
      <c r="AA29">
        <v>2.1193031012197019</v>
      </c>
      <c r="AB29">
        <v>3.2485579386004249</v>
      </c>
      <c r="AC29">
        <v>1.5496212327794641</v>
      </c>
      <c r="AD29">
        <v>3.0041490091942249</v>
      </c>
      <c r="AE29">
        <v>2.2389552005915898</v>
      </c>
      <c r="AF29">
        <v>3.4792706321808509</v>
      </c>
      <c r="AG29">
        <v>3.413151442143135</v>
      </c>
      <c r="AH29">
        <v>4.60953829200007</v>
      </c>
      <c r="AI29">
        <v>3.0471179021755228</v>
      </c>
      <c r="AK29">
        <v>2.122808769205585</v>
      </c>
      <c r="AL29">
        <v>0.84481222480535512</v>
      </c>
      <c r="AM29">
        <v>0.86041731899604201</v>
      </c>
      <c r="AN29">
        <v>3.2485579386004249</v>
      </c>
      <c r="AO29">
        <v>0.66728932739933955</v>
      </c>
      <c r="AP29">
        <v>3.0041490091942249</v>
      </c>
      <c r="AQ29">
        <v>0.84702215919969603</v>
      </c>
      <c r="AR29">
        <v>1.8180135925882499</v>
      </c>
      <c r="AS29">
        <v>0.76215711293043564</v>
      </c>
      <c r="AT29">
        <v>4.60953829200007</v>
      </c>
      <c r="AU29">
        <v>1.884051420155447</v>
      </c>
      <c r="AW29">
        <v>0.33969448339194058</v>
      </c>
      <c r="AY29">
        <v>1</v>
      </c>
    </row>
    <row r="30" spans="1:51" x14ac:dyDescent="0.3">
      <c r="A30">
        <v>23</v>
      </c>
      <c r="B30" t="s">
        <v>51</v>
      </c>
      <c r="C30" t="s">
        <v>47</v>
      </c>
      <c r="D30" t="s">
        <v>48</v>
      </c>
      <c r="F30" s="7">
        <v>0</v>
      </c>
      <c r="G30" s="7">
        <v>0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2696304.4</v>
      </c>
      <c r="O30">
        <v>2811004</v>
      </c>
      <c r="P30">
        <v>238307</v>
      </c>
      <c r="Q30">
        <v>1261997.2</v>
      </c>
      <c r="R30">
        <v>153050.6</v>
      </c>
      <c r="S30">
        <v>2480272.4</v>
      </c>
      <c r="T30">
        <v>5344374.2</v>
      </c>
      <c r="U30">
        <v>4370663</v>
      </c>
      <c r="V30">
        <v>69272.600000000006</v>
      </c>
      <c r="W30">
        <v>1361871.2</v>
      </c>
      <c r="Y30">
        <v>1.0972910949960351</v>
      </c>
      <c r="Z30">
        <v>3.0004086321801879</v>
      </c>
      <c r="AA30">
        <v>3.0355372820398769</v>
      </c>
      <c r="AB30">
        <v>0.72263551979558538</v>
      </c>
      <c r="AC30">
        <v>2.3201638008060401</v>
      </c>
      <c r="AD30">
        <v>0.9176138213952072</v>
      </c>
      <c r="AE30">
        <v>3.575464170449413</v>
      </c>
      <c r="AF30">
        <v>3.4492979084025142</v>
      </c>
      <c r="AG30">
        <v>3.4527820721268649</v>
      </c>
      <c r="AH30">
        <v>0.23842336820671331</v>
      </c>
      <c r="AI30">
        <v>4.3351111252442944</v>
      </c>
      <c r="AK30">
        <v>1.0972910949960351</v>
      </c>
      <c r="AL30">
        <v>1.375217469385825</v>
      </c>
      <c r="AM30">
        <v>1.4271139704273079</v>
      </c>
      <c r="AN30">
        <v>0.72263551979558538</v>
      </c>
      <c r="AO30">
        <v>1.103199051012052</v>
      </c>
      <c r="AP30">
        <v>0.9176138213952072</v>
      </c>
      <c r="AQ30">
        <v>1.675000095006544</v>
      </c>
      <c r="AR30">
        <v>1.8065973819931971</v>
      </c>
      <c r="AS30">
        <v>0.78072043743450192</v>
      </c>
      <c r="AT30">
        <v>0.23842336820671331</v>
      </c>
      <c r="AU30">
        <v>3.0976202208199539</v>
      </c>
      <c r="AW30">
        <v>0.34275194018846372</v>
      </c>
      <c r="AY30">
        <v>1</v>
      </c>
    </row>
    <row r="31" spans="1:51" x14ac:dyDescent="0.3">
      <c r="A31">
        <v>23</v>
      </c>
      <c r="B31" t="s">
        <v>52</v>
      </c>
      <c r="C31" t="s">
        <v>47</v>
      </c>
      <c r="D31" t="s">
        <v>48</v>
      </c>
      <c r="F31" s="7">
        <v>0</v>
      </c>
      <c r="G31" s="7">
        <v>1</v>
      </c>
      <c r="H31" s="3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1509720</v>
      </c>
      <c r="O31">
        <v>1552019</v>
      </c>
      <c r="P31">
        <v>869035.6</v>
      </c>
      <c r="Q31">
        <v>584817.19999999995</v>
      </c>
      <c r="R31">
        <v>692113</v>
      </c>
      <c r="S31">
        <v>553166.6</v>
      </c>
      <c r="T31">
        <v>4485341.8</v>
      </c>
      <c r="U31">
        <v>4068067.2</v>
      </c>
      <c r="V31">
        <v>2299098.2000000002</v>
      </c>
      <c r="W31">
        <v>687920</v>
      </c>
      <c r="Y31">
        <v>2.3979166123899631</v>
      </c>
      <c r="Z31">
        <v>1.9060908651561479</v>
      </c>
      <c r="AA31">
        <v>1.916507032199297</v>
      </c>
      <c r="AB31">
        <v>1.6270694562001149</v>
      </c>
      <c r="AC31">
        <v>1.3177771238144489</v>
      </c>
      <c r="AD31">
        <v>2.103708121401723</v>
      </c>
      <c r="AE31">
        <v>2.0378140760702079</v>
      </c>
      <c r="AF31">
        <v>2.749821871402673</v>
      </c>
      <c r="AG31">
        <v>3.1726732333307148</v>
      </c>
      <c r="AH31">
        <v>3.6544800510047941</v>
      </c>
      <c r="AI31">
        <v>2.711057039233856</v>
      </c>
      <c r="AK31">
        <v>2.3979166123899631</v>
      </c>
      <c r="AL31">
        <v>0.77741088437614958</v>
      </c>
      <c r="AM31">
        <v>0.79320139121264222</v>
      </c>
      <c r="AN31">
        <v>1.6270694562001149</v>
      </c>
      <c r="AO31">
        <v>0.61436649399111043</v>
      </c>
      <c r="AP31">
        <v>2.103708121401723</v>
      </c>
      <c r="AQ31">
        <v>0.79438565783202653</v>
      </c>
      <c r="AR31">
        <v>1.4239268882083711</v>
      </c>
      <c r="AS31">
        <v>0.73173760236240926</v>
      </c>
      <c r="AT31">
        <v>3.6544800510047941</v>
      </c>
      <c r="AU31">
        <v>1.584442603215575</v>
      </c>
      <c r="AW31">
        <v>0.33207682839129121</v>
      </c>
      <c r="AY31">
        <v>1</v>
      </c>
    </row>
    <row r="32" spans="1:51" x14ac:dyDescent="0.3">
      <c r="A32">
        <v>23</v>
      </c>
      <c r="B32" t="s">
        <v>53</v>
      </c>
      <c r="C32" t="s">
        <v>47</v>
      </c>
      <c r="D32" t="s">
        <v>48</v>
      </c>
      <c r="F32" s="7">
        <v>0</v>
      </c>
      <c r="G32" s="7">
        <v>0</v>
      </c>
      <c r="H32" s="3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1848423.2</v>
      </c>
      <c r="O32">
        <v>1884113.8</v>
      </c>
      <c r="P32">
        <v>357592.6</v>
      </c>
      <c r="Q32">
        <v>671157.4</v>
      </c>
      <c r="R32">
        <v>274926.2</v>
      </c>
      <c r="S32">
        <v>582111.4</v>
      </c>
      <c r="T32">
        <v>4488895</v>
      </c>
      <c r="U32">
        <v>4093600</v>
      </c>
      <c r="V32">
        <v>213845.8</v>
      </c>
      <c r="W32">
        <v>757993.4</v>
      </c>
      <c r="Y32">
        <v>1.137155857193284</v>
      </c>
      <c r="Z32">
        <v>2.2852236437960531</v>
      </c>
      <c r="AA32">
        <v>2.299199657398276</v>
      </c>
      <c r="AB32">
        <v>0.83747717619407924</v>
      </c>
      <c r="AC32">
        <v>1.5232326506345999</v>
      </c>
      <c r="AD32">
        <v>1.359888433397282</v>
      </c>
      <c r="AE32">
        <v>2.2056480408529748</v>
      </c>
      <c r="AF32">
        <v>2.7788067821878939</v>
      </c>
      <c r="AG32">
        <v>3.2164279501535931</v>
      </c>
      <c r="AH32">
        <v>0.86053827641298997</v>
      </c>
      <c r="AI32">
        <v>2.9836701461928898</v>
      </c>
      <c r="AK32">
        <v>1.137155857193284</v>
      </c>
      <c r="AL32">
        <v>1.0227380236145109</v>
      </c>
      <c r="AM32">
        <v>1.0379761232063169</v>
      </c>
      <c r="AN32">
        <v>0.83747717619407924</v>
      </c>
      <c r="AO32">
        <v>0.76631005239905792</v>
      </c>
      <c r="AP32">
        <v>1.359888433397282</v>
      </c>
      <c r="AQ32">
        <v>0.94730259861098598</v>
      </c>
      <c r="AR32">
        <v>1.4351399635779669</v>
      </c>
      <c r="AS32">
        <v>0.74560813657008107</v>
      </c>
      <c r="AT32">
        <v>0.86053827641298997</v>
      </c>
      <c r="AU32">
        <v>1.8808963319868779</v>
      </c>
      <c r="AW32">
        <v>0.32814741360489269</v>
      </c>
      <c r="AY32">
        <v>1</v>
      </c>
    </row>
    <row r="33" spans="1:51" x14ac:dyDescent="0.3">
      <c r="A33">
        <v>23</v>
      </c>
      <c r="B33" t="s">
        <v>54</v>
      </c>
      <c r="C33" t="s">
        <v>47</v>
      </c>
      <c r="D33" t="s">
        <v>48</v>
      </c>
      <c r="F33" s="7">
        <v>0</v>
      </c>
      <c r="G33" s="7">
        <v>0</v>
      </c>
      <c r="H33" s="3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3045439.2</v>
      </c>
      <c r="N33">
        <v>1741757</v>
      </c>
      <c r="O33">
        <v>1801335.6</v>
      </c>
      <c r="P33">
        <v>535062</v>
      </c>
      <c r="Q33">
        <v>526935.80000000005</v>
      </c>
      <c r="R33">
        <v>531586.4</v>
      </c>
      <c r="S33">
        <v>503087.8</v>
      </c>
      <c r="T33">
        <v>5304660</v>
      </c>
      <c r="U33">
        <v>3810564.6</v>
      </c>
      <c r="V33">
        <v>1574101</v>
      </c>
      <c r="W33">
        <v>524776.4</v>
      </c>
      <c r="Y33">
        <v>2.7747687028022479</v>
      </c>
      <c r="Z33">
        <v>2.038446970155928</v>
      </c>
      <c r="AA33">
        <v>2.0675624014693308</v>
      </c>
      <c r="AB33">
        <v>1.067409315204713</v>
      </c>
      <c r="AC33">
        <v>1.219587308395421</v>
      </c>
      <c r="AD33">
        <v>1.7616031298064629</v>
      </c>
      <c r="AE33">
        <v>1.916659091226756</v>
      </c>
      <c r="AF33">
        <v>3.385776222427376</v>
      </c>
      <c r="AG33">
        <v>2.8262343152309768</v>
      </c>
      <c r="AH33">
        <v>3.412068652221933</v>
      </c>
      <c r="AI33">
        <v>2.2066137972753501</v>
      </c>
      <c r="AK33">
        <v>2.7747687028022479</v>
      </c>
      <c r="AL33">
        <v>0.88449546041665594</v>
      </c>
      <c r="AM33">
        <v>0.91725861441809686</v>
      </c>
      <c r="AN33">
        <v>1.067409315204713</v>
      </c>
      <c r="AO33">
        <v>0.55683776439982469</v>
      </c>
      <c r="AP33">
        <v>1.7616031298064629</v>
      </c>
      <c r="AQ33">
        <v>0.72560098598478362</v>
      </c>
      <c r="AR33">
        <v>1.751859251025599</v>
      </c>
      <c r="AS33">
        <v>0.67317559673683713</v>
      </c>
      <c r="AT33">
        <v>3.412068652221933</v>
      </c>
      <c r="AU33">
        <v>1.326138090412132</v>
      </c>
      <c r="AW33">
        <v>0.32999728741124268</v>
      </c>
      <c r="AY33">
        <v>1</v>
      </c>
    </row>
    <row r="34" spans="1:51" x14ac:dyDescent="0.3">
      <c r="A34">
        <v>23</v>
      </c>
      <c r="B34" t="s">
        <v>55</v>
      </c>
      <c r="C34" t="s">
        <v>47</v>
      </c>
      <c r="D34" t="s">
        <v>48</v>
      </c>
      <c r="F34" s="7">
        <v>0</v>
      </c>
      <c r="G34" s="7">
        <v>1</v>
      </c>
      <c r="H34" s="3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2290113.4</v>
      </c>
      <c r="N34">
        <v>1858165</v>
      </c>
      <c r="O34">
        <v>1939282.2</v>
      </c>
      <c r="P34">
        <v>270661.59999999998</v>
      </c>
      <c r="Q34">
        <v>736101.4</v>
      </c>
      <c r="R34">
        <v>266982.40000000002</v>
      </c>
      <c r="S34">
        <v>690026.4</v>
      </c>
      <c r="T34">
        <v>5285159.8</v>
      </c>
      <c r="U34">
        <v>3832642.6</v>
      </c>
      <c r="V34">
        <v>40982.6</v>
      </c>
      <c r="W34">
        <v>1026636.4</v>
      </c>
      <c r="Y34">
        <v>1.9392416924121789</v>
      </c>
      <c r="Z34">
        <v>2.307339913002215</v>
      </c>
      <c r="AA34">
        <v>2.3608583677560091</v>
      </c>
      <c r="AB34">
        <v>0.58294456840376374</v>
      </c>
      <c r="AC34">
        <v>1.6195933199895081</v>
      </c>
      <c r="AD34">
        <v>1.2359690894023521</v>
      </c>
      <c r="AE34">
        <v>2.358896609593649</v>
      </c>
      <c r="AF34">
        <v>3.3490013273782102</v>
      </c>
      <c r="AG34">
        <v>2.8358109623426571</v>
      </c>
      <c r="AH34">
        <v>0.22413913637865329</v>
      </c>
      <c r="AI34">
        <v>2.898894636041951</v>
      </c>
      <c r="AK34">
        <v>1.9392416924121789</v>
      </c>
      <c r="AL34">
        <v>1.0541573584428989</v>
      </c>
      <c r="AM34">
        <v>1.1074884467991071</v>
      </c>
      <c r="AN34">
        <v>0.58294456840376374</v>
      </c>
      <c r="AO34">
        <v>0.78980252559995279</v>
      </c>
      <c r="AP34">
        <v>1.2359690894023521</v>
      </c>
      <c r="AQ34">
        <v>0.97309810320148249</v>
      </c>
      <c r="AR34">
        <v>1.7205430071684531</v>
      </c>
      <c r="AS34">
        <v>0.68648729436099531</v>
      </c>
      <c r="AT34">
        <v>0.22413913637865329</v>
      </c>
      <c r="AU34">
        <v>1.953569766599685</v>
      </c>
      <c r="AW34">
        <v>0.33422844840679322</v>
      </c>
      <c r="AY34">
        <v>1</v>
      </c>
    </row>
    <row r="35" spans="1:51" x14ac:dyDescent="0.3">
      <c r="A35">
        <v>23</v>
      </c>
      <c r="B35" t="s">
        <v>56</v>
      </c>
      <c r="C35" t="s">
        <v>47</v>
      </c>
      <c r="D35" t="s">
        <v>48</v>
      </c>
      <c r="F35" s="7">
        <v>0</v>
      </c>
      <c r="G35" s="7">
        <v>1</v>
      </c>
      <c r="H35" s="3">
        <v>0</v>
      </c>
      <c r="I35">
        <f t="shared" si="0"/>
        <v>0</v>
      </c>
      <c r="J35">
        <f t="shared" si="1"/>
        <v>1</v>
      </c>
      <c r="K35">
        <v>4</v>
      </c>
      <c r="L35">
        <v>0</v>
      </c>
      <c r="M35">
        <v>8055849.7999999998</v>
      </c>
      <c r="N35">
        <v>4692546.5999999996</v>
      </c>
      <c r="O35">
        <v>4786243.8</v>
      </c>
      <c r="P35">
        <v>44794298</v>
      </c>
      <c r="Q35">
        <v>2478062.2000000002</v>
      </c>
      <c r="R35">
        <v>12997115.6</v>
      </c>
      <c r="S35">
        <v>4921309.4000000004</v>
      </c>
      <c r="T35">
        <v>8289557.2000000002</v>
      </c>
      <c r="U35">
        <v>5496003.5999999996</v>
      </c>
      <c r="V35">
        <v>74116162.400000006</v>
      </c>
      <c r="W35">
        <v>4257848.5999999996</v>
      </c>
      <c r="Y35">
        <v>7.5373838686035013</v>
      </c>
      <c r="Z35">
        <v>4.2425374508253304</v>
      </c>
      <c r="AA35">
        <v>4.2656780952820554</v>
      </c>
      <c r="AB35">
        <v>39.800297811412022</v>
      </c>
      <c r="AC35">
        <v>3.0930033673939761</v>
      </c>
      <c r="AD35">
        <v>10.122431857616171</v>
      </c>
      <c r="AE35">
        <v>5.3214484768221153</v>
      </c>
      <c r="AF35">
        <v>6.8983103680773636</v>
      </c>
      <c r="AG35">
        <v>4.7475804739515297</v>
      </c>
      <c r="AH35">
        <v>32.926972743798977</v>
      </c>
      <c r="AI35">
        <v>7.2977516940212812</v>
      </c>
      <c r="AK35">
        <v>7.5373838686035013</v>
      </c>
      <c r="AL35">
        <v>1.6903794326120991</v>
      </c>
      <c r="AM35">
        <v>1.7288480925955809</v>
      </c>
      <c r="AN35">
        <v>39.800297811412022</v>
      </c>
      <c r="AO35">
        <v>1.224676634400385</v>
      </c>
      <c r="AP35">
        <v>10.122431857616171</v>
      </c>
      <c r="AQ35">
        <v>1.899268189596478</v>
      </c>
      <c r="AR35">
        <v>3.6288225524593138</v>
      </c>
      <c r="AS35">
        <v>1.014855797553901</v>
      </c>
      <c r="AT35">
        <v>32.926972743798977</v>
      </c>
      <c r="AU35">
        <v>5.1922275535878724</v>
      </c>
      <c r="AW35">
        <v>0.33954841321101409</v>
      </c>
      <c r="AY35">
        <v>1</v>
      </c>
    </row>
    <row r="36" spans="1:51" x14ac:dyDescent="0.3">
      <c r="A36">
        <v>23</v>
      </c>
      <c r="B36" t="s">
        <v>57</v>
      </c>
      <c r="C36" t="s">
        <v>47</v>
      </c>
      <c r="D36" t="s">
        <v>48</v>
      </c>
      <c r="F36" s="7">
        <v>0</v>
      </c>
      <c r="G36" s="7">
        <v>0</v>
      </c>
      <c r="H36" s="3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11188592.4</v>
      </c>
      <c r="N36">
        <v>4460777.5999999996</v>
      </c>
      <c r="O36">
        <v>4479086.5999999996</v>
      </c>
      <c r="P36">
        <v>65436608.200000003</v>
      </c>
      <c r="Q36">
        <v>3009998.2</v>
      </c>
      <c r="R36">
        <v>13756660.6</v>
      </c>
      <c r="S36">
        <v>4394764.8</v>
      </c>
      <c r="T36">
        <v>8299787.7999999998</v>
      </c>
      <c r="U36">
        <v>5477577.2000000002</v>
      </c>
      <c r="V36">
        <v>97544876.200000003</v>
      </c>
      <c r="W36">
        <v>4428309.5999999996</v>
      </c>
      <c r="Y36">
        <v>9.9851183565915562</v>
      </c>
      <c r="Z36">
        <v>3.9778892977861688</v>
      </c>
      <c r="AA36">
        <v>3.9585359052638518</v>
      </c>
      <c r="AB36">
        <v>57.666907840210477</v>
      </c>
      <c r="AC36">
        <v>3.4203098379832229</v>
      </c>
      <c r="AD36">
        <v>11.383886065392289</v>
      </c>
      <c r="AE36">
        <v>4.805407834309154</v>
      </c>
      <c r="AF36">
        <v>6.9309000123757869</v>
      </c>
      <c r="AG36">
        <v>4.7672439370653592</v>
      </c>
      <c r="AH36">
        <v>43.740880621201363</v>
      </c>
      <c r="AI36">
        <v>6.5312290398171173</v>
      </c>
      <c r="AK36">
        <v>9.9851183565915562</v>
      </c>
      <c r="AL36">
        <v>1.579987778211944</v>
      </c>
      <c r="AM36">
        <v>1.577509813185316</v>
      </c>
      <c r="AN36">
        <v>57.666907840210477</v>
      </c>
      <c r="AO36">
        <v>1.528548461804166</v>
      </c>
      <c r="AP36">
        <v>11.383886065392289</v>
      </c>
      <c r="AQ36">
        <v>1.8700171775883061</v>
      </c>
      <c r="AR36">
        <v>3.6586028103716668</v>
      </c>
      <c r="AS36">
        <v>1.0267087336047549</v>
      </c>
      <c r="AT36">
        <v>43.740880621201363</v>
      </c>
      <c r="AU36">
        <v>4.4924214618164111</v>
      </c>
      <c r="AW36">
        <v>0.33484172840835519</v>
      </c>
      <c r="AY36">
        <v>1</v>
      </c>
    </row>
    <row r="37" spans="1:51" x14ac:dyDescent="0.3">
      <c r="A37">
        <v>23</v>
      </c>
      <c r="B37" t="s">
        <v>58</v>
      </c>
      <c r="C37" t="s">
        <v>47</v>
      </c>
      <c r="D37" t="s">
        <v>48</v>
      </c>
      <c r="F37" s="7">
        <v>0</v>
      </c>
      <c r="G37" s="7">
        <v>0</v>
      </c>
      <c r="H37" s="3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2536581.2000000002</v>
      </c>
      <c r="O37">
        <v>2597504.2000000002</v>
      </c>
      <c r="P37">
        <v>2798305.8</v>
      </c>
      <c r="Q37">
        <v>1142575.3999999999</v>
      </c>
      <c r="R37">
        <v>2394989.4</v>
      </c>
      <c r="S37">
        <v>1751202.6</v>
      </c>
      <c r="T37">
        <v>5026362.5999999996</v>
      </c>
      <c r="U37">
        <v>4421166</v>
      </c>
      <c r="V37">
        <v>15958521.4</v>
      </c>
      <c r="W37">
        <v>1950872.6</v>
      </c>
      <c r="Y37">
        <v>2.2408743513980882</v>
      </c>
      <c r="Z37">
        <v>2.6420893276459538</v>
      </c>
      <c r="AA37">
        <v>2.673556334350724</v>
      </c>
      <c r="AB37">
        <v>3.2751115972001572</v>
      </c>
      <c r="AC37">
        <v>1.8761283132364039</v>
      </c>
      <c r="AD37">
        <v>3.833016005612444</v>
      </c>
      <c r="AE37">
        <v>3.1446050197817379</v>
      </c>
      <c r="AF37">
        <v>3.291180088592228</v>
      </c>
      <c r="AG37">
        <v>3.525603719684296</v>
      </c>
      <c r="AH37">
        <v>8.1075362024013877</v>
      </c>
      <c r="AI37">
        <v>4.0587124772137031</v>
      </c>
      <c r="AK37">
        <v>2.2408743513980882</v>
      </c>
      <c r="AL37">
        <v>0.9959491821937263</v>
      </c>
      <c r="AM37">
        <v>1.03325056261383</v>
      </c>
      <c r="AN37">
        <v>3.2751115972001572</v>
      </c>
      <c r="AO37">
        <v>0.78942597220302557</v>
      </c>
      <c r="AP37">
        <v>3.833016005612444</v>
      </c>
      <c r="AQ37">
        <v>1.260354175220709</v>
      </c>
      <c r="AR37">
        <v>1.677795233984944</v>
      </c>
      <c r="AS37">
        <v>0.7834495407994837</v>
      </c>
      <c r="AT37">
        <v>8.1075362024013877</v>
      </c>
      <c r="AU37">
        <v>2.5846855691983359</v>
      </c>
      <c r="AW37">
        <v>0.32872827301034702</v>
      </c>
      <c r="AY37">
        <v>1</v>
      </c>
    </row>
    <row r="38" spans="1:51" x14ac:dyDescent="0.3">
      <c r="A38">
        <v>23</v>
      </c>
      <c r="B38" t="s">
        <v>59</v>
      </c>
      <c r="C38" t="s">
        <v>47</v>
      </c>
      <c r="D38" t="s">
        <v>48</v>
      </c>
      <c r="F38" s="7">
        <v>0</v>
      </c>
      <c r="G38" s="7">
        <v>1</v>
      </c>
      <c r="H38" s="3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2195321</v>
      </c>
      <c r="O38">
        <v>2177195.2000000002</v>
      </c>
      <c r="P38">
        <v>8110191.4000000004</v>
      </c>
      <c r="Q38">
        <v>938764.80000000005</v>
      </c>
      <c r="R38">
        <v>5959335.2000000002</v>
      </c>
      <c r="S38">
        <v>1481246.2</v>
      </c>
      <c r="T38">
        <v>5031203.2</v>
      </c>
      <c r="U38">
        <v>4426128.2</v>
      </c>
      <c r="V38">
        <v>24978322.199999999</v>
      </c>
      <c r="W38">
        <v>1595597.2</v>
      </c>
      <c r="Y38">
        <v>3.111349141795654</v>
      </c>
      <c r="Z38">
        <v>2.3719219365506432</v>
      </c>
      <c r="AA38">
        <v>2.3464610124006868</v>
      </c>
      <c r="AB38">
        <v>7.9253563984064384</v>
      </c>
      <c r="AC38">
        <v>1.6733004663954489</v>
      </c>
      <c r="AD38">
        <v>7.4259792456170546</v>
      </c>
      <c r="AE38">
        <v>2.7510037308325992</v>
      </c>
      <c r="AF38">
        <v>3.3207204420352361</v>
      </c>
      <c r="AG38">
        <v>3.5486295429640449</v>
      </c>
      <c r="AH38">
        <v>11.006260724167809</v>
      </c>
      <c r="AI38">
        <v>3.4596571773639879</v>
      </c>
      <c r="AK38">
        <v>3.111349141795654</v>
      </c>
      <c r="AL38">
        <v>0.93805467741331083</v>
      </c>
      <c r="AM38">
        <v>0.91738699340494345</v>
      </c>
      <c r="AN38">
        <v>7.9253563984064384</v>
      </c>
      <c r="AO38">
        <v>0.723769653798081</v>
      </c>
      <c r="AP38">
        <v>7.4259792456170546</v>
      </c>
      <c r="AQ38">
        <v>0.9797301752143539</v>
      </c>
      <c r="AR38">
        <v>1.689737277617678</v>
      </c>
      <c r="AS38">
        <v>0.78888303457060827</v>
      </c>
      <c r="AT38">
        <v>11.006260724167809</v>
      </c>
      <c r="AU38">
        <v>2.0908328647841699</v>
      </c>
      <c r="AW38">
        <v>0.33518554141046469</v>
      </c>
      <c r="AY38">
        <v>1</v>
      </c>
    </row>
    <row r="39" spans="1:51" x14ac:dyDescent="0.3">
      <c r="A39">
        <v>23</v>
      </c>
      <c r="B39" t="s">
        <v>60</v>
      </c>
      <c r="C39" t="s">
        <v>47</v>
      </c>
      <c r="D39" t="s">
        <v>48</v>
      </c>
      <c r="F39" s="7">
        <v>0</v>
      </c>
      <c r="G39" s="7">
        <v>0</v>
      </c>
      <c r="H39" s="3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2548396.6</v>
      </c>
      <c r="O39">
        <v>2579667.4</v>
      </c>
      <c r="P39">
        <v>8535142.8000000007</v>
      </c>
      <c r="Q39">
        <v>1163907.2</v>
      </c>
      <c r="R39">
        <v>5751810.2000000002</v>
      </c>
      <c r="S39">
        <v>1037210.4</v>
      </c>
      <c r="T39">
        <v>5993899</v>
      </c>
      <c r="U39">
        <v>4208480.8</v>
      </c>
      <c r="V39">
        <v>8420866.5999999996</v>
      </c>
      <c r="W39">
        <v>1453194</v>
      </c>
      <c r="Y39">
        <v>2.618572360207327</v>
      </c>
      <c r="Z39">
        <v>2.7635746473912151</v>
      </c>
      <c r="AA39">
        <v>2.778277592966333</v>
      </c>
      <c r="AB39">
        <v>7.1323527527973054</v>
      </c>
      <c r="AC39">
        <v>1.8562952965905419</v>
      </c>
      <c r="AD39">
        <v>6.870425169204827</v>
      </c>
      <c r="AE39">
        <v>2.5973022492136808</v>
      </c>
      <c r="AF39">
        <v>4.2620156406075704</v>
      </c>
      <c r="AG39">
        <v>3.3305800510453989</v>
      </c>
      <c r="AH39">
        <v>5.6527373148011977</v>
      </c>
      <c r="AI39">
        <v>4.1161545131704766</v>
      </c>
      <c r="AK39">
        <v>2.618572360207327</v>
      </c>
      <c r="AL39">
        <v>1.0646627710084431</v>
      </c>
      <c r="AM39">
        <v>1.083620905980933</v>
      </c>
      <c r="AN39">
        <v>7.1323527527973054</v>
      </c>
      <c r="AO39">
        <v>0.76587132859858675</v>
      </c>
      <c r="AP39">
        <v>6.870425169204827</v>
      </c>
      <c r="AQ39">
        <v>0.97061722680227835</v>
      </c>
      <c r="AR39">
        <v>2.188733715808485</v>
      </c>
      <c r="AS39">
        <v>0.78494180319830775</v>
      </c>
      <c r="AT39">
        <v>5.6527373148011977</v>
      </c>
      <c r="AU39">
        <v>2.8301512327860112</v>
      </c>
      <c r="AW39">
        <v>0.3318687840132043</v>
      </c>
      <c r="AY39">
        <v>1</v>
      </c>
    </row>
    <row r="40" spans="1:51" x14ac:dyDescent="0.3">
      <c r="A40">
        <v>23</v>
      </c>
      <c r="B40" t="s">
        <v>61</v>
      </c>
      <c r="C40" t="s">
        <v>47</v>
      </c>
      <c r="D40" t="s">
        <v>48</v>
      </c>
      <c r="F40" s="7">
        <v>0</v>
      </c>
      <c r="G40" s="7">
        <v>1</v>
      </c>
      <c r="H40" s="3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1872928.2</v>
      </c>
      <c r="O40">
        <v>1860809</v>
      </c>
      <c r="P40">
        <v>13103222.199999999</v>
      </c>
      <c r="Q40">
        <v>1188675.2</v>
      </c>
      <c r="R40">
        <v>8635362.4000000004</v>
      </c>
      <c r="S40">
        <v>1018766</v>
      </c>
      <c r="T40">
        <v>5991858.4000000004</v>
      </c>
      <c r="U40">
        <v>4144492.6</v>
      </c>
      <c r="V40">
        <v>12723913.6</v>
      </c>
      <c r="W40">
        <v>1550320.6</v>
      </c>
      <c r="Y40">
        <v>2.9550370576092968</v>
      </c>
      <c r="Z40">
        <v>2.2097069859853939</v>
      </c>
      <c r="AA40">
        <v>2.1888961140299221</v>
      </c>
      <c r="AB40">
        <v>10.68076406139298</v>
      </c>
      <c r="AC40">
        <v>1.7641840136435349</v>
      </c>
      <c r="AD40">
        <v>9.8686936927842908</v>
      </c>
      <c r="AE40">
        <v>2.5130253963987341</v>
      </c>
      <c r="AF40">
        <v>4.3082756964256994</v>
      </c>
      <c r="AG40">
        <v>3.2850682910764588</v>
      </c>
      <c r="AH40">
        <v>6.9150585178169424</v>
      </c>
      <c r="AI40">
        <v>3.278930743830279</v>
      </c>
      <c r="AK40">
        <v>2.9550370576092968</v>
      </c>
      <c r="AL40">
        <v>0.80352945319609714</v>
      </c>
      <c r="AM40">
        <v>0.78927227639360353</v>
      </c>
      <c r="AN40">
        <v>10.68076406139298</v>
      </c>
      <c r="AO40">
        <v>0.69415848460630514</v>
      </c>
      <c r="AP40">
        <v>9.8686936927842908</v>
      </c>
      <c r="AQ40">
        <v>0.86663820501416922</v>
      </c>
      <c r="AR40">
        <v>2.2152492642169821</v>
      </c>
      <c r="AS40">
        <v>0.76131236584624273</v>
      </c>
      <c r="AT40">
        <v>6.9150585178169424</v>
      </c>
      <c r="AU40">
        <v>1.859634643374011</v>
      </c>
      <c r="AW40">
        <v>0.33146601059706882</v>
      </c>
      <c r="AY40">
        <v>1</v>
      </c>
    </row>
    <row r="41" spans="1:51" x14ac:dyDescent="0.3">
      <c r="A41">
        <v>23</v>
      </c>
      <c r="B41" t="s">
        <v>62</v>
      </c>
      <c r="C41" t="s">
        <v>47</v>
      </c>
      <c r="D41" t="s">
        <v>48</v>
      </c>
      <c r="F41" s="7">
        <v>0</v>
      </c>
      <c r="G41" s="7">
        <v>1</v>
      </c>
      <c r="H41" s="3">
        <v>0</v>
      </c>
      <c r="I41">
        <f t="shared" si="0"/>
        <v>0</v>
      </c>
      <c r="J41">
        <f t="shared" si="1"/>
        <v>1</v>
      </c>
      <c r="K41">
        <v>4</v>
      </c>
      <c r="L41">
        <v>0</v>
      </c>
      <c r="M41">
        <v>584782.4</v>
      </c>
      <c r="N41">
        <v>1611173</v>
      </c>
      <c r="O41">
        <v>1664371.8</v>
      </c>
      <c r="P41">
        <v>281783.40000000002</v>
      </c>
      <c r="Q41">
        <v>632717.80000000005</v>
      </c>
      <c r="R41">
        <v>276818.40000000002</v>
      </c>
      <c r="S41">
        <v>607142.40000000002</v>
      </c>
      <c r="T41">
        <v>3746597.2</v>
      </c>
      <c r="U41">
        <v>3507208</v>
      </c>
      <c r="V41">
        <v>41970.2</v>
      </c>
      <c r="W41">
        <v>646396</v>
      </c>
      <c r="Y41">
        <v>0.75574777179863306</v>
      </c>
      <c r="Z41">
        <v>1.994037356541958</v>
      </c>
      <c r="AA41">
        <v>2.0092275783652438</v>
      </c>
      <c r="AB41">
        <v>0.53571821199147962</v>
      </c>
      <c r="AC41">
        <v>1.2664119723893239</v>
      </c>
      <c r="AD41">
        <v>1.246333532617427</v>
      </c>
      <c r="AE41">
        <v>2.0006146182306108</v>
      </c>
      <c r="AF41">
        <v>1.8662045348086389</v>
      </c>
      <c r="AG41">
        <v>2.5095026858034539</v>
      </c>
      <c r="AH41">
        <v>0.19960493859834971</v>
      </c>
      <c r="AI41">
        <v>2.3644629029789939</v>
      </c>
      <c r="AK41">
        <v>0.75574777179863306</v>
      </c>
      <c r="AL41">
        <v>0.7896783370058984</v>
      </c>
      <c r="AM41">
        <v>0.80901463500922544</v>
      </c>
      <c r="AN41">
        <v>0.53571821199147962</v>
      </c>
      <c r="AO41">
        <v>0.52918931678286751</v>
      </c>
      <c r="AP41">
        <v>1.246333532617427</v>
      </c>
      <c r="AQ41">
        <v>0.69866446864325549</v>
      </c>
      <c r="AR41">
        <v>1.000468734407332</v>
      </c>
      <c r="AS41">
        <v>0.62653864917811009</v>
      </c>
      <c r="AT41">
        <v>0.19960493859834971</v>
      </c>
      <c r="AU41">
        <v>1.6584218096104451</v>
      </c>
      <c r="AW41">
        <v>0.35106429402949291</v>
      </c>
      <c r="AY41">
        <v>1</v>
      </c>
    </row>
    <row r="42" spans="1:51" x14ac:dyDescent="0.3">
      <c r="A42">
        <v>23</v>
      </c>
      <c r="B42" t="s">
        <v>63</v>
      </c>
      <c r="C42" t="s">
        <v>47</v>
      </c>
      <c r="D42" t="s">
        <v>48</v>
      </c>
      <c r="F42" s="7">
        <v>0</v>
      </c>
      <c r="G42" s="7">
        <v>0</v>
      </c>
      <c r="H42" s="3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668118.80000000005</v>
      </c>
      <c r="N42">
        <v>1201692.6000000001</v>
      </c>
      <c r="O42">
        <v>1187076.8</v>
      </c>
      <c r="P42">
        <v>275748.8</v>
      </c>
      <c r="Q42">
        <v>454519</v>
      </c>
      <c r="R42">
        <v>268625.8</v>
      </c>
      <c r="S42">
        <v>411834.2</v>
      </c>
      <c r="T42">
        <v>3752541.2</v>
      </c>
      <c r="U42">
        <v>3490266</v>
      </c>
      <c r="V42">
        <v>58445</v>
      </c>
      <c r="W42">
        <v>370872.8</v>
      </c>
      <c r="Y42">
        <v>0.80918713120045138</v>
      </c>
      <c r="Z42">
        <v>1.6150102013023571</v>
      </c>
      <c r="AA42">
        <v>1.602109721978195</v>
      </c>
      <c r="AB42">
        <v>0.49300265400088389</v>
      </c>
      <c r="AC42">
        <v>1.058827181003289</v>
      </c>
      <c r="AD42">
        <v>1.195716652018018</v>
      </c>
      <c r="AE42">
        <v>1.752842661424074</v>
      </c>
      <c r="AF42">
        <v>1.8701255076215599</v>
      </c>
      <c r="AG42">
        <v>2.4872383047360929</v>
      </c>
      <c r="AH42">
        <v>0.30479348279768598</v>
      </c>
      <c r="AI42">
        <v>1.7328149286331609</v>
      </c>
      <c r="AK42">
        <v>0.80918713120045138</v>
      </c>
      <c r="AL42">
        <v>0.66329525696346536</v>
      </c>
      <c r="AM42">
        <v>0.65260935858823355</v>
      </c>
      <c r="AN42">
        <v>0.49300265400088389</v>
      </c>
      <c r="AO42">
        <v>0.45844631140353159</v>
      </c>
      <c r="AP42">
        <v>1.195716652018018</v>
      </c>
      <c r="AQ42">
        <v>0.66013446721481162</v>
      </c>
      <c r="AR42">
        <v>1.0130848216242161</v>
      </c>
      <c r="AS42">
        <v>0.62745492877438669</v>
      </c>
      <c r="AT42">
        <v>0.30479348279768598</v>
      </c>
      <c r="AU42">
        <v>1.1165313164237891</v>
      </c>
      <c r="AW42">
        <v>0.33162432358367372</v>
      </c>
      <c r="AY42">
        <v>1</v>
      </c>
    </row>
    <row r="43" spans="1:51" x14ac:dyDescent="0.3">
      <c r="A43">
        <v>24</v>
      </c>
      <c r="B43" t="s">
        <v>64</v>
      </c>
      <c r="C43" t="s">
        <v>65</v>
      </c>
      <c r="D43" t="s">
        <v>66</v>
      </c>
      <c r="F43" s="7">
        <v>0</v>
      </c>
      <c r="G43" s="7">
        <v>0</v>
      </c>
      <c r="H43" s="3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5992022.4000000004</v>
      </c>
      <c r="O43">
        <v>6600829</v>
      </c>
      <c r="P43">
        <v>2004888.8</v>
      </c>
      <c r="Q43">
        <v>5939480.5999999996</v>
      </c>
      <c r="R43">
        <v>1414445.2</v>
      </c>
      <c r="S43">
        <v>6599989.7999999998</v>
      </c>
      <c r="T43">
        <v>3393315.6</v>
      </c>
      <c r="U43">
        <v>3868766.8</v>
      </c>
      <c r="V43">
        <v>7725292.4000000004</v>
      </c>
      <c r="W43">
        <v>11541162.199999999</v>
      </c>
      <c r="Y43">
        <v>1.902499650395475</v>
      </c>
      <c r="Z43">
        <v>4.9801150533952754</v>
      </c>
      <c r="AA43">
        <v>5.3481300111976449</v>
      </c>
      <c r="AB43">
        <v>2.936456027795793</v>
      </c>
      <c r="AC43">
        <v>6.3120730026392264</v>
      </c>
      <c r="AD43">
        <v>1.4799231829936621</v>
      </c>
      <c r="AE43">
        <v>4.5821201770217161</v>
      </c>
      <c r="AF43">
        <v>1.3229826851980759</v>
      </c>
      <c r="AG43">
        <v>2.507928721455392</v>
      </c>
      <c r="AH43">
        <v>5.4008630300057119</v>
      </c>
      <c r="AI43">
        <v>13.11254044899251</v>
      </c>
      <c r="AK43">
        <v>1.902499650395475</v>
      </c>
      <c r="AL43">
        <v>1.9556955639971421</v>
      </c>
      <c r="AM43">
        <v>2.336964795610402</v>
      </c>
      <c r="AN43">
        <v>2.936456027795793</v>
      </c>
      <c r="AO43">
        <v>3.0763704230135769</v>
      </c>
      <c r="AP43">
        <v>1.4799231829936621</v>
      </c>
      <c r="AQ43">
        <v>1.7396299373824149</v>
      </c>
      <c r="AR43">
        <v>0.68709089061012496</v>
      </c>
      <c r="AS43">
        <v>0.57074219618225475</v>
      </c>
      <c r="AT43">
        <v>5.4008630300057119</v>
      </c>
      <c r="AU43">
        <v>9.5047258693841279</v>
      </c>
      <c r="AW43">
        <v>0.30514602959156029</v>
      </c>
      <c r="AY43">
        <v>1</v>
      </c>
    </row>
    <row r="44" spans="1:51" x14ac:dyDescent="0.3">
      <c r="A44">
        <v>24</v>
      </c>
      <c r="B44" t="s">
        <v>67</v>
      </c>
      <c r="C44" t="s">
        <v>65</v>
      </c>
      <c r="D44" t="s">
        <v>66</v>
      </c>
      <c r="F44" s="7">
        <v>0</v>
      </c>
      <c r="G44" s="7">
        <v>1</v>
      </c>
      <c r="H44" s="3">
        <v>0</v>
      </c>
      <c r="I44">
        <f t="shared" si="0"/>
        <v>0</v>
      </c>
      <c r="J44">
        <f t="shared" si="1"/>
        <v>1</v>
      </c>
      <c r="K44">
        <v>3</v>
      </c>
      <c r="L44">
        <v>0</v>
      </c>
      <c r="M44">
        <v>7040893.2000000002</v>
      </c>
      <c r="N44">
        <v>1976134.8</v>
      </c>
      <c r="O44">
        <v>2004510.2</v>
      </c>
      <c r="P44">
        <v>6888278.7999999998</v>
      </c>
      <c r="Q44">
        <v>839369</v>
      </c>
      <c r="R44">
        <v>15975768.6</v>
      </c>
      <c r="S44">
        <v>1062903.2</v>
      </c>
      <c r="T44">
        <v>7598860.4000000004</v>
      </c>
      <c r="U44">
        <v>4303944.4000000004</v>
      </c>
      <c r="V44">
        <v>20961509</v>
      </c>
      <c r="W44">
        <v>2647887.4</v>
      </c>
      <c r="Y44">
        <v>5.3365994693944234</v>
      </c>
      <c r="Z44">
        <v>1.8564399290480651</v>
      </c>
      <c r="AA44">
        <v>1.850124277628493</v>
      </c>
      <c r="AB44">
        <v>5.8321243659942414</v>
      </c>
      <c r="AC44">
        <v>1.3524713988124859</v>
      </c>
      <c r="AD44">
        <v>10.95409533240599</v>
      </c>
      <c r="AE44">
        <v>1.3931679290486501</v>
      </c>
      <c r="AF44">
        <v>4.3795528340036984</v>
      </c>
      <c r="AG44">
        <v>2.729313315392937</v>
      </c>
      <c r="AH44">
        <v>8.8987105053849511</v>
      </c>
      <c r="AI44">
        <v>3.2193845726898869</v>
      </c>
      <c r="AK44">
        <v>5.3365994693944234</v>
      </c>
      <c r="AL44">
        <v>0.68663855983177202</v>
      </c>
      <c r="AM44">
        <v>0.69224667659727857</v>
      </c>
      <c r="AN44">
        <v>5.8321243659942414</v>
      </c>
      <c r="AO44">
        <v>0.56141735260607672</v>
      </c>
      <c r="AP44">
        <v>10.95409533240599</v>
      </c>
      <c r="AQ44">
        <v>0.61859949162462724</v>
      </c>
      <c r="AR44">
        <v>2.3783643595990731</v>
      </c>
      <c r="AS44">
        <v>0.56510997997829693</v>
      </c>
      <c r="AT44">
        <v>8.8987105053849511</v>
      </c>
      <c r="AU44">
        <v>1.5136320330202579</v>
      </c>
      <c r="AW44">
        <v>0.30831477461615581</v>
      </c>
      <c r="AY44">
        <v>1</v>
      </c>
    </row>
    <row r="45" spans="1:51" x14ac:dyDescent="0.3">
      <c r="A45">
        <v>24</v>
      </c>
      <c r="B45" t="s">
        <v>68</v>
      </c>
      <c r="C45" t="s">
        <v>65</v>
      </c>
      <c r="D45" t="s">
        <v>66</v>
      </c>
      <c r="F45" s="7">
        <v>0</v>
      </c>
      <c r="G45" s="7">
        <v>1</v>
      </c>
      <c r="H45" s="3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1884901</v>
      </c>
      <c r="O45">
        <v>1876718.2</v>
      </c>
      <c r="P45">
        <v>4808313.4000000004</v>
      </c>
      <c r="Q45">
        <v>887823.2</v>
      </c>
      <c r="R45">
        <v>4566077.4000000004</v>
      </c>
      <c r="S45">
        <v>1184733.6000000001</v>
      </c>
      <c r="T45">
        <v>7454517.4000000004</v>
      </c>
      <c r="U45">
        <v>4294696.4000000004</v>
      </c>
      <c r="V45">
        <v>13585854.4</v>
      </c>
      <c r="W45">
        <v>2257997.4</v>
      </c>
      <c r="Y45">
        <v>2.5534792633843608</v>
      </c>
      <c r="Z45">
        <v>1.8399957141955381</v>
      </c>
      <c r="AA45">
        <v>1.8292166290222669</v>
      </c>
      <c r="AB45">
        <v>3.0478638805914668</v>
      </c>
      <c r="AC45">
        <v>1.457264181610662</v>
      </c>
      <c r="AD45">
        <v>3.385036309016868</v>
      </c>
      <c r="AE45">
        <v>1.3467373165301979</v>
      </c>
      <c r="AF45">
        <v>4.2875484451651573</v>
      </c>
      <c r="AG45">
        <v>2.735056102124509</v>
      </c>
      <c r="AH45">
        <v>6.6112681110156704</v>
      </c>
      <c r="AI45">
        <v>3.4886999977985398</v>
      </c>
      <c r="AK45">
        <v>2.5534792633843608</v>
      </c>
      <c r="AL45">
        <v>0.68559304416412492</v>
      </c>
      <c r="AM45">
        <v>0.67554122942965478</v>
      </c>
      <c r="AN45">
        <v>3.0478638805914668</v>
      </c>
      <c r="AO45">
        <v>0.57750049419701099</v>
      </c>
      <c r="AP45">
        <v>3.385036309016868</v>
      </c>
      <c r="AQ45">
        <v>0.54910154638346287</v>
      </c>
      <c r="AR45">
        <v>2.3108039849670599</v>
      </c>
      <c r="AS45">
        <v>0.56747586461715405</v>
      </c>
      <c r="AT45">
        <v>6.6112681110156704</v>
      </c>
      <c r="AU45">
        <v>1.8685042786179109</v>
      </c>
      <c r="AW45">
        <v>0.31086206560721619</v>
      </c>
      <c r="AY45">
        <v>1</v>
      </c>
    </row>
    <row r="46" spans="1:51" x14ac:dyDescent="0.3">
      <c r="A46">
        <v>24</v>
      </c>
      <c r="B46" t="s">
        <v>69</v>
      </c>
      <c r="C46" t="s">
        <v>65</v>
      </c>
      <c r="D46" t="s">
        <v>66</v>
      </c>
      <c r="F46" s="7">
        <v>0</v>
      </c>
      <c r="G46" s="7">
        <v>0</v>
      </c>
      <c r="H46" s="3">
        <v>0</v>
      </c>
      <c r="I46">
        <f t="shared" si="0"/>
        <v>0</v>
      </c>
      <c r="J46">
        <f t="shared" si="1"/>
        <v>1</v>
      </c>
      <c r="K46">
        <v>3</v>
      </c>
      <c r="L46">
        <v>0</v>
      </c>
      <c r="M46">
        <v>414114.2</v>
      </c>
      <c r="N46">
        <v>6016041.2000000002</v>
      </c>
      <c r="O46">
        <v>6184164.7999999998</v>
      </c>
      <c r="P46">
        <v>355969</v>
      </c>
      <c r="Q46">
        <v>6159425.2000000002</v>
      </c>
      <c r="R46">
        <v>185834.8</v>
      </c>
      <c r="S46">
        <v>7151927.2000000002</v>
      </c>
      <c r="T46">
        <v>3528815.8</v>
      </c>
      <c r="U46">
        <v>3936779.4</v>
      </c>
      <c r="V46">
        <v>708200.2</v>
      </c>
      <c r="W46">
        <v>11324861.6</v>
      </c>
      <c r="Y46">
        <v>0.75192192260874435</v>
      </c>
      <c r="Z46">
        <v>4.9027848363039084</v>
      </c>
      <c r="AA46">
        <v>5.0205925049725924</v>
      </c>
      <c r="AB46">
        <v>0.82043510299408806</v>
      </c>
      <c r="AC46">
        <v>5.8185497546393892</v>
      </c>
      <c r="AD46">
        <v>0.32482367020566011</v>
      </c>
      <c r="AE46">
        <v>4.6631845549563877</v>
      </c>
      <c r="AF46">
        <v>1.462565600441303</v>
      </c>
      <c r="AG46">
        <v>2.5565355605795048</v>
      </c>
      <c r="AH46">
        <v>1.9473045285907571</v>
      </c>
      <c r="AI46">
        <v>14.77405531820841</v>
      </c>
      <c r="AK46">
        <v>0.75192192260874435</v>
      </c>
      <c r="AL46">
        <v>2.4001645768061279</v>
      </c>
      <c r="AM46">
        <v>2.5168823663960209</v>
      </c>
      <c r="AN46">
        <v>0.82043510299408806</v>
      </c>
      <c r="AO46">
        <v>3.169797798414947</v>
      </c>
      <c r="AP46">
        <v>0.32482367020566011</v>
      </c>
      <c r="AQ46">
        <v>2.5008298611734059</v>
      </c>
      <c r="AR46">
        <v>0.75985731503460552</v>
      </c>
      <c r="AS46">
        <v>0.62093643894186246</v>
      </c>
      <c r="AT46">
        <v>1.9473045285907571</v>
      </c>
      <c r="AU46">
        <v>12.34205780877965</v>
      </c>
      <c r="AW46">
        <v>0.31614356619538742</v>
      </c>
      <c r="AY46">
        <v>1</v>
      </c>
    </row>
    <row r="47" spans="1:51" x14ac:dyDescent="0.3">
      <c r="A47">
        <v>24</v>
      </c>
      <c r="B47" t="s">
        <v>70</v>
      </c>
      <c r="C47" t="s">
        <v>65</v>
      </c>
      <c r="D47" t="s">
        <v>66</v>
      </c>
      <c r="F47" s="7">
        <v>0</v>
      </c>
      <c r="G47" s="7">
        <v>1</v>
      </c>
      <c r="H47" s="3">
        <v>0</v>
      </c>
      <c r="I47">
        <f t="shared" si="0"/>
        <v>0</v>
      </c>
      <c r="J47">
        <f t="shared" si="1"/>
        <v>1</v>
      </c>
      <c r="K47">
        <v>3</v>
      </c>
      <c r="L47">
        <v>0</v>
      </c>
      <c r="M47">
        <v>328897.59999999998</v>
      </c>
      <c r="N47">
        <v>6006067.5999999996</v>
      </c>
      <c r="O47">
        <v>6058045.4000000004</v>
      </c>
      <c r="P47">
        <v>235216.4</v>
      </c>
      <c r="Q47">
        <v>7402034</v>
      </c>
      <c r="R47">
        <v>67910.8</v>
      </c>
      <c r="S47">
        <v>7594684.2000000002</v>
      </c>
      <c r="T47">
        <v>3395854.4</v>
      </c>
      <c r="U47">
        <v>3911157.2</v>
      </c>
      <c r="V47">
        <v>335678.2</v>
      </c>
      <c r="W47">
        <v>13070692.199999999</v>
      </c>
      <c r="Y47">
        <v>0.66578590900171553</v>
      </c>
      <c r="Z47">
        <v>5.1267592488089573</v>
      </c>
      <c r="AA47">
        <v>5.1159106015926223</v>
      </c>
      <c r="AB47">
        <v>0.67798933740705247</v>
      </c>
      <c r="AC47">
        <v>6.5662426132126708</v>
      </c>
      <c r="AD47">
        <v>0.16871945860330009</v>
      </c>
      <c r="AE47">
        <v>5.5688926025177352</v>
      </c>
      <c r="AF47">
        <v>1.3200254647759719</v>
      </c>
      <c r="AG47">
        <v>2.5369815634796402</v>
      </c>
      <c r="AH47">
        <v>1.2836925331968809</v>
      </c>
      <c r="AI47">
        <v>16.00778404596495</v>
      </c>
      <c r="AK47">
        <v>0.66578590900171553</v>
      </c>
      <c r="AL47">
        <v>2.6040352908079512</v>
      </c>
      <c r="AM47">
        <v>2.60623602779815</v>
      </c>
      <c r="AN47">
        <v>0.67798933740705247</v>
      </c>
      <c r="AO47">
        <v>2.8906800519966049</v>
      </c>
      <c r="AP47">
        <v>0.16871945860330009</v>
      </c>
      <c r="AQ47">
        <v>3.4153938223724252</v>
      </c>
      <c r="AR47">
        <v>0.68287158077582721</v>
      </c>
      <c r="AS47">
        <v>0.59498779582791028</v>
      </c>
      <c r="AT47">
        <v>1.2836925331968809</v>
      </c>
      <c r="AU47">
        <v>13.182267385395241</v>
      </c>
      <c r="AW47">
        <v>0.31651033401722078</v>
      </c>
      <c r="AY47">
        <v>1</v>
      </c>
    </row>
    <row r="48" spans="1:51" x14ac:dyDescent="0.3">
      <c r="A48">
        <v>24</v>
      </c>
      <c r="B48" t="s">
        <v>71</v>
      </c>
      <c r="C48" t="s">
        <v>65</v>
      </c>
      <c r="D48" t="s">
        <v>66</v>
      </c>
      <c r="F48" s="7">
        <v>0</v>
      </c>
      <c r="G48" s="7">
        <v>0</v>
      </c>
      <c r="H48" s="3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1797739.2</v>
      </c>
      <c r="O48">
        <v>1828093.8</v>
      </c>
      <c r="P48">
        <v>7568929</v>
      </c>
      <c r="Q48">
        <v>709877</v>
      </c>
      <c r="R48">
        <v>5117375.4000000004</v>
      </c>
      <c r="S48">
        <v>1529571</v>
      </c>
      <c r="T48">
        <v>7570115.2000000002</v>
      </c>
      <c r="U48">
        <v>4349478</v>
      </c>
      <c r="V48">
        <v>9604938.1999999993</v>
      </c>
      <c r="W48">
        <v>2662738.6</v>
      </c>
      <c r="Y48">
        <v>2.102253261383157</v>
      </c>
      <c r="Z48">
        <v>1.813629608426709</v>
      </c>
      <c r="AA48">
        <v>1.808651836554054</v>
      </c>
      <c r="AB48">
        <v>3.4499347586010121</v>
      </c>
      <c r="AC48">
        <v>1.3761264486296569</v>
      </c>
      <c r="AD48">
        <v>3.3039372223778631</v>
      </c>
      <c r="AE48">
        <v>1.5144181198091251</v>
      </c>
      <c r="AF48">
        <v>4.4195225265924822</v>
      </c>
      <c r="AG48">
        <v>2.78851500650635</v>
      </c>
      <c r="AH48">
        <v>5.3917744240141472</v>
      </c>
      <c r="AI48">
        <v>3.535190488945227</v>
      </c>
      <c r="AK48">
        <v>2.102253261383157</v>
      </c>
      <c r="AL48">
        <v>0.73684842501534153</v>
      </c>
      <c r="AM48">
        <v>0.73970072137890386</v>
      </c>
      <c r="AN48">
        <v>3.4499347586010121</v>
      </c>
      <c r="AO48">
        <v>0.61226160000078378</v>
      </c>
      <c r="AP48">
        <v>3.3039372223778631</v>
      </c>
      <c r="AQ48">
        <v>0.67591678000753741</v>
      </c>
      <c r="AR48">
        <v>2.3919147843960671</v>
      </c>
      <c r="AS48">
        <v>0.58483853262150665</v>
      </c>
      <c r="AT48">
        <v>5.3917744240141472</v>
      </c>
      <c r="AU48">
        <v>1.9103370607946999</v>
      </c>
      <c r="AW48">
        <v>0.3141728796181269</v>
      </c>
      <c r="AY48">
        <v>1</v>
      </c>
    </row>
    <row r="49" spans="1:51" x14ac:dyDescent="0.3">
      <c r="A49">
        <v>24</v>
      </c>
      <c r="B49" t="s">
        <v>72</v>
      </c>
      <c r="C49" t="s">
        <v>65</v>
      </c>
      <c r="D49" t="s">
        <v>66</v>
      </c>
      <c r="F49" s="7">
        <v>0</v>
      </c>
      <c r="G49" s="7">
        <v>0</v>
      </c>
      <c r="H49" s="3">
        <v>0</v>
      </c>
      <c r="I49">
        <f t="shared" si="0"/>
        <v>0</v>
      </c>
      <c r="J49">
        <f t="shared" si="1"/>
        <v>1</v>
      </c>
      <c r="K49">
        <v>3</v>
      </c>
      <c r="L49">
        <v>0</v>
      </c>
      <c r="M49">
        <v>6904071</v>
      </c>
      <c r="N49">
        <v>1996186.6</v>
      </c>
      <c r="O49">
        <v>2014204.2</v>
      </c>
      <c r="P49">
        <v>4053004.4</v>
      </c>
      <c r="Q49">
        <v>759550</v>
      </c>
      <c r="R49">
        <v>10738918.4</v>
      </c>
      <c r="S49">
        <v>943697.6</v>
      </c>
      <c r="T49">
        <v>7483609.4000000004</v>
      </c>
      <c r="U49">
        <v>4253533.5999999996</v>
      </c>
      <c r="V49">
        <v>43890192.200000003</v>
      </c>
      <c r="W49">
        <v>2839996.2</v>
      </c>
      <c r="Y49">
        <v>5.5792168012238106</v>
      </c>
      <c r="Z49">
        <v>1.8793893110239881</v>
      </c>
      <c r="AA49">
        <v>1.8745523029705511</v>
      </c>
      <c r="AB49">
        <v>4.1103654580016151</v>
      </c>
      <c r="AC49">
        <v>1.287869949964807</v>
      </c>
      <c r="AD49">
        <v>7.890123893995769</v>
      </c>
      <c r="AE49">
        <v>1.3746861003106461</v>
      </c>
      <c r="AF49">
        <v>4.3547141756047498</v>
      </c>
      <c r="AG49">
        <v>2.7016268900013531</v>
      </c>
      <c r="AH49">
        <v>16.090350138198119</v>
      </c>
      <c r="AI49">
        <v>3.2972298610140571</v>
      </c>
      <c r="AK49">
        <v>5.5792168012238106</v>
      </c>
      <c r="AL49">
        <v>0.71123779600020498</v>
      </c>
      <c r="AM49">
        <v>0.71400061757303779</v>
      </c>
      <c r="AN49">
        <v>4.1103654580016151</v>
      </c>
      <c r="AO49">
        <v>0.56948466699686828</v>
      </c>
      <c r="AP49">
        <v>7.890123893995769</v>
      </c>
      <c r="AQ49">
        <v>0.56992651455802845</v>
      </c>
      <c r="AR49">
        <v>2.3477656343835411</v>
      </c>
      <c r="AS49">
        <v>0.55864039844600488</v>
      </c>
      <c r="AT49">
        <v>16.090350138198119</v>
      </c>
      <c r="AU49">
        <v>1.566371955373324</v>
      </c>
      <c r="AW49">
        <v>0.30895841900492088</v>
      </c>
      <c r="AY49">
        <v>1</v>
      </c>
    </row>
    <row r="50" spans="1:51" x14ac:dyDescent="0.3">
      <c r="A50">
        <v>24</v>
      </c>
      <c r="B50" t="s">
        <v>73</v>
      </c>
      <c r="C50" t="s">
        <v>65</v>
      </c>
      <c r="D50" t="s">
        <v>66</v>
      </c>
      <c r="F50" s="7">
        <v>0</v>
      </c>
      <c r="G50" s="7">
        <v>1</v>
      </c>
      <c r="H50" s="3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5590503.7999999998</v>
      </c>
      <c r="O50">
        <v>6221150.2000000002</v>
      </c>
      <c r="P50">
        <v>962221.8</v>
      </c>
      <c r="Q50">
        <v>5738462.5999999996</v>
      </c>
      <c r="R50">
        <v>840370</v>
      </c>
      <c r="S50">
        <v>6096867.4000000004</v>
      </c>
      <c r="T50">
        <v>3530230</v>
      </c>
      <c r="U50">
        <v>3882255</v>
      </c>
      <c r="V50">
        <v>3234570.4</v>
      </c>
      <c r="W50">
        <v>9972709.5999999996</v>
      </c>
      <c r="Y50">
        <v>1.5322433036053551</v>
      </c>
      <c r="Z50">
        <v>4.6285508893663074</v>
      </c>
      <c r="AA50">
        <v>4.9877071014372634</v>
      </c>
      <c r="AB50">
        <v>1.584057154197944</v>
      </c>
      <c r="AC50">
        <v>5.5614670427690722</v>
      </c>
      <c r="AD50">
        <v>1.158267263800371</v>
      </c>
      <c r="AE50">
        <v>4.3554114585625943</v>
      </c>
      <c r="AF50">
        <v>1.4594753703684551</v>
      </c>
      <c r="AG50">
        <v>2.496211720944848</v>
      </c>
      <c r="AH50">
        <v>3.7654075426049531</v>
      </c>
      <c r="AI50">
        <v>12.83027978665195</v>
      </c>
      <c r="AK50">
        <v>1.5322433036053551</v>
      </c>
      <c r="AL50">
        <v>1.821200734388549</v>
      </c>
      <c r="AM50">
        <v>2.19294622921152</v>
      </c>
      <c r="AN50">
        <v>1.584057154197944</v>
      </c>
      <c r="AO50">
        <v>2.5375866396003399</v>
      </c>
      <c r="AP50">
        <v>1.158267263800371</v>
      </c>
      <c r="AQ50">
        <v>1.831324407388456</v>
      </c>
      <c r="AR50">
        <v>0.75913349817274134</v>
      </c>
      <c r="AS50">
        <v>0.55999845417682081</v>
      </c>
      <c r="AT50">
        <v>3.7654075426049531</v>
      </c>
      <c r="AU50">
        <v>9.5205874869949181</v>
      </c>
      <c r="AW50">
        <v>0.31492720980895678</v>
      </c>
      <c r="AY50">
        <v>1</v>
      </c>
    </row>
    <row r="51" spans="1:51" x14ac:dyDescent="0.3">
      <c r="A51">
        <v>24</v>
      </c>
      <c r="B51" t="s">
        <v>74</v>
      </c>
      <c r="C51" t="s">
        <v>75</v>
      </c>
      <c r="D51" t="s">
        <v>66</v>
      </c>
      <c r="F51" s="7">
        <v>0</v>
      </c>
      <c r="G51" s="7">
        <v>0</v>
      </c>
      <c r="H51" s="3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5992022.4000000004</v>
      </c>
      <c r="O51">
        <v>6600829</v>
      </c>
      <c r="P51">
        <v>2004888.8</v>
      </c>
      <c r="Q51">
        <v>5939480.5999999996</v>
      </c>
      <c r="R51">
        <v>1414445.2</v>
      </c>
      <c r="S51">
        <v>6599989.7999999998</v>
      </c>
      <c r="T51">
        <v>3393315.6</v>
      </c>
      <c r="U51">
        <v>3868766.8</v>
      </c>
      <c r="V51">
        <v>7725292.4000000004</v>
      </c>
      <c r="W51">
        <v>11541162.199999999</v>
      </c>
      <c r="Y51">
        <v>1.861848116992042</v>
      </c>
      <c r="Z51">
        <v>4.9674278675229289</v>
      </c>
      <c r="AA51">
        <v>5.3452082307310773</v>
      </c>
      <c r="AB51">
        <v>2.9217387457902082</v>
      </c>
      <c r="AC51">
        <v>6.30943013659562</v>
      </c>
      <c r="AD51">
        <v>1.480782668793108</v>
      </c>
      <c r="AE51">
        <v>4.5842264658189382</v>
      </c>
      <c r="AF51">
        <v>1.321313021192327</v>
      </c>
      <c r="AG51">
        <v>2.5116834107786419</v>
      </c>
      <c r="AH51">
        <v>5.5219533706083892</v>
      </c>
      <c r="AI51">
        <v>13.13344436703483</v>
      </c>
      <c r="AK51">
        <v>1.861848116992042</v>
      </c>
      <c r="AL51">
        <v>1.9590936589753261</v>
      </c>
      <c r="AM51">
        <v>2.3366019257693549</v>
      </c>
      <c r="AN51">
        <v>2.9217387457902082</v>
      </c>
      <c r="AO51">
        <v>3.099472499196418</v>
      </c>
      <c r="AP51">
        <v>1.480782668793108</v>
      </c>
      <c r="AQ51">
        <v>1.758913789398503</v>
      </c>
      <c r="AR51">
        <v>0.68710941958706828</v>
      </c>
      <c r="AS51">
        <v>0.57423141357721763</v>
      </c>
      <c r="AT51">
        <v>5.5219533706083892</v>
      </c>
      <c r="AU51">
        <v>9.5020538747892722</v>
      </c>
      <c r="AW51">
        <v>0.31509917338844379</v>
      </c>
      <c r="AY51">
        <v>1</v>
      </c>
    </row>
    <row r="52" spans="1:51" x14ac:dyDescent="0.3">
      <c r="A52">
        <v>24</v>
      </c>
      <c r="B52" t="s">
        <v>76</v>
      </c>
      <c r="C52" t="s">
        <v>75</v>
      </c>
      <c r="D52" t="s">
        <v>66</v>
      </c>
      <c r="F52" s="7">
        <v>0</v>
      </c>
      <c r="G52" s="7">
        <v>1</v>
      </c>
      <c r="H52" s="3">
        <v>0</v>
      </c>
      <c r="I52">
        <f t="shared" si="0"/>
        <v>0</v>
      </c>
      <c r="J52">
        <f t="shared" si="1"/>
        <v>1</v>
      </c>
      <c r="K52">
        <v>3</v>
      </c>
      <c r="L52">
        <v>0</v>
      </c>
      <c r="M52">
        <v>7040893.2000000002</v>
      </c>
      <c r="N52">
        <v>1976134.8</v>
      </c>
      <c r="O52">
        <v>2004510.2</v>
      </c>
      <c r="P52">
        <v>6888278.7999999998</v>
      </c>
      <c r="Q52">
        <v>839369</v>
      </c>
      <c r="R52">
        <v>15975768.6</v>
      </c>
      <c r="S52">
        <v>1062903.2</v>
      </c>
      <c r="T52">
        <v>7598860.4000000004</v>
      </c>
      <c r="U52">
        <v>4303944.4000000004</v>
      </c>
      <c r="V52">
        <v>20961509</v>
      </c>
      <c r="W52">
        <v>2647887.4</v>
      </c>
      <c r="Y52">
        <v>5.3923703755950552</v>
      </c>
      <c r="Z52">
        <v>1.842803465586621</v>
      </c>
      <c r="AA52">
        <v>1.8432434330694381</v>
      </c>
      <c r="AB52">
        <v>5.8948070557962637</v>
      </c>
      <c r="AC52">
        <v>1.354931629775092</v>
      </c>
      <c r="AD52">
        <v>11.030469641997479</v>
      </c>
      <c r="AE52">
        <v>1.4074665306368841</v>
      </c>
      <c r="AF52">
        <v>4.3977052083821038</v>
      </c>
      <c r="AG52">
        <v>2.7383545761113059</v>
      </c>
      <c r="AH52">
        <v>8.9970373118063431</v>
      </c>
      <c r="AI52">
        <v>3.2286614071228539</v>
      </c>
      <c r="AK52">
        <v>5.3923703755950552</v>
      </c>
      <c r="AL52">
        <v>0.6811291566118598</v>
      </c>
      <c r="AM52">
        <v>0.69010983217740429</v>
      </c>
      <c r="AN52">
        <v>5.8948070557962637</v>
      </c>
      <c r="AO52">
        <v>0.56899174619466064</v>
      </c>
      <c r="AP52">
        <v>11.030469641997479</v>
      </c>
      <c r="AQ52">
        <v>0.62492158861132341</v>
      </c>
      <c r="AR52">
        <v>2.3901146465679628</v>
      </c>
      <c r="AS52">
        <v>0.5714106356375851</v>
      </c>
      <c r="AT52">
        <v>8.9970373118063431</v>
      </c>
      <c r="AU52">
        <v>1.530521003960166</v>
      </c>
      <c r="AW52">
        <v>0.30414242359111082</v>
      </c>
      <c r="AY52">
        <v>1</v>
      </c>
    </row>
    <row r="53" spans="1:51" x14ac:dyDescent="0.3">
      <c r="A53">
        <v>24</v>
      </c>
      <c r="B53" t="s">
        <v>77</v>
      </c>
      <c r="C53" t="s">
        <v>75</v>
      </c>
      <c r="D53" t="s">
        <v>66</v>
      </c>
      <c r="F53" s="7">
        <v>0</v>
      </c>
      <c r="G53" s="7">
        <v>1</v>
      </c>
      <c r="H53" s="3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1884901</v>
      </c>
      <c r="O53">
        <v>1876718.2</v>
      </c>
      <c r="P53">
        <v>4808313.4000000004</v>
      </c>
      <c r="Q53">
        <v>887823.2</v>
      </c>
      <c r="R53">
        <v>4566077.4000000004</v>
      </c>
      <c r="S53">
        <v>1184733.6000000001</v>
      </c>
      <c r="T53">
        <v>7454517.4000000004</v>
      </c>
      <c r="U53">
        <v>4294696.4000000004</v>
      </c>
      <c r="V53">
        <v>13585854.4</v>
      </c>
      <c r="W53">
        <v>2257997.4</v>
      </c>
      <c r="Y53">
        <v>2.514250120194629</v>
      </c>
      <c r="Z53">
        <v>1.848383845563512</v>
      </c>
      <c r="AA53">
        <v>1.8269477246212771</v>
      </c>
      <c r="AB53">
        <v>2.984383491805056</v>
      </c>
      <c r="AC53">
        <v>1.4641773421783</v>
      </c>
      <c r="AD53">
        <v>3.3800594892003568</v>
      </c>
      <c r="AE53">
        <v>1.343457896227483</v>
      </c>
      <c r="AF53">
        <v>4.3167146519990638</v>
      </c>
      <c r="AG53">
        <v>2.7300957739935261</v>
      </c>
      <c r="AH53">
        <v>6.494515864201821</v>
      </c>
      <c r="AI53">
        <v>3.4798975840327331</v>
      </c>
      <c r="AK53">
        <v>2.514250120194629</v>
      </c>
      <c r="AL53">
        <v>0.68744857079582289</v>
      </c>
      <c r="AM53">
        <v>0.67320189963793386</v>
      </c>
      <c r="AN53">
        <v>2.984383491805056</v>
      </c>
      <c r="AO53">
        <v>0.58029067098395903</v>
      </c>
      <c r="AP53">
        <v>3.3800594892003568</v>
      </c>
      <c r="AQ53">
        <v>0.54497044441523035</v>
      </c>
      <c r="AR53">
        <v>2.3251977700041611</v>
      </c>
      <c r="AS53">
        <v>0.5636757296510041</v>
      </c>
      <c r="AT53">
        <v>6.494515864201821</v>
      </c>
      <c r="AU53">
        <v>1.8735903445864099</v>
      </c>
      <c r="AW53">
        <v>0.30737629079958417</v>
      </c>
      <c r="AY53">
        <v>1</v>
      </c>
    </row>
    <row r="54" spans="1:51" x14ac:dyDescent="0.3">
      <c r="A54">
        <v>24</v>
      </c>
      <c r="B54" t="s">
        <v>78</v>
      </c>
      <c r="C54" t="s">
        <v>75</v>
      </c>
      <c r="D54" t="s">
        <v>66</v>
      </c>
      <c r="F54" s="7">
        <v>0</v>
      </c>
      <c r="G54" s="7">
        <v>0</v>
      </c>
      <c r="H54" s="3">
        <v>0</v>
      </c>
      <c r="I54">
        <f t="shared" si="0"/>
        <v>0</v>
      </c>
      <c r="J54">
        <f t="shared" si="1"/>
        <v>1</v>
      </c>
      <c r="K54">
        <v>3</v>
      </c>
      <c r="L54">
        <v>0</v>
      </c>
      <c r="M54">
        <v>414114.2</v>
      </c>
      <c r="N54">
        <v>6016041.2000000002</v>
      </c>
      <c r="O54">
        <v>6184164.7999999998</v>
      </c>
      <c r="P54">
        <v>355969</v>
      </c>
      <c r="Q54">
        <v>6159425.2000000002</v>
      </c>
      <c r="R54">
        <v>185834.8</v>
      </c>
      <c r="S54">
        <v>7151927.2000000002</v>
      </c>
      <c r="T54">
        <v>3528815.8</v>
      </c>
      <c r="U54">
        <v>3936779.4</v>
      </c>
      <c r="V54">
        <v>708200.2</v>
      </c>
      <c r="W54">
        <v>11324861.6</v>
      </c>
      <c r="Y54">
        <v>0.77918909660074864</v>
      </c>
      <c r="Z54">
        <v>4.9519085906329563</v>
      </c>
      <c r="AA54">
        <v>5.0217261653859167</v>
      </c>
      <c r="AB54">
        <v>0.8100274110096507</v>
      </c>
      <c r="AC54">
        <v>5.8305480990209606</v>
      </c>
      <c r="AD54">
        <v>0.32678078720346088</v>
      </c>
      <c r="AE54">
        <v>4.7211990595911626</v>
      </c>
      <c r="AF54">
        <v>1.4739836696418931</v>
      </c>
      <c r="AG54">
        <v>2.554100408637896</v>
      </c>
      <c r="AH54">
        <v>1.92940665219212</v>
      </c>
      <c r="AI54">
        <v>14.83473644539481</v>
      </c>
      <c r="AK54">
        <v>0.77918909660074864</v>
      </c>
      <c r="AL54">
        <v>2.4364672156167222</v>
      </c>
      <c r="AM54">
        <v>2.5092468564282169</v>
      </c>
      <c r="AN54">
        <v>0.8100274110096507</v>
      </c>
      <c r="AO54">
        <v>3.1904509494081141</v>
      </c>
      <c r="AP54">
        <v>0.32678078720346088</v>
      </c>
      <c r="AQ54">
        <v>2.5379836030188021</v>
      </c>
      <c r="AR54">
        <v>0.76647441304521635</v>
      </c>
      <c r="AS54">
        <v>0.6199029401759617</v>
      </c>
      <c r="AT54">
        <v>1.92940665219212</v>
      </c>
      <c r="AU54">
        <v>12.394444969389591</v>
      </c>
      <c r="AW54">
        <v>0.33226709880400451</v>
      </c>
      <c r="AY54">
        <v>1</v>
      </c>
    </row>
    <row r="55" spans="1:51" x14ac:dyDescent="0.3">
      <c r="A55">
        <v>24</v>
      </c>
      <c r="B55" t="s">
        <v>79</v>
      </c>
      <c r="C55" t="s">
        <v>75</v>
      </c>
      <c r="D55" t="s">
        <v>66</v>
      </c>
      <c r="F55" s="7">
        <v>0</v>
      </c>
      <c r="G55" s="7">
        <v>1</v>
      </c>
      <c r="H55" s="3">
        <v>0</v>
      </c>
      <c r="I55">
        <f t="shared" si="0"/>
        <v>0</v>
      </c>
      <c r="J55">
        <f t="shared" si="1"/>
        <v>1</v>
      </c>
      <c r="K55">
        <v>3</v>
      </c>
      <c r="L55">
        <v>0</v>
      </c>
      <c r="M55">
        <v>328897.59999999998</v>
      </c>
      <c r="N55">
        <v>6006067.5999999996</v>
      </c>
      <c r="O55">
        <v>6058045.4000000004</v>
      </c>
      <c r="P55">
        <v>235216.4</v>
      </c>
      <c r="Q55">
        <v>7402034</v>
      </c>
      <c r="R55">
        <v>67910.8</v>
      </c>
      <c r="S55">
        <v>7594684.2000000002</v>
      </c>
      <c r="T55">
        <v>3395854.4</v>
      </c>
      <c r="U55">
        <v>3911157.2</v>
      </c>
      <c r="V55">
        <v>335678.2</v>
      </c>
      <c r="W55">
        <v>13070692.199999999</v>
      </c>
      <c r="Y55">
        <v>0.6644083174061961</v>
      </c>
      <c r="Z55">
        <v>5.1342710784170773</v>
      </c>
      <c r="AA55">
        <v>5.1285397778265178</v>
      </c>
      <c r="AB55">
        <v>0.67254301119828597</v>
      </c>
      <c r="AC55">
        <v>6.5710855214041661</v>
      </c>
      <c r="AD55">
        <v>0.16668115700595079</v>
      </c>
      <c r="AE55">
        <v>5.5708028916269541</v>
      </c>
      <c r="AF55">
        <v>1.318546923808753</v>
      </c>
      <c r="AG55">
        <v>2.5195303986431101</v>
      </c>
      <c r="AH55">
        <v>1.2645105713978411</v>
      </c>
      <c r="AI55">
        <v>15.772875270759689</v>
      </c>
      <c r="AK55">
        <v>0.6644083174061961</v>
      </c>
      <c r="AL55">
        <v>2.6120564130367709</v>
      </c>
      <c r="AM55">
        <v>2.6068296535871922</v>
      </c>
      <c r="AN55">
        <v>0.67254301119828597</v>
      </c>
      <c r="AO55">
        <v>2.9003609276027418</v>
      </c>
      <c r="AP55">
        <v>0.16668115700595079</v>
      </c>
      <c r="AQ55">
        <v>3.416785896231886</v>
      </c>
      <c r="AR55">
        <v>0.68224895698949695</v>
      </c>
      <c r="AS55">
        <v>0.59015313225099819</v>
      </c>
      <c r="AT55">
        <v>1.2645105713978411</v>
      </c>
      <c r="AU55">
        <v>12.95856265637558</v>
      </c>
      <c r="AW55">
        <v>0.31824837101157749</v>
      </c>
      <c r="AY55">
        <v>1</v>
      </c>
    </row>
    <row r="56" spans="1:51" x14ac:dyDescent="0.3">
      <c r="A56">
        <v>24</v>
      </c>
      <c r="B56" t="s">
        <v>80</v>
      </c>
      <c r="C56" t="s">
        <v>75</v>
      </c>
      <c r="D56" t="s">
        <v>66</v>
      </c>
      <c r="F56" s="7">
        <v>0</v>
      </c>
      <c r="G56" s="7">
        <v>0</v>
      </c>
      <c r="H56" s="3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1797739.2</v>
      </c>
      <c r="O56">
        <v>1828093.8</v>
      </c>
      <c r="P56">
        <v>7568929</v>
      </c>
      <c r="Q56">
        <v>709877</v>
      </c>
      <c r="R56">
        <v>5117375.4000000004</v>
      </c>
      <c r="S56">
        <v>1529571</v>
      </c>
      <c r="T56">
        <v>7570115.2000000002</v>
      </c>
      <c r="U56">
        <v>4349478</v>
      </c>
      <c r="V56">
        <v>9604938.1999999993</v>
      </c>
      <c r="W56">
        <v>2662738.6</v>
      </c>
      <c r="Y56">
        <v>2.0760668801958668</v>
      </c>
      <c r="Z56">
        <v>1.822077368025202</v>
      </c>
      <c r="AA56">
        <v>1.8254990523681049</v>
      </c>
      <c r="AB56">
        <v>3.4519343684019992</v>
      </c>
      <c r="AC56">
        <v>1.3659455198096111</v>
      </c>
      <c r="AD56">
        <v>3.3086392579949462</v>
      </c>
      <c r="AE56">
        <v>1.5181532499613239</v>
      </c>
      <c r="AF56">
        <v>4.4520970200072041</v>
      </c>
      <c r="AG56">
        <v>2.803572625597007</v>
      </c>
      <c r="AH56">
        <v>5.3075657973997297</v>
      </c>
      <c r="AI56">
        <v>3.435683502594475</v>
      </c>
      <c r="AK56">
        <v>2.0760668801958668</v>
      </c>
      <c r="AL56">
        <v>0.74048918880289416</v>
      </c>
      <c r="AM56">
        <v>0.75036710900021719</v>
      </c>
      <c r="AN56">
        <v>3.4519343684019992</v>
      </c>
      <c r="AO56">
        <v>0.6159764812095091</v>
      </c>
      <c r="AP56">
        <v>3.3086392579949462</v>
      </c>
      <c r="AQ56">
        <v>0.67598785960581154</v>
      </c>
      <c r="AR56">
        <v>2.4076633835909891</v>
      </c>
      <c r="AS56">
        <v>0.58699422816280278</v>
      </c>
      <c r="AT56">
        <v>5.3075657973997297</v>
      </c>
      <c r="AU56">
        <v>1.843694011610933</v>
      </c>
      <c r="AW56">
        <v>0.3122202667989768</v>
      </c>
      <c r="AY56">
        <v>1</v>
      </c>
    </row>
    <row r="57" spans="1:51" x14ac:dyDescent="0.3">
      <c r="A57">
        <v>24</v>
      </c>
      <c r="B57" t="s">
        <v>81</v>
      </c>
      <c r="C57" t="s">
        <v>75</v>
      </c>
      <c r="D57" t="s">
        <v>66</v>
      </c>
      <c r="F57" s="7">
        <v>0</v>
      </c>
      <c r="G57" s="7">
        <v>0</v>
      </c>
      <c r="H57" s="3">
        <v>0</v>
      </c>
      <c r="I57">
        <f t="shared" si="0"/>
        <v>0</v>
      </c>
      <c r="J57">
        <f t="shared" si="1"/>
        <v>1</v>
      </c>
      <c r="K57">
        <v>3</v>
      </c>
      <c r="L57">
        <v>0</v>
      </c>
      <c r="M57">
        <v>6904071</v>
      </c>
      <c r="N57">
        <v>1996186.6</v>
      </c>
      <c r="O57">
        <v>2014204.2</v>
      </c>
      <c r="P57">
        <v>4053004.4</v>
      </c>
      <c r="Q57">
        <v>759550</v>
      </c>
      <c r="R57">
        <v>10738918.4</v>
      </c>
      <c r="S57">
        <v>943697.6</v>
      </c>
      <c r="T57">
        <v>7483609.4000000004</v>
      </c>
      <c r="U57">
        <v>4253533.5999999996</v>
      </c>
      <c r="V57">
        <v>43890192.200000003</v>
      </c>
      <c r="W57">
        <v>2839996.2</v>
      </c>
      <c r="Y57">
        <v>5.6198922085925007</v>
      </c>
      <c r="Z57">
        <v>1.8990763028035871</v>
      </c>
      <c r="AA57">
        <v>1.881822699331678</v>
      </c>
      <c r="AB57">
        <v>4.1171102266060187</v>
      </c>
      <c r="AC57">
        <v>1.243325025995728</v>
      </c>
      <c r="AD57">
        <v>8.0108321953914121</v>
      </c>
      <c r="AE57">
        <v>1.401037230074871</v>
      </c>
      <c r="AF57">
        <v>4.3502841889741832</v>
      </c>
      <c r="AG57">
        <v>2.719788894709199</v>
      </c>
      <c r="AH57">
        <v>16.049553153594029</v>
      </c>
      <c r="AI57">
        <v>3.2163415404036639</v>
      </c>
      <c r="AK57">
        <v>5.6198922085925007</v>
      </c>
      <c r="AL57">
        <v>0.7184106901753694</v>
      </c>
      <c r="AM57">
        <v>0.71514677597442644</v>
      </c>
      <c r="AN57">
        <v>4.1171102266060187</v>
      </c>
      <c r="AO57">
        <v>0.54161536140018141</v>
      </c>
      <c r="AP57">
        <v>8.0108321953914121</v>
      </c>
      <c r="AQ57">
        <v>0.58433372562285513</v>
      </c>
      <c r="AR57">
        <v>2.343239914183505</v>
      </c>
      <c r="AS57">
        <v>0.57161720376461744</v>
      </c>
      <c r="AT57">
        <v>16.049553153594029</v>
      </c>
      <c r="AU57">
        <v>1.526065446203575</v>
      </c>
      <c r="AW57">
        <v>0.31156189539469781</v>
      </c>
      <c r="AY57">
        <v>1</v>
      </c>
    </row>
    <row r="58" spans="1:51" x14ac:dyDescent="0.3">
      <c r="A58">
        <v>24</v>
      </c>
      <c r="B58" t="s">
        <v>82</v>
      </c>
      <c r="C58" t="s">
        <v>75</v>
      </c>
      <c r="D58" t="s">
        <v>66</v>
      </c>
      <c r="F58" s="7">
        <v>0</v>
      </c>
      <c r="G58" s="7">
        <v>1</v>
      </c>
      <c r="H58" s="3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5590503.7999999998</v>
      </c>
      <c r="O58">
        <v>6221150.2000000002</v>
      </c>
      <c r="P58">
        <v>962221.8</v>
      </c>
      <c r="Q58">
        <v>5738462.5999999996</v>
      </c>
      <c r="R58">
        <v>840370</v>
      </c>
      <c r="S58">
        <v>6096867.4000000004</v>
      </c>
      <c r="T58">
        <v>3530230</v>
      </c>
      <c r="U58">
        <v>3882255</v>
      </c>
      <c r="V58">
        <v>3234570.4</v>
      </c>
      <c r="W58">
        <v>9972709.5999999996</v>
      </c>
      <c r="Y58">
        <v>1.6101251087966379</v>
      </c>
      <c r="Z58">
        <v>4.6331241680076349</v>
      </c>
      <c r="AA58">
        <v>5.0160113166552041</v>
      </c>
      <c r="AB58">
        <v>1.5657116741931529</v>
      </c>
      <c r="AC58">
        <v>5.469029417214915</v>
      </c>
      <c r="AD58">
        <v>1.156565344217233</v>
      </c>
      <c r="AE58">
        <v>4.4205508390092287</v>
      </c>
      <c r="AF58">
        <v>1.469855338009074</v>
      </c>
      <c r="AG58">
        <v>2.5232849020743742</v>
      </c>
      <c r="AH58">
        <v>3.7276116537977941</v>
      </c>
      <c r="AI58">
        <v>12.09687779435189</v>
      </c>
      <c r="AK58">
        <v>1.6101251087966379</v>
      </c>
      <c r="AL58">
        <v>1.8149053826113231</v>
      </c>
      <c r="AM58">
        <v>2.213398933620192</v>
      </c>
      <c r="AN58">
        <v>1.5657116741931529</v>
      </c>
      <c r="AO58">
        <v>2.490949966589687</v>
      </c>
      <c r="AP58">
        <v>1.156565344217233</v>
      </c>
      <c r="AQ58">
        <v>1.854991611384321</v>
      </c>
      <c r="AR58">
        <v>0.76345814041560511</v>
      </c>
      <c r="AS58">
        <v>0.56937649102183063</v>
      </c>
      <c r="AT58">
        <v>3.7276116537977941</v>
      </c>
      <c r="AU58">
        <v>8.8627511644037433</v>
      </c>
      <c r="AW58">
        <v>0.31212705719517542</v>
      </c>
      <c r="AY58">
        <v>1</v>
      </c>
    </row>
    <row r="59" spans="1:51" x14ac:dyDescent="0.3">
      <c r="A59">
        <v>4</v>
      </c>
      <c r="B59" t="s">
        <v>83</v>
      </c>
      <c r="C59" t="s">
        <v>84</v>
      </c>
      <c r="D59" t="s">
        <v>66</v>
      </c>
      <c r="F59" s="7">
        <v>0</v>
      </c>
      <c r="G59" s="7">
        <v>0</v>
      </c>
      <c r="H59" s="3">
        <v>0</v>
      </c>
      <c r="I59">
        <f t="shared" si="0"/>
        <v>0</v>
      </c>
      <c r="J59">
        <f t="shared" si="1"/>
        <v>1</v>
      </c>
      <c r="K59">
        <v>3</v>
      </c>
      <c r="L59">
        <v>0</v>
      </c>
      <c r="M59">
        <v>1465680.2</v>
      </c>
      <c r="N59">
        <v>5992022.4000000004</v>
      </c>
      <c r="O59">
        <v>6600829</v>
      </c>
      <c r="P59">
        <v>2004888.8</v>
      </c>
      <c r="Q59">
        <v>5939480.5999999996</v>
      </c>
      <c r="R59">
        <v>1414445.2</v>
      </c>
      <c r="S59">
        <v>6599989.7999999998</v>
      </c>
      <c r="T59">
        <v>3393315.6</v>
      </c>
      <c r="U59">
        <v>3868766.8</v>
      </c>
      <c r="V59">
        <v>7725292.4000000004</v>
      </c>
      <c r="W59">
        <v>11541162.199999999</v>
      </c>
      <c r="Y59">
        <v>1.852980109804776</v>
      </c>
      <c r="Z59">
        <v>4.9658713991986589</v>
      </c>
      <c r="AA59">
        <v>5.4603030823869627</v>
      </c>
      <c r="AB59">
        <v>2.8556105109921188</v>
      </c>
      <c r="AC59">
        <v>6.1718279957829507</v>
      </c>
      <c r="AD59">
        <v>1.584580976818688</v>
      </c>
      <c r="AE59">
        <v>4.8855842666118408</v>
      </c>
      <c r="AF59">
        <v>1.4099335210397841</v>
      </c>
      <c r="AG59">
        <v>2.6658545426325868</v>
      </c>
      <c r="AH59">
        <v>5.5185252860072067</v>
      </c>
      <c r="AI59">
        <v>12.763302848034069</v>
      </c>
      <c r="AK59">
        <v>1.852980109804776</v>
      </c>
      <c r="AL59">
        <v>1.958926202601287</v>
      </c>
      <c r="AM59">
        <v>2.4199905965710058</v>
      </c>
      <c r="AN59">
        <v>2.8556105109921188</v>
      </c>
      <c r="AO59">
        <v>3.0177456459903622</v>
      </c>
      <c r="AP59">
        <v>1.584580976818688</v>
      </c>
      <c r="AQ59">
        <v>1.8628703737864269</v>
      </c>
      <c r="AR59">
        <v>0.73153897882439201</v>
      </c>
      <c r="AS59">
        <v>0.60478533662389966</v>
      </c>
      <c r="AT59">
        <v>5.5185252860072067</v>
      </c>
      <c r="AU59">
        <v>9.1233023436274383</v>
      </c>
      <c r="AW59">
        <v>0.3046481682104058</v>
      </c>
      <c r="AY59">
        <v>1</v>
      </c>
    </row>
    <row r="60" spans="1:51" x14ac:dyDescent="0.3">
      <c r="A60">
        <v>4</v>
      </c>
      <c r="B60" t="s">
        <v>85</v>
      </c>
      <c r="C60" t="s">
        <v>84</v>
      </c>
      <c r="D60" t="s">
        <v>66</v>
      </c>
      <c r="F60" s="7">
        <v>0</v>
      </c>
      <c r="G60" s="7">
        <v>1</v>
      </c>
      <c r="H60" s="3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1976134.8</v>
      </c>
      <c r="O60">
        <v>2004510.2</v>
      </c>
      <c r="P60">
        <v>6888278.7999999998</v>
      </c>
      <c r="Q60">
        <v>839369</v>
      </c>
      <c r="R60">
        <v>15975768.6</v>
      </c>
      <c r="S60">
        <v>1062903.2</v>
      </c>
      <c r="T60">
        <v>7598860.4000000004</v>
      </c>
      <c r="U60">
        <v>4303944.4000000004</v>
      </c>
      <c r="V60">
        <v>20961509</v>
      </c>
      <c r="W60">
        <v>2647887.4</v>
      </c>
      <c r="Y60">
        <v>5.2371350714005533</v>
      </c>
      <c r="Z60">
        <v>1.7581262569990941</v>
      </c>
      <c r="AA60">
        <v>1.7981374509981829</v>
      </c>
      <c r="AB60">
        <v>5.8834421547886446</v>
      </c>
      <c r="AC60">
        <v>1.3508893594029361</v>
      </c>
      <c r="AD60">
        <v>11.12903211818775</v>
      </c>
      <c r="AE60">
        <v>1.4016938380198549</v>
      </c>
      <c r="AF60">
        <v>4.4742156681953933</v>
      </c>
      <c r="AG60">
        <v>2.7499106295057572</v>
      </c>
      <c r="AH60">
        <v>9.0806452428107143</v>
      </c>
      <c r="AI60">
        <v>3.1742283833678808</v>
      </c>
      <c r="AK60">
        <v>5.2371350714005533</v>
      </c>
      <c r="AL60">
        <v>0.65601732560899106</v>
      </c>
      <c r="AM60">
        <v>0.68432415296556426</v>
      </c>
      <c r="AN60">
        <v>5.8834421547886446</v>
      </c>
      <c r="AO60">
        <v>0.568691276415484</v>
      </c>
      <c r="AP60">
        <v>11.12903211818775</v>
      </c>
      <c r="AQ60">
        <v>0.62654452302958819</v>
      </c>
      <c r="AR60">
        <v>2.4325849191984159</v>
      </c>
      <c r="AS60">
        <v>0.57124752562958747</v>
      </c>
      <c r="AT60">
        <v>9.0806452428107143</v>
      </c>
      <c r="AU60">
        <v>1.451102233002894</v>
      </c>
      <c r="AW60">
        <v>0.29707406080560761</v>
      </c>
      <c r="AY60">
        <v>1</v>
      </c>
    </row>
    <row r="61" spans="1:51" x14ac:dyDescent="0.3">
      <c r="A61">
        <v>4</v>
      </c>
      <c r="B61" t="s">
        <v>86</v>
      </c>
      <c r="C61" t="s">
        <v>84</v>
      </c>
      <c r="D61" t="s">
        <v>66</v>
      </c>
      <c r="F61" s="7">
        <v>0</v>
      </c>
      <c r="G61" s="7">
        <v>1</v>
      </c>
      <c r="H61" s="3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1884901</v>
      </c>
      <c r="O61">
        <v>1876718.2</v>
      </c>
      <c r="P61">
        <v>4808313.4000000004</v>
      </c>
      <c r="Q61">
        <v>887823.2</v>
      </c>
      <c r="R61">
        <v>4566077.4000000004</v>
      </c>
      <c r="S61">
        <v>1184733.6000000001</v>
      </c>
      <c r="T61">
        <v>7454517.4000000004</v>
      </c>
      <c r="U61">
        <v>4294696.4000000004</v>
      </c>
      <c r="V61">
        <v>13585854.4</v>
      </c>
      <c r="W61">
        <v>2257997.4</v>
      </c>
      <c r="Y61">
        <v>2.4913524838048029</v>
      </c>
      <c r="Z61">
        <v>1.804234944807831</v>
      </c>
      <c r="AA61">
        <v>1.7979220818262549</v>
      </c>
      <c r="AB61">
        <v>3.0061286589945668</v>
      </c>
      <c r="AC61">
        <v>1.4790160034142901</v>
      </c>
      <c r="AD61">
        <v>3.6858016301994212</v>
      </c>
      <c r="AE61">
        <v>1.4501011868123901</v>
      </c>
      <c r="AF61">
        <v>4.7223932879744099</v>
      </c>
      <c r="AG61">
        <v>2.9593284759204841</v>
      </c>
      <c r="AH61">
        <v>6.5633137025870383</v>
      </c>
      <c r="AI61">
        <v>3.4484742219909088</v>
      </c>
      <c r="AK61">
        <v>2.4913524838048029</v>
      </c>
      <c r="AL61">
        <v>0.67428937080549078</v>
      </c>
      <c r="AM61">
        <v>0.66626704103546219</v>
      </c>
      <c r="AN61">
        <v>3.0061286589945668</v>
      </c>
      <c r="AO61">
        <v>0.58416199599741958</v>
      </c>
      <c r="AP61">
        <v>3.6858016301994212</v>
      </c>
      <c r="AQ61">
        <v>0.58998628981644285</v>
      </c>
      <c r="AR61">
        <v>2.544337447592989</v>
      </c>
      <c r="AS61">
        <v>0.61115568603854631</v>
      </c>
      <c r="AT61">
        <v>6.5633137025870383</v>
      </c>
      <c r="AU61">
        <v>1.798199409409426</v>
      </c>
      <c r="AW61">
        <v>0.30562688620993872</v>
      </c>
      <c r="AY61">
        <v>1</v>
      </c>
    </row>
    <row r="62" spans="1:51" x14ac:dyDescent="0.3">
      <c r="A62">
        <v>4</v>
      </c>
      <c r="B62" t="s">
        <v>87</v>
      </c>
      <c r="C62" t="s">
        <v>84</v>
      </c>
      <c r="D62" t="s">
        <v>66</v>
      </c>
      <c r="F62" s="7">
        <v>0</v>
      </c>
      <c r="G62" s="7">
        <v>0</v>
      </c>
      <c r="H62" s="3">
        <v>0</v>
      </c>
      <c r="I62">
        <f t="shared" si="0"/>
        <v>0</v>
      </c>
      <c r="J62">
        <f t="shared" si="1"/>
        <v>1</v>
      </c>
      <c r="K62">
        <v>3</v>
      </c>
      <c r="L62">
        <v>0</v>
      </c>
      <c r="M62">
        <v>414114.2</v>
      </c>
      <c r="N62">
        <v>6016041.2000000002</v>
      </c>
      <c r="O62">
        <v>6184164.7999999998</v>
      </c>
      <c r="P62">
        <v>355969</v>
      </c>
      <c r="Q62">
        <v>6159425.2000000002</v>
      </c>
      <c r="R62">
        <v>185834.8</v>
      </c>
      <c r="S62">
        <v>7151927.2000000002</v>
      </c>
      <c r="T62">
        <v>3528815.8</v>
      </c>
      <c r="U62">
        <v>3936779.4</v>
      </c>
      <c r="V62">
        <v>708200.2</v>
      </c>
      <c r="W62">
        <v>11324861.6</v>
      </c>
      <c r="Y62">
        <v>0.75550211661029609</v>
      </c>
      <c r="Z62">
        <v>4.8748564623878341</v>
      </c>
      <c r="AA62">
        <v>5.0331236432306472</v>
      </c>
      <c r="AB62">
        <v>0.80775008500786494</v>
      </c>
      <c r="AC62">
        <v>5.9288788031786677</v>
      </c>
      <c r="AD62">
        <v>0.36586246720980847</v>
      </c>
      <c r="AE62">
        <v>5.1352349471650083</v>
      </c>
      <c r="AF62">
        <v>1.613457374391146</v>
      </c>
      <c r="AG62">
        <v>2.8068084615049882</v>
      </c>
      <c r="AH62">
        <v>1.9681562105775809</v>
      </c>
      <c r="AI62">
        <v>14.4753073824686</v>
      </c>
      <c r="AK62">
        <v>0.75550211661029609</v>
      </c>
      <c r="AL62">
        <v>2.395715302799363</v>
      </c>
      <c r="AM62">
        <v>2.5202674579923041</v>
      </c>
      <c r="AN62">
        <v>0.80775008500786494</v>
      </c>
      <c r="AO62">
        <v>3.2486561589990739</v>
      </c>
      <c r="AP62">
        <v>0.36586246720980847</v>
      </c>
      <c r="AQ62">
        <v>2.7577830805908889</v>
      </c>
      <c r="AR62">
        <v>0.84113803259097042</v>
      </c>
      <c r="AS62">
        <v>0.67579438603715969</v>
      </c>
      <c r="AT62">
        <v>1.9681562105775809</v>
      </c>
      <c r="AU62">
        <v>12.019069159799249</v>
      </c>
      <c r="AW62">
        <v>0.31138805738883091</v>
      </c>
      <c r="AY62">
        <v>1</v>
      </c>
    </row>
    <row r="63" spans="1:51" x14ac:dyDescent="0.3">
      <c r="A63">
        <v>4</v>
      </c>
      <c r="B63" t="s">
        <v>88</v>
      </c>
      <c r="C63" t="s">
        <v>84</v>
      </c>
      <c r="D63" t="s">
        <v>66</v>
      </c>
      <c r="F63" s="7">
        <v>0</v>
      </c>
      <c r="G63" s="7">
        <v>1</v>
      </c>
      <c r="H63" s="3">
        <v>0</v>
      </c>
      <c r="I63">
        <f t="shared" si="0"/>
        <v>0</v>
      </c>
      <c r="J63">
        <f t="shared" si="1"/>
        <v>1</v>
      </c>
      <c r="K63">
        <v>3</v>
      </c>
      <c r="L63">
        <v>0</v>
      </c>
      <c r="M63">
        <v>328897.59999999998</v>
      </c>
      <c r="N63">
        <v>6006067.5999999996</v>
      </c>
      <c r="O63">
        <v>6058045.4000000004</v>
      </c>
      <c r="P63">
        <v>235216.4</v>
      </c>
      <c r="Q63">
        <v>7402034</v>
      </c>
      <c r="R63">
        <v>67910.8</v>
      </c>
      <c r="S63">
        <v>7594684.2000000002</v>
      </c>
      <c r="T63">
        <v>3395854.4</v>
      </c>
      <c r="U63">
        <v>3911157.2</v>
      </c>
      <c r="V63">
        <v>335678.2</v>
      </c>
      <c r="W63">
        <v>13070692.199999999</v>
      </c>
      <c r="Y63">
        <v>0.62650261180242528</v>
      </c>
      <c r="Z63">
        <v>5.0816692085820252</v>
      </c>
      <c r="AA63">
        <v>5.2155775596504101</v>
      </c>
      <c r="AB63">
        <v>0.6793691262020729</v>
      </c>
      <c r="AC63">
        <v>6.6812509448034687</v>
      </c>
      <c r="AD63">
        <v>0.1859424957889132</v>
      </c>
      <c r="AE63">
        <v>6.2368062524124976</v>
      </c>
      <c r="AF63">
        <v>1.428545520419721</v>
      </c>
      <c r="AG63">
        <v>2.7319978047045881</v>
      </c>
      <c r="AH63">
        <v>1.297965485800523</v>
      </c>
      <c r="AI63">
        <v>16.02409418096067</v>
      </c>
      <c r="AK63">
        <v>0.62650261180242528</v>
      </c>
      <c r="AL63">
        <v>2.5806161335902291</v>
      </c>
      <c r="AM63">
        <v>2.6516870290506631</v>
      </c>
      <c r="AN63">
        <v>0.6793691262020729</v>
      </c>
      <c r="AO63">
        <v>2.9527191762055738</v>
      </c>
      <c r="AP63">
        <v>0.1859424957889132</v>
      </c>
      <c r="AQ63">
        <v>3.8552146344096401</v>
      </c>
      <c r="AR63">
        <v>0.74030909200664607</v>
      </c>
      <c r="AS63">
        <v>0.63657381618395448</v>
      </c>
      <c r="AT63">
        <v>1.297965485800523</v>
      </c>
      <c r="AU63">
        <v>13.171860517165619</v>
      </c>
      <c r="AW63">
        <v>0.30666146060684701</v>
      </c>
      <c r="AY63">
        <v>1</v>
      </c>
    </row>
    <row r="64" spans="1:51" x14ac:dyDescent="0.3">
      <c r="A64">
        <v>4</v>
      </c>
      <c r="B64" t="s">
        <v>89</v>
      </c>
      <c r="C64" t="s">
        <v>84</v>
      </c>
      <c r="D64" t="s">
        <v>66</v>
      </c>
      <c r="F64" s="7">
        <v>0</v>
      </c>
      <c r="G64" s="7">
        <v>0</v>
      </c>
      <c r="H64" s="3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1797739.2</v>
      </c>
      <c r="O64">
        <v>1828093.8</v>
      </c>
      <c r="P64">
        <v>7568929</v>
      </c>
      <c r="Q64">
        <v>709877</v>
      </c>
      <c r="R64">
        <v>5117375.4000000004</v>
      </c>
      <c r="S64">
        <v>1529571</v>
      </c>
      <c r="T64">
        <v>7570115.2000000002</v>
      </c>
      <c r="U64">
        <v>4349478</v>
      </c>
      <c r="V64">
        <v>9604938.1999999993</v>
      </c>
      <c r="W64">
        <v>2662738.6</v>
      </c>
      <c r="Y64">
        <v>2.067423978203442</v>
      </c>
      <c r="Z64">
        <v>1.792047650180757</v>
      </c>
      <c r="AA64">
        <v>1.796184053760953</v>
      </c>
      <c r="AB64">
        <v>3.4529617463995241</v>
      </c>
      <c r="AC64">
        <v>1.347167909209384</v>
      </c>
      <c r="AD64">
        <v>3.852846790791955</v>
      </c>
      <c r="AE64">
        <v>1.66451699322788</v>
      </c>
      <c r="AF64">
        <v>4.9451758176321174</v>
      </c>
      <c r="AG64">
        <v>3.075745622743852</v>
      </c>
      <c r="AH64">
        <v>5.5257938806083988</v>
      </c>
      <c r="AI64">
        <v>3.5013044682214969</v>
      </c>
      <c r="AK64">
        <v>2.067423978203442</v>
      </c>
      <c r="AL64">
        <v>0.7382363533601165</v>
      </c>
      <c r="AM64">
        <v>0.74205850019352515</v>
      </c>
      <c r="AN64">
        <v>3.4529617463995241</v>
      </c>
      <c r="AO64">
        <v>0.59979289761395194</v>
      </c>
      <c r="AP64">
        <v>3.852846790791955</v>
      </c>
      <c r="AQ64">
        <v>0.74133263962576168</v>
      </c>
      <c r="AR64">
        <v>2.6708225990296341</v>
      </c>
      <c r="AS64">
        <v>0.63710553054697816</v>
      </c>
      <c r="AT64">
        <v>5.5257938806083988</v>
      </c>
      <c r="AU64">
        <v>1.8494153066305441</v>
      </c>
      <c r="AW64">
        <v>0.32101143677718941</v>
      </c>
      <c r="AY64">
        <v>1</v>
      </c>
    </row>
    <row r="65" spans="1:51" x14ac:dyDescent="0.3">
      <c r="A65">
        <v>4</v>
      </c>
      <c r="B65" t="s">
        <v>90</v>
      </c>
      <c r="C65" t="s">
        <v>84</v>
      </c>
      <c r="D65" t="s">
        <v>66</v>
      </c>
      <c r="F65" s="7">
        <v>0</v>
      </c>
      <c r="G65" s="7">
        <v>0</v>
      </c>
      <c r="H65" s="3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1996186.6</v>
      </c>
      <c r="O65">
        <v>2014204.2</v>
      </c>
      <c r="P65">
        <v>4053004.4</v>
      </c>
      <c r="Q65">
        <v>759550</v>
      </c>
      <c r="R65">
        <v>10738918.4</v>
      </c>
      <c r="S65">
        <v>943697.6</v>
      </c>
      <c r="T65">
        <v>7483609.4000000004</v>
      </c>
      <c r="U65">
        <v>4253533.5999999996</v>
      </c>
      <c r="V65">
        <v>43890192.200000003</v>
      </c>
      <c r="W65">
        <v>2839996.2</v>
      </c>
      <c r="Y65">
        <v>5.5476109637878839</v>
      </c>
      <c r="Z65">
        <v>1.8597571186255659</v>
      </c>
      <c r="AA65">
        <v>1.874863942991942</v>
      </c>
      <c r="AB65">
        <v>4.0953788554004857</v>
      </c>
      <c r="AC65">
        <v>1.24118960176711</v>
      </c>
      <c r="AD65">
        <v>8.2599490563850857</v>
      </c>
      <c r="AE65">
        <v>1.4237286469317041</v>
      </c>
      <c r="AF65">
        <v>4.4235696538002234</v>
      </c>
      <c r="AG65">
        <v>2.7377454277477229</v>
      </c>
      <c r="AH65">
        <v>16.003160637011749</v>
      </c>
      <c r="AI65">
        <v>3.2628281719516958</v>
      </c>
      <c r="AK65">
        <v>5.5476109637878839</v>
      </c>
      <c r="AL65">
        <v>0.71010722400387749</v>
      </c>
      <c r="AM65">
        <v>0.71622487918939437</v>
      </c>
      <c r="AN65">
        <v>4.0953788554004857</v>
      </c>
      <c r="AO65">
        <v>0.54818448178702961</v>
      </c>
      <c r="AP65">
        <v>8.2599490563850857</v>
      </c>
      <c r="AQ65">
        <v>0.59771475258748974</v>
      </c>
      <c r="AR65">
        <v>2.3828701917896979</v>
      </c>
      <c r="AS65">
        <v>0.57513231096090744</v>
      </c>
      <c r="AT65">
        <v>16.003160637011749</v>
      </c>
      <c r="AU65">
        <v>1.5160779281752179</v>
      </c>
      <c r="AW65">
        <v>0.31330505280056969</v>
      </c>
      <c r="AY65">
        <v>1</v>
      </c>
    </row>
    <row r="66" spans="1:51" x14ac:dyDescent="0.3">
      <c r="A66">
        <v>4</v>
      </c>
      <c r="B66" t="s">
        <v>91</v>
      </c>
      <c r="C66" t="s">
        <v>84</v>
      </c>
      <c r="D66" t="s">
        <v>66</v>
      </c>
      <c r="F66" s="7">
        <v>0</v>
      </c>
      <c r="G66" s="7">
        <v>1</v>
      </c>
      <c r="H66" s="3">
        <v>0</v>
      </c>
      <c r="I66">
        <f t="shared" si="0"/>
        <v>0</v>
      </c>
      <c r="J66">
        <f t="shared" si="1"/>
        <v>1</v>
      </c>
      <c r="K66">
        <v>3</v>
      </c>
      <c r="L66">
        <v>0</v>
      </c>
      <c r="M66">
        <v>1297565.2</v>
      </c>
      <c r="N66">
        <v>5590503.7999999998</v>
      </c>
      <c r="O66">
        <v>6221150.2000000002</v>
      </c>
      <c r="P66">
        <v>962221.8</v>
      </c>
      <c r="Q66">
        <v>5738462.5999999996</v>
      </c>
      <c r="R66">
        <v>840370</v>
      </c>
      <c r="S66">
        <v>6096867.4000000004</v>
      </c>
      <c r="T66">
        <v>3530230</v>
      </c>
      <c r="U66">
        <v>3882255</v>
      </c>
      <c r="V66">
        <v>3234570.4</v>
      </c>
      <c r="W66">
        <v>9972709.5999999996</v>
      </c>
      <c r="Y66">
        <v>1.5145473518059589</v>
      </c>
      <c r="Z66">
        <v>4.597114262776449</v>
      </c>
      <c r="AA66">
        <v>5.0912134347599931</v>
      </c>
      <c r="AB66">
        <v>1.625198471592739</v>
      </c>
      <c r="AC66">
        <v>5.6627088607812768</v>
      </c>
      <c r="AD66">
        <v>1.2780620642006399</v>
      </c>
      <c r="AE66">
        <v>4.8247408838011321</v>
      </c>
      <c r="AF66">
        <v>1.592257653817069</v>
      </c>
      <c r="AG66">
        <v>2.721200279705227</v>
      </c>
      <c r="AH66">
        <v>3.8597402230137958</v>
      </c>
      <c r="AI66">
        <v>12.549538792215751</v>
      </c>
      <c r="AK66">
        <v>1.5145473518059589</v>
      </c>
      <c r="AL66">
        <v>1.814030206587631</v>
      </c>
      <c r="AM66">
        <v>2.256721156369895</v>
      </c>
      <c r="AN66">
        <v>1.625198471592739</v>
      </c>
      <c r="AO66">
        <v>2.582114739605458</v>
      </c>
      <c r="AP66">
        <v>1.2780620642006399</v>
      </c>
      <c r="AQ66">
        <v>2.031409026216715</v>
      </c>
      <c r="AR66">
        <v>0.82758107602130626</v>
      </c>
      <c r="AS66">
        <v>0.61265466598561036</v>
      </c>
      <c r="AT66">
        <v>3.8597402230137958</v>
      </c>
      <c r="AU66">
        <v>9.2167440052260652</v>
      </c>
      <c r="AW66">
        <v>0.31340023200027639</v>
      </c>
      <c r="AY66">
        <v>1</v>
      </c>
    </row>
    <row r="67" spans="1:51" x14ac:dyDescent="0.3">
      <c r="A67">
        <v>5</v>
      </c>
      <c r="B67" t="s">
        <v>92</v>
      </c>
      <c r="C67" t="s">
        <v>93</v>
      </c>
      <c r="D67" t="s">
        <v>94</v>
      </c>
      <c r="F67" s="7">
        <v>0</v>
      </c>
      <c r="G67" s="7">
        <v>0</v>
      </c>
      <c r="H67" s="3">
        <v>0</v>
      </c>
      <c r="I67">
        <f t="shared" si="0"/>
        <v>0</v>
      </c>
      <c r="J67">
        <f t="shared" si="1"/>
        <v>1</v>
      </c>
      <c r="K67">
        <v>3</v>
      </c>
      <c r="L67">
        <v>0</v>
      </c>
      <c r="M67">
        <v>208371</v>
      </c>
      <c r="N67">
        <v>16396612.6</v>
      </c>
      <c r="O67">
        <v>16399465</v>
      </c>
      <c r="P67">
        <v>201376.6</v>
      </c>
      <c r="Q67">
        <v>24029609</v>
      </c>
      <c r="R67">
        <v>2603.1999999999998</v>
      </c>
      <c r="S67">
        <v>21454038.399999999</v>
      </c>
      <c r="T67">
        <v>3766247.8</v>
      </c>
      <c r="U67">
        <v>4700986.2</v>
      </c>
      <c r="V67">
        <v>9501</v>
      </c>
      <c r="W67">
        <v>36423229.200000003</v>
      </c>
      <c r="Y67">
        <v>0.41862316719489168</v>
      </c>
      <c r="Z67">
        <v>13.240197510644791</v>
      </c>
      <c r="AA67">
        <v>15.6006648096256</v>
      </c>
      <c r="AB67">
        <v>0.47791331920889207</v>
      </c>
      <c r="AC67">
        <v>19.007429299992509</v>
      </c>
      <c r="AD67">
        <v>9.3256535392720191E-2</v>
      </c>
      <c r="AE67">
        <v>15.90890420308569</v>
      </c>
      <c r="AF67">
        <v>1.5937300106510519</v>
      </c>
      <c r="AG67">
        <v>3.1237803630181591</v>
      </c>
      <c r="AH67">
        <v>3.8777723815292077E-2</v>
      </c>
      <c r="AI67">
        <v>37.393309907813091</v>
      </c>
      <c r="AK67">
        <v>0.41862316719489168</v>
      </c>
      <c r="AL67">
        <v>3.4541477150167341</v>
      </c>
      <c r="AM67">
        <v>3.8570229204022319</v>
      </c>
      <c r="AN67">
        <v>0.47791331920889207</v>
      </c>
      <c r="AO67">
        <v>5.0553357922006397</v>
      </c>
      <c r="AP67">
        <v>9.3256535392720191E-2</v>
      </c>
      <c r="AQ67">
        <v>3.7286403756472279</v>
      </c>
      <c r="AR67">
        <v>0.8866457208525389</v>
      </c>
      <c r="AS67">
        <v>0.65372150014154617</v>
      </c>
      <c r="AT67">
        <v>3.8777723815292077E-2</v>
      </c>
      <c r="AU67">
        <v>27.810299468971792</v>
      </c>
      <c r="AW67">
        <v>0.3049237442086451</v>
      </c>
      <c r="AY67">
        <v>1</v>
      </c>
    </row>
    <row r="68" spans="1:51" x14ac:dyDescent="0.3">
      <c r="A68">
        <v>5</v>
      </c>
      <c r="B68" t="s">
        <v>95</v>
      </c>
      <c r="C68" t="s">
        <v>93</v>
      </c>
      <c r="D68" t="s">
        <v>94</v>
      </c>
      <c r="F68" s="7">
        <v>0</v>
      </c>
      <c r="G68" s="7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780470.8</v>
      </c>
      <c r="O68">
        <v>785297.4</v>
      </c>
      <c r="P68">
        <v>11193030.6</v>
      </c>
      <c r="Q68">
        <v>308446.2</v>
      </c>
      <c r="R68">
        <v>7020716.7999999998</v>
      </c>
      <c r="S68">
        <v>343702</v>
      </c>
      <c r="T68">
        <v>5306523.2</v>
      </c>
      <c r="U68">
        <v>3653036.6</v>
      </c>
      <c r="V68">
        <v>8747838.8000000007</v>
      </c>
      <c r="W68">
        <v>396436.8</v>
      </c>
      <c r="Y68">
        <v>2.7883715435862539</v>
      </c>
      <c r="Z68">
        <v>1.07971309699351</v>
      </c>
      <c r="AA68">
        <v>1.086225554056</v>
      </c>
      <c r="AB68">
        <v>7.6338531057932411</v>
      </c>
      <c r="AC68">
        <v>0.81167887540068473</v>
      </c>
      <c r="AD68">
        <v>5.3769689980079418</v>
      </c>
      <c r="AE68">
        <v>0.82619047783082356</v>
      </c>
      <c r="AF68">
        <v>3.4780211433884691</v>
      </c>
      <c r="AG68">
        <v>2.7883326080162081</v>
      </c>
      <c r="AH68">
        <v>4.8237253115978094</v>
      </c>
      <c r="AI68">
        <v>1.5744324669474741</v>
      </c>
      <c r="AK68">
        <v>2.7883715435862539</v>
      </c>
      <c r="AL68">
        <v>0.46922456461470569</v>
      </c>
      <c r="AM68">
        <v>0.47160997001919902</v>
      </c>
      <c r="AN68">
        <v>7.6338531057932411</v>
      </c>
      <c r="AO68">
        <v>0.39593863621121272</v>
      </c>
      <c r="AP68">
        <v>5.3769689980079418</v>
      </c>
      <c r="AQ68">
        <v>0.54147665980271997</v>
      </c>
      <c r="AR68">
        <v>2.0051984924124548</v>
      </c>
      <c r="AS68">
        <v>0.55160850117681548</v>
      </c>
      <c r="AT68">
        <v>4.8237253115978094</v>
      </c>
      <c r="AU68">
        <v>0.77111481800675397</v>
      </c>
      <c r="AW68">
        <v>0.31017892260570068</v>
      </c>
      <c r="AY68">
        <v>1</v>
      </c>
    </row>
    <row r="69" spans="1:51" x14ac:dyDescent="0.3">
      <c r="A69">
        <v>5</v>
      </c>
      <c r="B69" t="s">
        <v>96</v>
      </c>
      <c r="C69" t="s">
        <v>93</v>
      </c>
      <c r="D69" t="s">
        <v>94</v>
      </c>
      <c r="F69" s="7">
        <v>0</v>
      </c>
      <c r="G69" s="7">
        <v>1</v>
      </c>
      <c r="H69" s="3">
        <v>0</v>
      </c>
      <c r="I69">
        <f t="shared" si="2"/>
        <v>0</v>
      </c>
      <c r="J69">
        <f t="shared" si="3"/>
        <v>1</v>
      </c>
      <c r="K69">
        <v>3</v>
      </c>
      <c r="L69">
        <v>0</v>
      </c>
      <c r="M69">
        <v>4442563</v>
      </c>
      <c r="N69">
        <v>1269160.6000000001</v>
      </c>
      <c r="O69">
        <v>1274744.8</v>
      </c>
      <c r="P69">
        <v>16353725.4</v>
      </c>
      <c r="Q69">
        <v>458393</v>
      </c>
      <c r="R69">
        <v>19335396.399999999</v>
      </c>
      <c r="S69">
        <v>449318.40000000002</v>
      </c>
      <c r="T69">
        <v>5298766.8</v>
      </c>
      <c r="U69">
        <v>3637716.6</v>
      </c>
      <c r="V69">
        <v>20741767.199999999</v>
      </c>
      <c r="W69">
        <v>1816447.8</v>
      </c>
      <c r="Y69">
        <v>3.3980458643985911</v>
      </c>
      <c r="Z69">
        <v>1.3691349736880509</v>
      </c>
      <c r="AA69">
        <v>1.3630094210500829</v>
      </c>
      <c r="AB69">
        <v>6.3246162689931227</v>
      </c>
      <c r="AC69">
        <v>1.0033900491893291</v>
      </c>
      <c r="AD69">
        <v>10.8758883537841</v>
      </c>
      <c r="AE69">
        <v>0.86053213261766359</v>
      </c>
      <c r="AF69">
        <v>2.78263853242388</v>
      </c>
      <c r="AG69">
        <v>2.235925899550784</v>
      </c>
      <c r="AH69">
        <v>7.1182307441951709</v>
      </c>
      <c r="AI69">
        <v>2.3943555264151661</v>
      </c>
      <c r="AK69">
        <v>3.3980458643985911</v>
      </c>
      <c r="AL69">
        <v>0.54236930722836407</v>
      </c>
      <c r="AM69">
        <v>0.53926834440790117</v>
      </c>
      <c r="AN69">
        <v>6.3246162689931227</v>
      </c>
      <c r="AO69">
        <v>0.46033931978163312</v>
      </c>
      <c r="AP69">
        <v>10.8758883537841</v>
      </c>
      <c r="AQ69">
        <v>0.46469473261386163</v>
      </c>
      <c r="AR69">
        <v>1.602258529234678</v>
      </c>
      <c r="AS69">
        <v>0.45665496140718459</v>
      </c>
      <c r="AT69">
        <v>7.1182307441951709</v>
      </c>
      <c r="AU69">
        <v>1.0783641247777269</v>
      </c>
      <c r="AW69">
        <v>0.29998177260858933</v>
      </c>
      <c r="AY69">
        <v>1</v>
      </c>
    </row>
    <row r="70" spans="1:51" x14ac:dyDescent="0.3">
      <c r="A70">
        <v>5</v>
      </c>
      <c r="B70" t="s">
        <v>97</v>
      </c>
      <c r="C70" t="s">
        <v>93</v>
      </c>
      <c r="D70" t="s">
        <v>94</v>
      </c>
      <c r="F70" s="7">
        <v>0</v>
      </c>
      <c r="G70" s="7">
        <v>0</v>
      </c>
      <c r="H70" s="3">
        <v>0</v>
      </c>
      <c r="I70">
        <f t="shared" si="2"/>
        <v>0</v>
      </c>
      <c r="J70">
        <f t="shared" si="3"/>
        <v>1</v>
      </c>
      <c r="K70">
        <v>3</v>
      </c>
      <c r="L70">
        <v>0</v>
      </c>
      <c r="M70">
        <v>7165620.4000000004</v>
      </c>
      <c r="N70">
        <v>1205098</v>
      </c>
      <c r="O70">
        <v>1215918.8</v>
      </c>
      <c r="P70">
        <v>16705599.6</v>
      </c>
      <c r="Q70">
        <v>545372.19999999995</v>
      </c>
      <c r="R70">
        <v>34420914.200000003</v>
      </c>
      <c r="S70">
        <v>568088</v>
      </c>
      <c r="T70">
        <v>3836925.8</v>
      </c>
      <c r="U70">
        <v>4215874</v>
      </c>
      <c r="V70">
        <v>34501219.600000001</v>
      </c>
      <c r="W70">
        <v>806419.4</v>
      </c>
      <c r="Y70">
        <v>6.5082739271922039</v>
      </c>
      <c r="Z70">
        <v>1.590976247470826</v>
      </c>
      <c r="AA70">
        <v>1.6189582031453029</v>
      </c>
      <c r="AB70">
        <v>17.236642256204501</v>
      </c>
      <c r="AC70">
        <v>1.1027172053582039</v>
      </c>
      <c r="AD70">
        <v>31.904790790192781</v>
      </c>
      <c r="AE70">
        <v>0.96873204445000738</v>
      </c>
      <c r="AF70">
        <v>1.6804887431557289</v>
      </c>
      <c r="AG70">
        <v>2.8140210927231242</v>
      </c>
      <c r="AH70">
        <v>14.93790458540898</v>
      </c>
      <c r="AI70">
        <v>1.9744686308666131</v>
      </c>
      <c r="AK70">
        <v>6.5082739271922039</v>
      </c>
      <c r="AL70">
        <v>0.65079906182363634</v>
      </c>
      <c r="AM70">
        <v>0.67090811119414862</v>
      </c>
      <c r="AN70">
        <v>17.236642256204501</v>
      </c>
      <c r="AO70">
        <v>0.55787175758741792</v>
      </c>
      <c r="AP70">
        <v>31.904790790192781</v>
      </c>
      <c r="AQ70">
        <v>0.56157418662915004</v>
      </c>
      <c r="AR70">
        <v>0.90698727476410568</v>
      </c>
      <c r="AS70">
        <v>0.56365354944719004</v>
      </c>
      <c r="AT70">
        <v>14.93790458540898</v>
      </c>
      <c r="AU70">
        <v>0.94690149540547286</v>
      </c>
      <c r="AW70">
        <v>0.33835320142097769</v>
      </c>
      <c r="AY70">
        <v>1</v>
      </c>
    </row>
    <row r="71" spans="1:51" x14ac:dyDescent="0.3">
      <c r="A71">
        <v>5</v>
      </c>
      <c r="B71" t="s">
        <v>98</v>
      </c>
      <c r="C71" t="s">
        <v>93</v>
      </c>
      <c r="D71" t="s">
        <v>94</v>
      </c>
      <c r="F71" s="7">
        <v>0</v>
      </c>
      <c r="G71" s="7">
        <v>1</v>
      </c>
      <c r="H71" s="3">
        <v>0</v>
      </c>
      <c r="I71">
        <f t="shared" si="2"/>
        <v>0</v>
      </c>
      <c r="J71">
        <f t="shared" si="3"/>
        <v>1</v>
      </c>
      <c r="K71">
        <v>3</v>
      </c>
      <c r="L71">
        <v>0</v>
      </c>
      <c r="M71">
        <v>5599438.4000000004</v>
      </c>
      <c r="N71">
        <v>1188660</v>
      </c>
      <c r="O71">
        <v>1192949</v>
      </c>
      <c r="P71">
        <v>21848843.399999999</v>
      </c>
      <c r="Q71">
        <v>472534.6</v>
      </c>
      <c r="R71">
        <v>28067433</v>
      </c>
      <c r="S71">
        <v>435654.2</v>
      </c>
      <c r="T71">
        <v>3793876</v>
      </c>
      <c r="U71">
        <v>4224659.2</v>
      </c>
      <c r="V71">
        <v>24500181.199999999</v>
      </c>
      <c r="W71">
        <v>1351476.8</v>
      </c>
      <c r="Y71">
        <v>5.6195294300094254</v>
      </c>
      <c r="Z71">
        <v>1.62297045661835</v>
      </c>
      <c r="AA71">
        <v>1.631157206790522</v>
      </c>
      <c r="AB71">
        <v>21.822319103602791</v>
      </c>
      <c r="AC71">
        <v>1.002083624788793</v>
      </c>
      <c r="AD71">
        <v>24.214781222399321</v>
      </c>
      <c r="AE71">
        <v>0.83516905620926996</v>
      </c>
      <c r="AF71">
        <v>1.627537781000137</v>
      </c>
      <c r="AG71">
        <v>2.8047998501337128</v>
      </c>
      <c r="AH71">
        <v>11.244123289803969</v>
      </c>
      <c r="AI71">
        <v>2.210594777273946</v>
      </c>
      <c r="AK71">
        <v>5.6195294300094254</v>
      </c>
      <c r="AL71">
        <v>0.66627774381777272</v>
      </c>
      <c r="AM71">
        <v>0.68145866699051116</v>
      </c>
      <c r="AN71">
        <v>21.822319103602791</v>
      </c>
      <c r="AO71">
        <v>0.48189407539903178</v>
      </c>
      <c r="AP71">
        <v>24.214781222399321</v>
      </c>
      <c r="AQ71">
        <v>0.45426578461192552</v>
      </c>
      <c r="AR71">
        <v>0.90743013020837682</v>
      </c>
      <c r="AS71">
        <v>0.55879173777066171</v>
      </c>
      <c r="AT71">
        <v>11.244123289803969</v>
      </c>
      <c r="AU71">
        <v>0.98132250679191202</v>
      </c>
      <c r="AW71">
        <v>0.35066148639889427</v>
      </c>
      <c r="AY71">
        <v>1</v>
      </c>
    </row>
    <row r="72" spans="1:51" x14ac:dyDescent="0.3">
      <c r="A72">
        <v>5</v>
      </c>
      <c r="B72" t="s">
        <v>99</v>
      </c>
      <c r="C72" t="s">
        <v>93</v>
      </c>
      <c r="D72" t="s">
        <v>94</v>
      </c>
      <c r="F72" s="7">
        <v>0</v>
      </c>
      <c r="G72" s="7">
        <v>0</v>
      </c>
      <c r="H72" s="3">
        <v>0</v>
      </c>
      <c r="I72">
        <f t="shared" si="2"/>
        <v>0</v>
      </c>
      <c r="J72">
        <f t="shared" si="3"/>
        <v>1</v>
      </c>
      <c r="K72">
        <v>3</v>
      </c>
      <c r="L72">
        <v>0</v>
      </c>
      <c r="M72">
        <v>7172555.4000000004</v>
      </c>
      <c r="N72">
        <v>1430782.8</v>
      </c>
      <c r="O72">
        <v>1440426.8</v>
      </c>
      <c r="P72">
        <v>33690542.200000003</v>
      </c>
      <c r="Q72">
        <v>493046.6</v>
      </c>
      <c r="R72">
        <v>38861470</v>
      </c>
      <c r="S72">
        <v>648254.6</v>
      </c>
      <c r="T72">
        <v>5310778.8</v>
      </c>
      <c r="U72">
        <v>3674256.6</v>
      </c>
      <c r="V72">
        <v>36494432.200000003</v>
      </c>
      <c r="W72">
        <v>1144092.6000000001</v>
      </c>
      <c r="Y72">
        <v>7.562567102804314</v>
      </c>
      <c r="Z72">
        <v>2.141547484591138</v>
      </c>
      <c r="AA72">
        <v>2.337608700082638</v>
      </c>
      <c r="AB72">
        <v>11.91322134081274</v>
      </c>
      <c r="AC72">
        <v>1.023366313992301</v>
      </c>
      <c r="AD72">
        <v>18.61931367421057</v>
      </c>
      <c r="AE72">
        <v>1.0572686740430071</v>
      </c>
      <c r="AF72">
        <v>2.8140222048037691</v>
      </c>
      <c r="AG72">
        <v>2.2926481439033521</v>
      </c>
      <c r="AH72">
        <v>10.7040114798001</v>
      </c>
      <c r="AI72">
        <v>2.4793397393543271</v>
      </c>
      <c r="AK72">
        <v>7.562567102804314</v>
      </c>
      <c r="AL72">
        <v>0.80347500041825692</v>
      </c>
      <c r="AM72">
        <v>0.85888542997417971</v>
      </c>
      <c r="AN72">
        <v>11.91322134081274</v>
      </c>
      <c r="AO72">
        <v>0.47488587339175858</v>
      </c>
      <c r="AP72">
        <v>18.61931367421057</v>
      </c>
      <c r="AQ72">
        <v>0.50892278859391804</v>
      </c>
      <c r="AR72">
        <v>1.6341662786086091</v>
      </c>
      <c r="AS72">
        <v>0.48010555194923649</v>
      </c>
      <c r="AT72">
        <v>10.7040114798001</v>
      </c>
      <c r="AU72">
        <v>1.126790986594278</v>
      </c>
      <c r="AW72">
        <v>0.38435526260873298</v>
      </c>
      <c r="AY72">
        <v>1</v>
      </c>
    </row>
    <row r="73" spans="1:51" x14ac:dyDescent="0.3">
      <c r="A73">
        <v>5</v>
      </c>
      <c r="B73" t="s">
        <v>100</v>
      </c>
      <c r="C73" t="s">
        <v>93</v>
      </c>
      <c r="D73" t="s">
        <v>94</v>
      </c>
      <c r="F73" s="7">
        <v>0</v>
      </c>
      <c r="G73" s="7">
        <v>0</v>
      </c>
      <c r="H73" s="3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537991.80000000005</v>
      </c>
      <c r="O73">
        <v>540322.4</v>
      </c>
      <c r="P73">
        <v>10173845</v>
      </c>
      <c r="Q73">
        <v>281046.40000000002</v>
      </c>
      <c r="R73">
        <v>5449982.7999999998</v>
      </c>
      <c r="S73">
        <v>249182.8</v>
      </c>
      <c r="T73">
        <v>5295709.5999999996</v>
      </c>
      <c r="U73">
        <v>3608303.8</v>
      </c>
      <c r="V73">
        <v>11762103.199999999</v>
      </c>
      <c r="W73">
        <v>324234.8</v>
      </c>
      <c r="Y73">
        <v>3.0705613417900168</v>
      </c>
      <c r="Z73">
        <v>1.461484581779223</v>
      </c>
      <c r="AA73">
        <v>1.4520423288107851</v>
      </c>
      <c r="AB73">
        <v>7.3665324271947608</v>
      </c>
      <c r="AC73">
        <v>0.80890268521034159</v>
      </c>
      <c r="AD73">
        <v>4.8008390807895918</v>
      </c>
      <c r="AE73">
        <v>0.69119076700881121</v>
      </c>
      <c r="AF73">
        <v>2.989970249182079</v>
      </c>
      <c r="AG73">
        <v>2.3751655956497419</v>
      </c>
      <c r="AH73">
        <v>5.3850853436044419</v>
      </c>
      <c r="AI73">
        <v>0.96082825704943386</v>
      </c>
      <c r="AK73">
        <v>3.0705613417900168</v>
      </c>
      <c r="AL73">
        <v>0.64973116881446913</v>
      </c>
      <c r="AM73">
        <v>0.64302518937038255</v>
      </c>
      <c r="AN73">
        <v>7.3665324271947608</v>
      </c>
      <c r="AO73">
        <v>0.40625637220800848</v>
      </c>
      <c r="AP73">
        <v>4.8008390807895918</v>
      </c>
      <c r="AQ73">
        <v>0.51450842759804805</v>
      </c>
      <c r="AR73">
        <v>1.728759602794889</v>
      </c>
      <c r="AS73">
        <v>0.4869128887425177</v>
      </c>
      <c r="AT73">
        <v>5.3850853436044419</v>
      </c>
      <c r="AU73">
        <v>0.64723285041982304</v>
      </c>
      <c r="AW73">
        <v>0.43021209940779948</v>
      </c>
      <c r="AY73">
        <v>1</v>
      </c>
    </row>
    <row r="74" spans="1:51" x14ac:dyDescent="0.3">
      <c r="A74">
        <v>5</v>
      </c>
      <c r="B74" t="s">
        <v>101</v>
      </c>
      <c r="C74" t="s">
        <v>93</v>
      </c>
      <c r="D74" t="s">
        <v>94</v>
      </c>
      <c r="F74" s="7">
        <v>0</v>
      </c>
      <c r="G74" s="7">
        <v>1</v>
      </c>
      <c r="H74" s="3">
        <v>0</v>
      </c>
      <c r="I74">
        <f t="shared" si="2"/>
        <v>0</v>
      </c>
      <c r="J74">
        <f t="shared" si="3"/>
        <v>1</v>
      </c>
      <c r="K74">
        <v>3</v>
      </c>
      <c r="L74">
        <v>0</v>
      </c>
      <c r="M74">
        <v>206046.2</v>
      </c>
      <c r="N74">
        <v>16543911.199999999</v>
      </c>
      <c r="O74">
        <v>16548210</v>
      </c>
      <c r="P74">
        <v>201570.6</v>
      </c>
      <c r="Q74">
        <v>22725261</v>
      </c>
      <c r="R74">
        <v>890</v>
      </c>
      <c r="S74">
        <v>22411059.199999999</v>
      </c>
      <c r="T74">
        <v>3815273.4</v>
      </c>
      <c r="U74">
        <v>4760376.2</v>
      </c>
      <c r="V74">
        <v>3896.8</v>
      </c>
      <c r="W74">
        <v>30984047.199999999</v>
      </c>
      <c r="Y74">
        <v>0.39607051222119483</v>
      </c>
      <c r="Z74">
        <v>13.172204467991831</v>
      </c>
      <c r="AA74">
        <v>12.87803197795292</v>
      </c>
      <c r="AB74">
        <v>0.40296075599035253</v>
      </c>
      <c r="AC74">
        <v>19.21028890878079</v>
      </c>
      <c r="AD74">
        <v>9.3593911430798427E-2</v>
      </c>
      <c r="AE74">
        <v>15.25869747488759</v>
      </c>
      <c r="AF74">
        <v>1.677654155634809</v>
      </c>
      <c r="AG74">
        <v>3.2233065557433291</v>
      </c>
      <c r="AH74">
        <v>2.4961942585650761E-2</v>
      </c>
      <c r="AI74">
        <v>35.532054888247522</v>
      </c>
      <c r="AK74">
        <v>0.39607051222119483</v>
      </c>
      <c r="AL74">
        <v>3.185191348404623</v>
      </c>
      <c r="AM74">
        <v>3.1545272169867529</v>
      </c>
      <c r="AN74">
        <v>0.40296075599035253</v>
      </c>
      <c r="AO74">
        <v>5.4242403905955143</v>
      </c>
      <c r="AP74">
        <v>9.3593911430798427E-2</v>
      </c>
      <c r="AQ74">
        <v>4.0511997802415856</v>
      </c>
      <c r="AR74">
        <v>0.91072458643466236</v>
      </c>
      <c r="AS74">
        <v>0.69116067197173836</v>
      </c>
      <c r="AT74">
        <v>2.4961942585650761E-2</v>
      </c>
      <c r="AU74">
        <v>27.16306466998067</v>
      </c>
      <c r="AW74">
        <v>0.33193945660023022</v>
      </c>
      <c r="AY74">
        <v>1</v>
      </c>
    </row>
    <row r="75" spans="1:51" x14ac:dyDescent="0.3">
      <c r="A75">
        <v>5</v>
      </c>
      <c r="B75" t="s">
        <v>102</v>
      </c>
      <c r="C75" t="s">
        <v>103</v>
      </c>
      <c r="D75" t="s">
        <v>104</v>
      </c>
      <c r="F75" s="7">
        <v>0</v>
      </c>
      <c r="G75" s="7">
        <v>0</v>
      </c>
      <c r="H75" s="3">
        <v>0</v>
      </c>
      <c r="I75">
        <f t="shared" si="2"/>
        <v>0</v>
      </c>
      <c r="J75">
        <f t="shared" si="3"/>
        <v>1</v>
      </c>
      <c r="K75">
        <v>3</v>
      </c>
      <c r="L75">
        <v>0</v>
      </c>
      <c r="M75">
        <v>310206.8</v>
      </c>
      <c r="N75">
        <v>15851530.4</v>
      </c>
      <c r="O75">
        <v>15888887.800000001</v>
      </c>
      <c r="P75">
        <v>204639.2</v>
      </c>
      <c r="Q75">
        <v>22739977</v>
      </c>
      <c r="R75">
        <v>179053.6</v>
      </c>
      <c r="S75">
        <v>25795290.600000001</v>
      </c>
      <c r="T75">
        <v>3439355</v>
      </c>
      <c r="U75">
        <v>4329285.4000000004</v>
      </c>
      <c r="V75">
        <v>16989.400000000001</v>
      </c>
      <c r="W75">
        <v>33779324.399999999</v>
      </c>
      <c r="Y75">
        <v>0.79237498497823255</v>
      </c>
      <c r="Z75">
        <v>12.90664130576188</v>
      </c>
      <c r="AA75">
        <v>11.93417100040242</v>
      </c>
      <c r="AB75">
        <v>0.55181283740093934</v>
      </c>
      <c r="AC75">
        <v>21.275112746417289</v>
      </c>
      <c r="AD75">
        <v>1.0561973428004421</v>
      </c>
      <c r="AE75">
        <v>17.15555564905517</v>
      </c>
      <c r="AF75">
        <v>1.318198370223399</v>
      </c>
      <c r="AG75">
        <v>2.8418994008796288</v>
      </c>
      <c r="AH75">
        <v>6.5240918600466033E-2</v>
      </c>
      <c r="AI75">
        <v>34.269691028655508</v>
      </c>
      <c r="AK75">
        <v>0.79237498497823255</v>
      </c>
      <c r="AL75">
        <v>3.9963964787777519</v>
      </c>
      <c r="AM75">
        <v>3.5552564737736252</v>
      </c>
      <c r="AN75">
        <v>0.55181283740093934</v>
      </c>
      <c r="AO75">
        <v>8.2891790874127764</v>
      </c>
      <c r="AP75">
        <v>1.0561973428004421</v>
      </c>
      <c r="AQ75">
        <v>4.8184494652086869</v>
      </c>
      <c r="AR75">
        <v>0.70596511942567308</v>
      </c>
      <c r="AS75">
        <v>0.64370022398652504</v>
      </c>
      <c r="AT75">
        <v>6.5240918600466033E-2</v>
      </c>
      <c r="AU75">
        <v>25.497882673586719</v>
      </c>
      <c r="AW75">
        <v>0.33584924220340318</v>
      </c>
      <c r="AY75">
        <v>1</v>
      </c>
    </row>
    <row r="76" spans="1:51" x14ac:dyDescent="0.3">
      <c r="A76">
        <v>5</v>
      </c>
      <c r="B76" t="s">
        <v>105</v>
      </c>
      <c r="C76" t="s">
        <v>103</v>
      </c>
      <c r="D76" t="s">
        <v>104</v>
      </c>
      <c r="F76" s="7">
        <v>0</v>
      </c>
      <c r="G76" s="7">
        <v>1</v>
      </c>
      <c r="H76" s="3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1446090.6</v>
      </c>
      <c r="O76">
        <v>1455420.4</v>
      </c>
      <c r="P76">
        <v>5982706</v>
      </c>
      <c r="Q76">
        <v>641405.6</v>
      </c>
      <c r="R76">
        <v>22170304</v>
      </c>
      <c r="S76">
        <v>1072128.6000000001</v>
      </c>
      <c r="T76">
        <v>6610615.2000000002</v>
      </c>
      <c r="U76">
        <v>4096135</v>
      </c>
      <c r="V76">
        <v>19085195</v>
      </c>
      <c r="W76">
        <v>1339185.6000000001</v>
      </c>
      <c r="Y76">
        <v>5.8242807870148683</v>
      </c>
      <c r="Z76">
        <v>1.797822650789749</v>
      </c>
      <c r="AA76">
        <v>1.800624519225676</v>
      </c>
      <c r="AB76">
        <v>4.8434638968028594</v>
      </c>
      <c r="AC76">
        <v>1.133615138829918</v>
      </c>
      <c r="AD76">
        <v>13.692017879593189</v>
      </c>
      <c r="AE76">
        <v>1.3798417071695439</v>
      </c>
      <c r="AF76">
        <v>3.7431890607811509</v>
      </c>
      <c r="AG76">
        <v>2.550212765543256</v>
      </c>
      <c r="AH76">
        <v>7.0002216926193794</v>
      </c>
      <c r="AI76">
        <v>2.5099454357870861</v>
      </c>
      <c r="AK76">
        <v>5.8242807870148683</v>
      </c>
      <c r="AL76">
        <v>0.71701710037887101</v>
      </c>
      <c r="AM76">
        <v>0.72464787622448057</v>
      </c>
      <c r="AN76">
        <v>4.8434638968028594</v>
      </c>
      <c r="AO76">
        <v>0.50011209740769114</v>
      </c>
      <c r="AP76">
        <v>13.692017879593189</v>
      </c>
      <c r="AQ76">
        <v>0.69295819058315833</v>
      </c>
      <c r="AR76">
        <v>2.0666549213929102</v>
      </c>
      <c r="AS76">
        <v>0.5205981853185222</v>
      </c>
      <c r="AT76">
        <v>7.0002216926193794</v>
      </c>
      <c r="AU76">
        <v>1.143567827378865</v>
      </c>
      <c r="AW76">
        <v>0.34110941878752782</v>
      </c>
      <c r="AY76">
        <v>1</v>
      </c>
    </row>
    <row r="77" spans="1:51" x14ac:dyDescent="0.3">
      <c r="A77">
        <v>5</v>
      </c>
      <c r="B77" t="s">
        <v>106</v>
      </c>
      <c r="C77" t="s">
        <v>103</v>
      </c>
      <c r="D77" t="s">
        <v>104</v>
      </c>
      <c r="F77" s="7">
        <v>0</v>
      </c>
      <c r="G77" s="7">
        <v>1</v>
      </c>
      <c r="H77" s="3">
        <v>0</v>
      </c>
      <c r="I77">
        <f t="shared" si="2"/>
        <v>0</v>
      </c>
      <c r="J77">
        <f t="shared" si="3"/>
        <v>1</v>
      </c>
      <c r="K77">
        <v>3</v>
      </c>
      <c r="L77">
        <v>0</v>
      </c>
      <c r="M77">
        <v>3423988</v>
      </c>
      <c r="N77">
        <v>1294434.3999999999</v>
      </c>
      <c r="O77">
        <v>1299361.2</v>
      </c>
      <c r="P77">
        <v>6844367.7999999998</v>
      </c>
      <c r="Q77">
        <v>523884.79999999999</v>
      </c>
      <c r="R77">
        <v>13263103.199999999</v>
      </c>
      <c r="S77">
        <v>1284836.8</v>
      </c>
      <c r="T77">
        <v>6486954.5999999996</v>
      </c>
      <c r="U77">
        <v>3997761.6</v>
      </c>
      <c r="V77">
        <v>15211821.4</v>
      </c>
      <c r="W77">
        <v>969282.8</v>
      </c>
      <c r="Y77">
        <v>3.7721612195950001</v>
      </c>
      <c r="Z77">
        <v>1.623908907838632</v>
      </c>
      <c r="AA77">
        <v>1.486970666435081</v>
      </c>
      <c r="AB77">
        <v>3.9657561063999309</v>
      </c>
      <c r="AC77">
        <v>1.1295547349844131</v>
      </c>
      <c r="AD77">
        <v>9.2749122070032168</v>
      </c>
      <c r="AE77">
        <v>1.281320759188384</v>
      </c>
      <c r="AF77">
        <v>3.69124720263062</v>
      </c>
      <c r="AG77">
        <v>2.49044550609542</v>
      </c>
      <c r="AH77">
        <v>6.0455477838055227</v>
      </c>
      <c r="AI77">
        <v>2.1558099153917292</v>
      </c>
      <c r="AK77">
        <v>3.7721612195950001</v>
      </c>
      <c r="AL77">
        <v>0.70132214742479848</v>
      </c>
      <c r="AM77">
        <v>0.6699709164211527</v>
      </c>
      <c r="AN77">
        <v>3.9657561063999309</v>
      </c>
      <c r="AO77">
        <v>0.58958688779966906</v>
      </c>
      <c r="AP77">
        <v>9.2749122070032168</v>
      </c>
      <c r="AQ77">
        <v>0.89037191818933936</v>
      </c>
      <c r="AR77">
        <v>2.0048031046288091</v>
      </c>
      <c r="AS77">
        <v>0.52058250899426639</v>
      </c>
      <c r="AT77">
        <v>6.0455477838055227</v>
      </c>
      <c r="AU77">
        <v>1.0806708779768091</v>
      </c>
      <c r="AW77">
        <v>0.33918856980744749</v>
      </c>
      <c r="AY77">
        <v>1</v>
      </c>
    </row>
    <row r="78" spans="1:51" x14ac:dyDescent="0.3">
      <c r="A78">
        <v>5</v>
      </c>
      <c r="B78" t="s">
        <v>107</v>
      </c>
      <c r="C78" t="s">
        <v>103</v>
      </c>
      <c r="D78" t="s">
        <v>104</v>
      </c>
      <c r="F78" s="7">
        <v>0</v>
      </c>
      <c r="G78" s="7">
        <v>0</v>
      </c>
      <c r="H78" s="3">
        <v>0</v>
      </c>
      <c r="I78">
        <f t="shared" si="2"/>
        <v>0</v>
      </c>
      <c r="J78">
        <f t="shared" si="3"/>
        <v>1</v>
      </c>
      <c r="K78">
        <v>3</v>
      </c>
      <c r="L78">
        <v>0</v>
      </c>
      <c r="M78">
        <v>2836113.2</v>
      </c>
      <c r="N78">
        <v>1587954.4</v>
      </c>
      <c r="O78">
        <v>1589384.4</v>
      </c>
      <c r="P78">
        <v>2158619.2000000002</v>
      </c>
      <c r="Q78">
        <v>1357428.6</v>
      </c>
      <c r="R78">
        <v>2321572.4</v>
      </c>
      <c r="S78">
        <v>2240868.4</v>
      </c>
      <c r="T78">
        <v>3481139.6</v>
      </c>
      <c r="U78">
        <v>3947083.4</v>
      </c>
      <c r="V78">
        <v>2111224.4</v>
      </c>
      <c r="W78">
        <v>2127452.2000000002</v>
      </c>
      <c r="Y78">
        <v>2.4633531733881679</v>
      </c>
      <c r="Z78">
        <v>1.6295023326063529</v>
      </c>
      <c r="AA78">
        <v>1.6227974524255839</v>
      </c>
      <c r="AB78">
        <v>2.4284462640003772</v>
      </c>
      <c r="AC78">
        <v>1.700458305364009</v>
      </c>
      <c r="AD78">
        <v>3.0941630597808398</v>
      </c>
      <c r="AE78">
        <v>1.6545813932432789</v>
      </c>
      <c r="AF78">
        <v>1.3657530233846049</v>
      </c>
      <c r="AG78">
        <v>2.559404629585333</v>
      </c>
      <c r="AH78">
        <v>3.4877134123817091</v>
      </c>
      <c r="AI78">
        <v>2.4860009117983282</v>
      </c>
      <c r="AK78">
        <v>2.4633531733881679</v>
      </c>
      <c r="AL78">
        <v>0.96951679579215122</v>
      </c>
      <c r="AM78">
        <v>0.96152264542179178</v>
      </c>
      <c r="AN78">
        <v>2.4284462640003772</v>
      </c>
      <c r="AO78">
        <v>1.1582791911903769</v>
      </c>
      <c r="AP78">
        <v>3.0941630597808398</v>
      </c>
      <c r="AQ78">
        <v>1.3189471132121979</v>
      </c>
      <c r="AR78">
        <v>0.68853253239067269</v>
      </c>
      <c r="AS78">
        <v>0.5617205907474272</v>
      </c>
      <c r="AT78">
        <v>3.4877134123817091</v>
      </c>
      <c r="AU78">
        <v>1.742153659206815</v>
      </c>
      <c r="AW78">
        <v>0.30877757699927311</v>
      </c>
      <c r="AY78">
        <v>1</v>
      </c>
    </row>
    <row r="79" spans="1:51" x14ac:dyDescent="0.3">
      <c r="A79">
        <v>5</v>
      </c>
      <c r="B79" t="s">
        <v>108</v>
      </c>
      <c r="C79" t="s">
        <v>103</v>
      </c>
      <c r="D79" t="s">
        <v>104</v>
      </c>
      <c r="F79" s="7">
        <v>0</v>
      </c>
      <c r="G79" s="7">
        <v>1</v>
      </c>
      <c r="H79" s="3">
        <v>0</v>
      </c>
      <c r="I79">
        <f t="shared" si="2"/>
        <v>0</v>
      </c>
      <c r="J79">
        <f t="shared" si="3"/>
        <v>1</v>
      </c>
      <c r="K79">
        <v>3</v>
      </c>
      <c r="L79">
        <v>0</v>
      </c>
      <c r="M79">
        <v>1460671.8</v>
      </c>
      <c r="N79">
        <v>1385386</v>
      </c>
      <c r="O79">
        <v>1384065.8</v>
      </c>
      <c r="P79">
        <v>13296880.6</v>
      </c>
      <c r="Q79">
        <v>979346.8</v>
      </c>
      <c r="R79">
        <v>1673494.8</v>
      </c>
      <c r="S79">
        <v>1633271.2</v>
      </c>
      <c r="T79">
        <v>3440942.2</v>
      </c>
      <c r="U79">
        <v>3911554</v>
      </c>
      <c r="V79">
        <v>14522821.4</v>
      </c>
      <c r="W79">
        <v>2226080.4</v>
      </c>
      <c r="Y79">
        <v>1.4974954522098409</v>
      </c>
      <c r="Z79">
        <v>1.4460116325994019</v>
      </c>
      <c r="AA79">
        <v>1.434696878842078</v>
      </c>
      <c r="AB79">
        <v>12.99486143919639</v>
      </c>
      <c r="AC79">
        <v>1.444821975799278</v>
      </c>
      <c r="AD79">
        <v>2.192067801812664</v>
      </c>
      <c r="AE79">
        <v>1.3182478894130329</v>
      </c>
      <c r="AF79">
        <v>1.328838522778824</v>
      </c>
      <c r="AG79">
        <v>2.5301750984857789</v>
      </c>
      <c r="AH79">
        <v>7.6436135893920438</v>
      </c>
      <c r="AI79">
        <v>2.160230530402623</v>
      </c>
      <c r="AK79">
        <v>1.4974954522098409</v>
      </c>
      <c r="AL79">
        <v>0.95375512120081107</v>
      </c>
      <c r="AM79">
        <v>0.94501559739001095</v>
      </c>
      <c r="AN79">
        <v>12.99486143919639</v>
      </c>
      <c r="AO79">
        <v>1.0127659857971589</v>
      </c>
      <c r="AP79">
        <v>2.192067801812664</v>
      </c>
      <c r="AQ79">
        <v>1.076845977804624</v>
      </c>
      <c r="AR79">
        <v>0.71256019079592081</v>
      </c>
      <c r="AS79">
        <v>0.54405163822229952</v>
      </c>
      <c r="AT79">
        <v>7.6436135893920438</v>
      </c>
      <c r="AU79">
        <v>1.620058592804708</v>
      </c>
      <c r="AW79">
        <v>0.30340911439852791</v>
      </c>
      <c r="AY79">
        <v>1</v>
      </c>
    </row>
    <row r="80" spans="1:51" x14ac:dyDescent="0.3">
      <c r="A80">
        <v>5</v>
      </c>
      <c r="B80" t="s">
        <v>109</v>
      </c>
      <c r="C80" t="s">
        <v>103</v>
      </c>
      <c r="D80" t="s">
        <v>104</v>
      </c>
      <c r="F80" s="7">
        <v>0</v>
      </c>
      <c r="G80" s="7">
        <v>0</v>
      </c>
      <c r="H80" s="3">
        <v>0</v>
      </c>
      <c r="I80">
        <f t="shared" si="2"/>
        <v>0</v>
      </c>
      <c r="J80">
        <f t="shared" si="3"/>
        <v>1</v>
      </c>
      <c r="K80">
        <v>3</v>
      </c>
      <c r="L80">
        <v>0</v>
      </c>
      <c r="M80">
        <v>5841890.5999999996</v>
      </c>
      <c r="N80">
        <v>1630591.8</v>
      </c>
      <c r="O80">
        <v>1638947</v>
      </c>
      <c r="P80">
        <v>3257650</v>
      </c>
      <c r="Q80">
        <v>899612.2</v>
      </c>
      <c r="R80">
        <v>14360336.800000001</v>
      </c>
      <c r="S80">
        <v>1560265.2</v>
      </c>
      <c r="T80">
        <v>6616594.4000000004</v>
      </c>
      <c r="U80">
        <v>4117493.8</v>
      </c>
      <c r="V80">
        <v>21360085</v>
      </c>
      <c r="W80">
        <v>1276976.6000000001</v>
      </c>
      <c r="Y80">
        <v>4.2992540954030121</v>
      </c>
      <c r="Z80">
        <v>1.596774579840712</v>
      </c>
      <c r="AA80">
        <v>1.5977276467951009</v>
      </c>
      <c r="AB80">
        <v>3.3409507310076152</v>
      </c>
      <c r="AC80">
        <v>1.423604181612609</v>
      </c>
      <c r="AD80">
        <v>7.7235716243856576</v>
      </c>
      <c r="AE80">
        <v>1.684200140554458</v>
      </c>
      <c r="AF80">
        <v>3.7479152621934189</v>
      </c>
      <c r="AG80">
        <v>2.5411912284791471</v>
      </c>
      <c r="AH80">
        <v>7.3454366423888144</v>
      </c>
      <c r="AI80">
        <v>2.5663878042250872</v>
      </c>
      <c r="AK80">
        <v>4.2992540954030121</v>
      </c>
      <c r="AL80">
        <v>0.68698789241025227</v>
      </c>
      <c r="AM80">
        <v>0.69142488259822132</v>
      </c>
      <c r="AN80">
        <v>3.3409507310076152</v>
      </c>
      <c r="AO80">
        <v>0.68155513239908028</v>
      </c>
      <c r="AP80">
        <v>7.7235716243856576</v>
      </c>
      <c r="AQ80">
        <v>0.87869942358229314</v>
      </c>
      <c r="AR80">
        <v>2.0718876291881321</v>
      </c>
      <c r="AS80">
        <v>0.51852742267074059</v>
      </c>
      <c r="AT80">
        <v>7.3454366423888144</v>
      </c>
      <c r="AU80">
        <v>1.197911282186396</v>
      </c>
      <c r="AW80">
        <v>0.2961551323998719</v>
      </c>
      <c r="AY80">
        <v>1</v>
      </c>
    </row>
    <row r="81" spans="1:51" x14ac:dyDescent="0.3">
      <c r="A81">
        <v>5</v>
      </c>
      <c r="B81" t="s">
        <v>110</v>
      </c>
      <c r="C81" t="s">
        <v>103</v>
      </c>
      <c r="D81" t="s">
        <v>104</v>
      </c>
      <c r="F81" s="7">
        <v>0</v>
      </c>
      <c r="G81" s="7">
        <v>0</v>
      </c>
      <c r="H81" s="3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1403232</v>
      </c>
      <c r="O81">
        <v>1420554</v>
      </c>
      <c r="P81">
        <v>10473944.4</v>
      </c>
      <c r="Q81">
        <v>973390.4</v>
      </c>
      <c r="R81">
        <v>13645416</v>
      </c>
      <c r="S81">
        <v>915037.6</v>
      </c>
      <c r="T81">
        <v>6484050.7999999998</v>
      </c>
      <c r="U81">
        <v>4002897.6</v>
      </c>
      <c r="V81">
        <v>27706218.399999999</v>
      </c>
      <c r="W81">
        <v>1383243.2</v>
      </c>
      <c r="Y81">
        <v>3.860714892589022</v>
      </c>
      <c r="Z81">
        <v>1.455077665590216</v>
      </c>
      <c r="AA81">
        <v>1.457454198016785</v>
      </c>
      <c r="AB81">
        <v>7.470262884604745</v>
      </c>
      <c r="AC81">
        <v>1.377726362983231</v>
      </c>
      <c r="AD81">
        <v>9.9358546980074607</v>
      </c>
      <c r="AE81">
        <v>1.3420317705953491</v>
      </c>
      <c r="AF81">
        <v>3.648792144178878</v>
      </c>
      <c r="AG81">
        <v>2.4606941203819588</v>
      </c>
      <c r="AH81">
        <v>9.178494689788204</v>
      </c>
      <c r="AI81">
        <v>2.4259180911933069</v>
      </c>
      <c r="AK81">
        <v>3.860714892589022</v>
      </c>
      <c r="AL81">
        <v>0.60937069180654357</v>
      </c>
      <c r="AM81">
        <v>0.61516436560777943</v>
      </c>
      <c r="AN81">
        <v>7.470262884604745</v>
      </c>
      <c r="AO81">
        <v>0.7098439807945397</v>
      </c>
      <c r="AP81">
        <v>9.9358546980074607</v>
      </c>
      <c r="AQ81">
        <v>0.65691025380510837</v>
      </c>
      <c r="AR81">
        <v>1.9960235847858709</v>
      </c>
      <c r="AS81">
        <v>0.50391869001323353</v>
      </c>
      <c r="AT81">
        <v>9.178494689788204</v>
      </c>
      <c r="AU81">
        <v>1.0976551596075299</v>
      </c>
      <c r="AW81">
        <v>0.29931644999887802</v>
      </c>
      <c r="AY81">
        <v>1</v>
      </c>
    </row>
    <row r="82" spans="1:51" x14ac:dyDescent="0.3">
      <c r="A82">
        <v>5</v>
      </c>
      <c r="B82" t="s">
        <v>111</v>
      </c>
      <c r="C82" t="s">
        <v>103</v>
      </c>
      <c r="D82" t="s">
        <v>104</v>
      </c>
      <c r="F82" s="7">
        <v>0</v>
      </c>
      <c r="G82" s="7">
        <v>1</v>
      </c>
      <c r="H82" s="3">
        <v>0</v>
      </c>
      <c r="I82">
        <f t="shared" si="2"/>
        <v>0</v>
      </c>
      <c r="J82">
        <f t="shared" si="3"/>
        <v>1</v>
      </c>
      <c r="K82">
        <v>3</v>
      </c>
      <c r="L82">
        <v>0</v>
      </c>
      <c r="M82">
        <v>210607.4</v>
      </c>
      <c r="N82">
        <v>15710179.6</v>
      </c>
      <c r="O82">
        <v>15793662.4</v>
      </c>
      <c r="P82">
        <v>201023.6</v>
      </c>
      <c r="Q82">
        <v>21992084</v>
      </c>
      <c r="R82">
        <v>4669.2</v>
      </c>
      <c r="S82">
        <v>23918298.800000001</v>
      </c>
      <c r="T82">
        <v>3477472</v>
      </c>
      <c r="U82">
        <v>4353778.4000000004</v>
      </c>
      <c r="V82">
        <v>6097.4</v>
      </c>
      <c r="W82">
        <v>31143049.800000001</v>
      </c>
      <c r="Y82">
        <v>0.37873433538479728</v>
      </c>
      <c r="Z82">
        <v>11.663129173405469</v>
      </c>
      <c r="AA82">
        <v>11.725025374221151</v>
      </c>
      <c r="AB82">
        <v>0.41607285499921998</v>
      </c>
      <c r="AC82">
        <v>20.54645029941457</v>
      </c>
      <c r="AD82">
        <v>0.109594480798114</v>
      </c>
      <c r="AE82">
        <v>16.904560898942869</v>
      </c>
      <c r="AF82">
        <v>1.3635257683927191</v>
      </c>
      <c r="AG82">
        <v>2.858458064089064</v>
      </c>
      <c r="AH82">
        <v>3.2922864810097922E-2</v>
      </c>
      <c r="AI82">
        <v>33.568552631023337</v>
      </c>
      <c r="AK82">
        <v>0.37873433538479728</v>
      </c>
      <c r="AL82">
        <v>3.6728861989919102</v>
      </c>
      <c r="AM82">
        <v>3.7238412404200059</v>
      </c>
      <c r="AN82">
        <v>0.41607285499921998</v>
      </c>
      <c r="AO82">
        <v>8.1887024176015988</v>
      </c>
      <c r="AP82">
        <v>0.109594480798114</v>
      </c>
      <c r="AQ82">
        <v>5.0852507989853617</v>
      </c>
      <c r="AR82">
        <v>0.68460533980978655</v>
      </c>
      <c r="AS82">
        <v>0.65864880584413188</v>
      </c>
      <c r="AT82">
        <v>3.2922864810097922E-2</v>
      </c>
      <c r="AU82">
        <v>25.558858363598119</v>
      </c>
      <c r="AW82">
        <v>0.30627499240217732</v>
      </c>
      <c r="AY82">
        <v>1</v>
      </c>
    </row>
    <row r="83" spans="1:51" x14ac:dyDescent="0.3">
      <c r="A83">
        <v>5</v>
      </c>
      <c r="B83" t="s">
        <v>112</v>
      </c>
      <c r="C83" t="s">
        <v>113</v>
      </c>
      <c r="D83" t="s">
        <v>114</v>
      </c>
      <c r="F83" s="7">
        <v>0</v>
      </c>
      <c r="G83" s="7">
        <v>0</v>
      </c>
      <c r="H83" s="3">
        <v>0</v>
      </c>
      <c r="I83">
        <f t="shared" si="2"/>
        <v>0</v>
      </c>
      <c r="J83">
        <f t="shared" si="3"/>
        <v>1</v>
      </c>
      <c r="K83">
        <v>3</v>
      </c>
      <c r="L83">
        <v>0</v>
      </c>
      <c r="M83">
        <v>319086.2</v>
      </c>
      <c r="N83">
        <v>3013936.2</v>
      </c>
      <c r="O83">
        <v>3052100</v>
      </c>
      <c r="P83">
        <v>239957</v>
      </c>
      <c r="Q83">
        <v>4337992.4000000004</v>
      </c>
      <c r="R83">
        <v>125583.6</v>
      </c>
      <c r="S83">
        <v>6022323.4000000004</v>
      </c>
      <c r="T83">
        <v>4306558</v>
      </c>
      <c r="U83">
        <v>3334004.2</v>
      </c>
      <c r="V83">
        <v>228518.39999999999</v>
      </c>
      <c r="W83">
        <v>6914929.5999999996</v>
      </c>
      <c r="Y83">
        <v>0.53807245538337156</v>
      </c>
      <c r="Z83">
        <v>2.9537634116015399</v>
      </c>
      <c r="AA83">
        <v>2.9445070322602991</v>
      </c>
      <c r="AB83">
        <v>0.59467028318904336</v>
      </c>
      <c r="AC83">
        <v>4.4531850290019062</v>
      </c>
      <c r="AD83">
        <v>0.53789664518553759</v>
      </c>
      <c r="AE83">
        <v>5.0266390054253858</v>
      </c>
      <c r="AF83">
        <v>2.0831990183913152</v>
      </c>
      <c r="AG83">
        <v>2.0696054577361789</v>
      </c>
      <c r="AH83">
        <v>1.015181635390036</v>
      </c>
      <c r="AI83">
        <v>6.7288921391940679</v>
      </c>
      <c r="AK83">
        <v>0.53807245538337156</v>
      </c>
      <c r="AL83">
        <v>1.0267225539893841</v>
      </c>
      <c r="AM83">
        <v>1.0391604129923511</v>
      </c>
      <c r="AN83">
        <v>0.59467028318904336</v>
      </c>
      <c r="AO83">
        <v>1.739214902214008</v>
      </c>
      <c r="AP83">
        <v>0.53789664518553759</v>
      </c>
      <c r="AQ83">
        <v>1.909720673214178</v>
      </c>
      <c r="AR83">
        <v>1.227163892402314</v>
      </c>
      <c r="AS83">
        <v>0.51362161694560204</v>
      </c>
      <c r="AT83">
        <v>1.015181635390036</v>
      </c>
      <c r="AU83">
        <v>4.2571906508179378</v>
      </c>
      <c r="AW83">
        <v>0.29789315279340373</v>
      </c>
      <c r="AY83">
        <v>1</v>
      </c>
    </row>
    <row r="84" spans="1:51" x14ac:dyDescent="0.3">
      <c r="A84">
        <v>5</v>
      </c>
      <c r="B84" t="s">
        <v>115</v>
      </c>
      <c r="C84" t="s">
        <v>113</v>
      </c>
      <c r="D84" t="s">
        <v>114</v>
      </c>
      <c r="F84" s="7">
        <v>0</v>
      </c>
      <c r="G84" s="7">
        <v>1</v>
      </c>
      <c r="H84" s="3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1006642.8</v>
      </c>
      <c r="O84">
        <v>1009537.4</v>
      </c>
      <c r="P84">
        <v>4663570.4000000004</v>
      </c>
      <c r="Q84">
        <v>504104.4</v>
      </c>
      <c r="R84">
        <v>4324974.2</v>
      </c>
      <c r="S84">
        <v>506407</v>
      </c>
      <c r="T84">
        <v>3928340</v>
      </c>
      <c r="U84">
        <v>3042984</v>
      </c>
      <c r="V84">
        <v>4677741</v>
      </c>
      <c r="W84">
        <v>796006.6</v>
      </c>
      <c r="Y84">
        <v>2.326520007383079</v>
      </c>
      <c r="Z84">
        <v>1.1940859941765669</v>
      </c>
      <c r="AA84">
        <v>1.1846293381997379</v>
      </c>
      <c r="AB84">
        <v>4.0075087522098327</v>
      </c>
      <c r="AC84">
        <v>1.014116325386567</v>
      </c>
      <c r="AD84">
        <v>3.5588754887809051</v>
      </c>
      <c r="AE84">
        <v>1.10789423462702</v>
      </c>
      <c r="AF84">
        <v>1.7883487569983121</v>
      </c>
      <c r="AG84">
        <v>1.8477516191313039</v>
      </c>
      <c r="AH84">
        <v>4.2159597007906999</v>
      </c>
      <c r="AI84">
        <v>1.9819163216161539</v>
      </c>
      <c r="AK84">
        <v>2.326520007383079</v>
      </c>
      <c r="AL84">
        <v>0.47222563421819358</v>
      </c>
      <c r="AM84">
        <v>0.46830094079487028</v>
      </c>
      <c r="AN84">
        <v>4.0075087522098327</v>
      </c>
      <c r="AO84">
        <v>0.46746815959340893</v>
      </c>
      <c r="AP84">
        <v>3.5588754887809051</v>
      </c>
      <c r="AQ84">
        <v>0.46089469442376868</v>
      </c>
      <c r="AR84">
        <v>0.98335602480219675</v>
      </c>
      <c r="AS84">
        <v>0.45937519302824509</v>
      </c>
      <c r="AT84">
        <v>4.2159597007906999</v>
      </c>
      <c r="AU84">
        <v>0.79337898980593313</v>
      </c>
      <c r="AW84">
        <v>0.30659422880271447</v>
      </c>
      <c r="AY84">
        <v>1</v>
      </c>
    </row>
    <row r="85" spans="1:51" x14ac:dyDescent="0.3">
      <c r="A85">
        <v>5</v>
      </c>
      <c r="B85" t="s">
        <v>116</v>
      </c>
      <c r="C85" t="s">
        <v>113</v>
      </c>
      <c r="D85" t="s">
        <v>114</v>
      </c>
      <c r="F85" s="7">
        <v>0</v>
      </c>
      <c r="G85" s="7">
        <v>1</v>
      </c>
      <c r="H85" s="3">
        <v>0</v>
      </c>
      <c r="I85">
        <f t="shared" si="2"/>
        <v>0</v>
      </c>
      <c r="J85">
        <f t="shared" si="3"/>
        <v>1</v>
      </c>
      <c r="K85">
        <v>3</v>
      </c>
      <c r="L85">
        <v>0</v>
      </c>
      <c r="M85">
        <v>781166.8</v>
      </c>
      <c r="N85">
        <v>1391345.2</v>
      </c>
      <c r="O85">
        <v>1404313</v>
      </c>
      <c r="P85">
        <v>1547781.6</v>
      </c>
      <c r="Q85">
        <v>1883512.6</v>
      </c>
      <c r="R85">
        <v>1990193</v>
      </c>
      <c r="S85">
        <v>1962113.4</v>
      </c>
      <c r="T85">
        <v>3853685</v>
      </c>
      <c r="U85">
        <v>3063502.8</v>
      </c>
      <c r="V85">
        <v>3464936</v>
      </c>
      <c r="W85">
        <v>2583664.4</v>
      </c>
      <c r="Y85">
        <v>0.77720446860184889</v>
      </c>
      <c r="Z85">
        <v>1.5785295416135341</v>
      </c>
      <c r="AA85">
        <v>1.5784353168215599</v>
      </c>
      <c r="AB85">
        <v>0.91531379540101621</v>
      </c>
      <c r="AC85">
        <v>2.060980108787771</v>
      </c>
      <c r="AD85">
        <v>1.6322687602136281</v>
      </c>
      <c r="AE85">
        <v>2.1024657604168171</v>
      </c>
      <c r="AF85">
        <v>1.718714826204814</v>
      </c>
      <c r="AG85">
        <v>1.8385599297354931</v>
      </c>
      <c r="AH85">
        <v>3.8183293513953691</v>
      </c>
      <c r="AI85">
        <v>3.2655953711480832</v>
      </c>
      <c r="AK85">
        <v>0.77720446860184889</v>
      </c>
      <c r="AL85">
        <v>0.71341981521109121</v>
      </c>
      <c r="AM85">
        <v>0.71905556202400478</v>
      </c>
      <c r="AN85">
        <v>0.91531379540101621</v>
      </c>
      <c r="AO85">
        <v>1.0770820187986829</v>
      </c>
      <c r="AP85">
        <v>1.6322687602136281</v>
      </c>
      <c r="AQ85">
        <v>1.0111933248117571</v>
      </c>
      <c r="AR85">
        <v>0.96772316400893033</v>
      </c>
      <c r="AS85">
        <v>0.44842205838067462</v>
      </c>
      <c r="AT85">
        <v>3.8183293513953691</v>
      </c>
      <c r="AU85">
        <v>1.770759271166753</v>
      </c>
      <c r="AW85">
        <v>0.30817337660118937</v>
      </c>
      <c r="AY85">
        <v>1</v>
      </c>
    </row>
    <row r="86" spans="1:51" x14ac:dyDescent="0.3">
      <c r="A86">
        <v>5</v>
      </c>
      <c r="B86" t="s">
        <v>117</v>
      </c>
      <c r="C86" t="s">
        <v>113</v>
      </c>
      <c r="D86" t="s">
        <v>114</v>
      </c>
      <c r="F86" s="7">
        <v>0</v>
      </c>
      <c r="G86" s="7">
        <v>0</v>
      </c>
      <c r="H86" s="3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1079557.8</v>
      </c>
      <c r="O86">
        <v>1081122.3999999999</v>
      </c>
      <c r="P86">
        <v>2025758.4</v>
      </c>
      <c r="Q86">
        <v>414201.8</v>
      </c>
      <c r="R86">
        <v>9883125.4000000004</v>
      </c>
      <c r="S86">
        <v>441963.6</v>
      </c>
      <c r="T86">
        <v>4039682.4</v>
      </c>
      <c r="U86">
        <v>3210476.6</v>
      </c>
      <c r="V86">
        <v>11459876.6</v>
      </c>
      <c r="W86">
        <v>862534</v>
      </c>
      <c r="Y86">
        <v>3.7213982498040421</v>
      </c>
      <c r="Z86">
        <v>1.2658303431235249</v>
      </c>
      <c r="AA86">
        <v>1.248043701204006</v>
      </c>
      <c r="AB86">
        <v>2.3773119978024631</v>
      </c>
      <c r="AC86">
        <v>0.90872376683983025</v>
      </c>
      <c r="AD86">
        <v>8.5962411609827534</v>
      </c>
      <c r="AE86">
        <v>1.108204171061516</v>
      </c>
      <c r="AF86">
        <v>1.819191434024833</v>
      </c>
      <c r="AG86">
        <v>1.944710770028178</v>
      </c>
      <c r="AH86">
        <v>6.6055439088027921</v>
      </c>
      <c r="AI86">
        <v>2.095383129967376</v>
      </c>
      <c r="AK86">
        <v>3.7213982498040421</v>
      </c>
      <c r="AL86">
        <v>0.52614816419081767</v>
      </c>
      <c r="AM86">
        <v>0.51440937200095505</v>
      </c>
      <c r="AN86">
        <v>2.3773119978024631</v>
      </c>
      <c r="AO86">
        <v>0.43981112500187008</v>
      </c>
      <c r="AP86">
        <v>8.5962411609827534</v>
      </c>
      <c r="AQ86">
        <v>0.52049540781881665</v>
      </c>
      <c r="AR86">
        <v>1.0547347530140541</v>
      </c>
      <c r="AS86">
        <v>0.49058012181194499</v>
      </c>
      <c r="AT86">
        <v>6.6055439088027921</v>
      </c>
      <c r="AU86">
        <v>0.8780423460062593</v>
      </c>
      <c r="AW86">
        <v>0.31652481838827951</v>
      </c>
      <c r="AY86">
        <v>1</v>
      </c>
    </row>
    <row r="87" spans="1:51" x14ac:dyDescent="0.3">
      <c r="A87">
        <v>5</v>
      </c>
      <c r="B87" t="s">
        <v>118</v>
      </c>
      <c r="C87" t="s">
        <v>113</v>
      </c>
      <c r="D87" t="s">
        <v>114</v>
      </c>
      <c r="F87" s="7">
        <v>0</v>
      </c>
      <c r="G87" s="7">
        <v>1</v>
      </c>
      <c r="H87" s="3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1128305.6000000001</v>
      </c>
      <c r="O87">
        <v>1127957.3999999999</v>
      </c>
      <c r="P87">
        <v>15647339</v>
      </c>
      <c r="Q87">
        <v>806524.6</v>
      </c>
      <c r="R87">
        <v>12464840.6</v>
      </c>
      <c r="S87">
        <v>718181.2</v>
      </c>
      <c r="T87">
        <v>4336350.8</v>
      </c>
      <c r="U87">
        <v>3249082.6</v>
      </c>
      <c r="V87">
        <v>15843471.800000001</v>
      </c>
      <c r="W87">
        <v>914248.4</v>
      </c>
      <c r="Y87">
        <v>4.8149044131976551</v>
      </c>
      <c r="Z87">
        <v>1.2693264472065491</v>
      </c>
      <c r="AA87">
        <v>1.266229727573227</v>
      </c>
      <c r="AB87">
        <v>15.933516612194939</v>
      </c>
      <c r="AC87">
        <v>1.271136161399772</v>
      </c>
      <c r="AD87">
        <v>10.1368539991905</v>
      </c>
      <c r="AE87">
        <v>1.295413589198142</v>
      </c>
      <c r="AF87">
        <v>2.116120262362529</v>
      </c>
      <c r="AG87">
        <v>1.9811340127722361</v>
      </c>
      <c r="AH87">
        <v>8.2049888856126927</v>
      </c>
      <c r="AI87">
        <v>2.0024821377941411</v>
      </c>
      <c r="AK87">
        <v>4.8149044131976551</v>
      </c>
      <c r="AL87">
        <v>0.53384853159077461</v>
      </c>
      <c r="AM87">
        <v>0.5280718225752935</v>
      </c>
      <c r="AN87">
        <v>15.933516612194939</v>
      </c>
      <c r="AO87">
        <v>0.5628122092108242</v>
      </c>
      <c r="AP87">
        <v>10.1368539991905</v>
      </c>
      <c r="AQ87">
        <v>0.56930906638735901</v>
      </c>
      <c r="AR87">
        <v>1.240511595772114</v>
      </c>
      <c r="AS87">
        <v>0.48207425555447109</v>
      </c>
      <c r="AT87">
        <v>8.2049888856126927</v>
      </c>
      <c r="AU87">
        <v>0.91113970160949975</v>
      </c>
      <c r="AW87">
        <v>0.30511340738739812</v>
      </c>
      <c r="AY87">
        <v>1</v>
      </c>
    </row>
    <row r="88" spans="1:51" x14ac:dyDescent="0.3">
      <c r="A88">
        <v>5</v>
      </c>
      <c r="B88" t="s">
        <v>119</v>
      </c>
      <c r="C88" t="s">
        <v>113</v>
      </c>
      <c r="D88" t="s">
        <v>114</v>
      </c>
      <c r="F88" s="7">
        <v>0</v>
      </c>
      <c r="G88" s="7">
        <v>0</v>
      </c>
      <c r="H88" s="3">
        <v>0</v>
      </c>
      <c r="I88">
        <f t="shared" si="2"/>
        <v>0</v>
      </c>
      <c r="J88">
        <f t="shared" si="3"/>
        <v>1</v>
      </c>
      <c r="K88">
        <v>3</v>
      </c>
      <c r="L88">
        <v>0</v>
      </c>
      <c r="M88">
        <v>1032997.2</v>
      </c>
      <c r="N88">
        <v>1600626.8</v>
      </c>
      <c r="O88">
        <v>1609792.6</v>
      </c>
      <c r="P88">
        <v>569045.4</v>
      </c>
      <c r="Q88">
        <v>2313565.7999999998</v>
      </c>
      <c r="R88">
        <v>3558555.6</v>
      </c>
      <c r="S88">
        <v>3142883</v>
      </c>
      <c r="T88">
        <v>3929436.4</v>
      </c>
      <c r="U88">
        <v>3093102</v>
      </c>
      <c r="V88">
        <v>3126287.2</v>
      </c>
      <c r="W88">
        <v>4878558.5999999996</v>
      </c>
      <c r="Y88">
        <v>1.0904556163935919</v>
      </c>
      <c r="Z88">
        <v>1.8154895026120359</v>
      </c>
      <c r="AA88">
        <v>1.814957960753236</v>
      </c>
      <c r="AB88">
        <v>1.0386526652029719</v>
      </c>
      <c r="AC88">
        <v>2.535475677007343</v>
      </c>
      <c r="AD88">
        <v>2.4195017033838671</v>
      </c>
      <c r="AE88">
        <v>3.2100725213764241</v>
      </c>
      <c r="AF88">
        <v>1.7698489721980879</v>
      </c>
      <c r="AG88">
        <v>1.862958315131255</v>
      </c>
      <c r="AH88">
        <v>3.7441791357938201</v>
      </c>
      <c r="AI88">
        <v>4.0683466702350417</v>
      </c>
      <c r="AK88">
        <v>1.0904556163935919</v>
      </c>
      <c r="AL88">
        <v>0.85349586439551783</v>
      </c>
      <c r="AM88">
        <v>0.85781254097819326</v>
      </c>
      <c r="AN88">
        <v>1.0386526652029719</v>
      </c>
      <c r="AO88">
        <v>1.410956723400159</v>
      </c>
      <c r="AP88">
        <v>2.4195017033838671</v>
      </c>
      <c r="AQ88">
        <v>1.641120004374534</v>
      </c>
      <c r="AR88">
        <v>0.97252671140013258</v>
      </c>
      <c r="AS88">
        <v>0.47796432479517542</v>
      </c>
      <c r="AT88">
        <v>3.7441791357938201</v>
      </c>
      <c r="AU88">
        <v>2.3764756922260859</v>
      </c>
      <c r="AW88">
        <v>0.30417714301729581</v>
      </c>
      <c r="AY88">
        <v>1</v>
      </c>
    </row>
    <row r="89" spans="1:51" x14ac:dyDescent="0.3">
      <c r="A89">
        <v>5</v>
      </c>
      <c r="B89" t="s">
        <v>120</v>
      </c>
      <c r="C89" t="s">
        <v>113</v>
      </c>
      <c r="D89" t="s">
        <v>114</v>
      </c>
      <c r="F89" s="7">
        <v>0</v>
      </c>
      <c r="G89" s="7">
        <v>0</v>
      </c>
      <c r="H89" s="3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789100.4</v>
      </c>
      <c r="O89">
        <v>788832.2</v>
      </c>
      <c r="P89">
        <v>2397875.6</v>
      </c>
      <c r="Q89">
        <v>352548.4</v>
      </c>
      <c r="R89">
        <v>5850146.2000000002</v>
      </c>
      <c r="S89">
        <v>254807.6</v>
      </c>
      <c r="T89">
        <v>3855495.2</v>
      </c>
      <c r="U89">
        <v>3013265.6</v>
      </c>
      <c r="V89">
        <v>3518969</v>
      </c>
      <c r="W89">
        <v>465597.2</v>
      </c>
      <c r="Y89">
        <v>1.900030914798845</v>
      </c>
      <c r="Z89">
        <v>1.035229437996168</v>
      </c>
      <c r="AA89">
        <v>1.0310965198441411</v>
      </c>
      <c r="AB89">
        <v>2.2364979353966188</v>
      </c>
      <c r="AC89">
        <v>0.845020467415452</v>
      </c>
      <c r="AD89">
        <v>4.8555480809882283</v>
      </c>
      <c r="AE89">
        <v>0.84718133044661958</v>
      </c>
      <c r="AF89">
        <v>1.7152353463927279</v>
      </c>
      <c r="AG89">
        <v>1.8000188064295799</v>
      </c>
      <c r="AH89">
        <v>3.782669536606408</v>
      </c>
      <c r="AI89">
        <v>1.5206758356653149</v>
      </c>
      <c r="AK89">
        <v>1.900030914798845</v>
      </c>
      <c r="AL89">
        <v>0.43560034178663037</v>
      </c>
      <c r="AM89">
        <v>0.43102273101685568</v>
      </c>
      <c r="AN89">
        <v>2.2364979353966188</v>
      </c>
      <c r="AO89">
        <v>0.42790218399604779</v>
      </c>
      <c r="AP89">
        <v>4.8555480809882283</v>
      </c>
      <c r="AQ89">
        <v>0.41058105942793188</v>
      </c>
      <c r="AR89">
        <v>0.96538919060258199</v>
      </c>
      <c r="AS89">
        <v>0.43919322813162581</v>
      </c>
      <c r="AT89">
        <v>3.782669536606408</v>
      </c>
      <c r="AU89">
        <v>0.72530627422966065</v>
      </c>
      <c r="AW89">
        <v>0.30531612918712198</v>
      </c>
      <c r="AY89">
        <v>1</v>
      </c>
    </row>
    <row r="90" spans="1:51" x14ac:dyDescent="0.3">
      <c r="A90">
        <v>5</v>
      </c>
      <c r="B90" t="s">
        <v>121</v>
      </c>
      <c r="C90" t="s">
        <v>113</v>
      </c>
      <c r="D90" t="s">
        <v>114</v>
      </c>
      <c r="F90" s="7">
        <v>0</v>
      </c>
      <c r="G90" s="7">
        <v>1</v>
      </c>
      <c r="H90" s="3">
        <v>0</v>
      </c>
      <c r="I90">
        <f t="shared" si="2"/>
        <v>0</v>
      </c>
      <c r="J90">
        <f t="shared" si="3"/>
        <v>1</v>
      </c>
      <c r="K90">
        <v>3</v>
      </c>
      <c r="L90">
        <v>0</v>
      </c>
      <c r="M90">
        <v>208470.2</v>
      </c>
      <c r="N90">
        <v>2863036.6</v>
      </c>
      <c r="O90">
        <v>2901896.2</v>
      </c>
      <c r="P90">
        <v>202026.4</v>
      </c>
      <c r="Q90">
        <v>4669454.4000000004</v>
      </c>
      <c r="R90">
        <v>1063.5999999999999</v>
      </c>
      <c r="S90">
        <v>5169893.2</v>
      </c>
      <c r="T90">
        <v>4030484.4</v>
      </c>
      <c r="U90">
        <v>3346468.6</v>
      </c>
      <c r="V90">
        <v>4608.6000000000004</v>
      </c>
      <c r="W90">
        <v>5970337</v>
      </c>
      <c r="Y90">
        <v>0.36569223020924257</v>
      </c>
      <c r="Z90">
        <v>2.849694967619143</v>
      </c>
      <c r="AA90">
        <v>2.8687261188053532</v>
      </c>
      <c r="AB90">
        <v>0.3927047835953999</v>
      </c>
      <c r="AC90">
        <v>4.561984815384494</v>
      </c>
      <c r="AD90">
        <v>9.05126225901767E-2</v>
      </c>
      <c r="AE90">
        <v>4.4385620447923433</v>
      </c>
      <c r="AF90">
        <v>1.821615403622854</v>
      </c>
      <c r="AG90">
        <v>2.0484854225185698</v>
      </c>
      <c r="AH90">
        <v>2.6615142601076482E-2</v>
      </c>
      <c r="AI90">
        <v>6.5157201251713559</v>
      </c>
      <c r="AK90">
        <v>0.36569223020924257</v>
      </c>
      <c r="AL90">
        <v>1.1000620926031841</v>
      </c>
      <c r="AM90">
        <v>1.118001760391053</v>
      </c>
      <c r="AN90">
        <v>0.3927047835953999</v>
      </c>
      <c r="AO90">
        <v>1.776501447003102</v>
      </c>
      <c r="AP90">
        <v>9.05126225901767E-2</v>
      </c>
      <c r="AQ90">
        <v>1.6666937173809859</v>
      </c>
      <c r="AR90">
        <v>1.0662748630158601</v>
      </c>
      <c r="AS90">
        <v>0.52699637981131675</v>
      </c>
      <c r="AT90">
        <v>2.6615142601076482E-2</v>
      </c>
      <c r="AU90">
        <v>4.3423161249840634</v>
      </c>
      <c r="AW90">
        <v>0.30683076940476889</v>
      </c>
      <c r="AY90">
        <v>1</v>
      </c>
    </row>
    <row r="91" spans="1:51" x14ac:dyDescent="0.3">
      <c r="A91">
        <v>6</v>
      </c>
      <c r="B91" t="s">
        <v>122</v>
      </c>
      <c r="C91" t="s">
        <v>123</v>
      </c>
      <c r="D91" t="s">
        <v>124</v>
      </c>
      <c r="F91" s="7">
        <v>0</v>
      </c>
      <c r="G91" s="7">
        <v>0</v>
      </c>
      <c r="H91" s="3">
        <v>0</v>
      </c>
      <c r="I91">
        <f t="shared" si="2"/>
        <v>0</v>
      </c>
      <c r="J91">
        <f t="shared" si="3"/>
        <v>1</v>
      </c>
      <c r="K91">
        <v>3</v>
      </c>
      <c r="L91">
        <v>0</v>
      </c>
      <c r="M91">
        <v>623122.6</v>
      </c>
      <c r="N91">
        <v>816513</v>
      </c>
      <c r="O91">
        <v>817960.4</v>
      </c>
      <c r="P91">
        <v>444173</v>
      </c>
      <c r="Q91">
        <v>403470.8</v>
      </c>
      <c r="R91">
        <v>477290.2</v>
      </c>
      <c r="S91">
        <v>319658.59999999998</v>
      </c>
      <c r="T91">
        <v>3001506.4</v>
      </c>
      <c r="U91">
        <v>2523854</v>
      </c>
      <c r="V91">
        <v>1187507</v>
      </c>
      <c r="W91">
        <v>1563524.8</v>
      </c>
      <c r="Y91">
        <v>0.86089369499823076</v>
      </c>
      <c r="Z91">
        <v>1.08777791041648</v>
      </c>
      <c r="AA91">
        <v>1.091570929414593</v>
      </c>
      <c r="AB91">
        <v>0.88723179540247654</v>
      </c>
      <c r="AC91">
        <v>0.91650289660901763</v>
      </c>
      <c r="AD91">
        <v>1.5877905315835961</v>
      </c>
      <c r="AE91">
        <v>1.241834516415838</v>
      </c>
      <c r="AF91">
        <v>0.45617367440136147</v>
      </c>
      <c r="AG91">
        <v>0.87569670204538852</v>
      </c>
      <c r="AH91">
        <v>3.0218935391982091</v>
      </c>
      <c r="AI91">
        <v>2.1726156007498498</v>
      </c>
      <c r="AK91">
        <v>0.86089369499823076</v>
      </c>
      <c r="AL91">
        <v>0.52876477320678528</v>
      </c>
      <c r="AM91">
        <v>0.52818242440698671</v>
      </c>
      <c r="AN91">
        <v>0.88723179540247654</v>
      </c>
      <c r="AO91">
        <v>0.50439080741489306</v>
      </c>
      <c r="AP91">
        <v>1.5877905315835961</v>
      </c>
      <c r="AQ91">
        <v>0.6442513952031732</v>
      </c>
      <c r="AR91">
        <v>0.34955499978968868</v>
      </c>
      <c r="AS91">
        <v>0.36799622921971598</v>
      </c>
      <c r="AT91">
        <v>3.0218935391982091</v>
      </c>
      <c r="AU91">
        <v>1.130339884373825</v>
      </c>
      <c r="AW91">
        <v>0.29572767061181371</v>
      </c>
      <c r="AY91">
        <v>1</v>
      </c>
    </row>
    <row r="92" spans="1:51" x14ac:dyDescent="0.3">
      <c r="A92">
        <v>6</v>
      </c>
      <c r="B92" t="s">
        <v>125</v>
      </c>
      <c r="C92" t="s">
        <v>123</v>
      </c>
      <c r="D92" t="s">
        <v>124</v>
      </c>
      <c r="F92" s="7">
        <v>0</v>
      </c>
      <c r="G92" s="7">
        <v>1</v>
      </c>
      <c r="H92" s="3">
        <v>0</v>
      </c>
      <c r="I92">
        <f t="shared" si="2"/>
        <v>0</v>
      </c>
      <c r="J92">
        <f t="shared" si="3"/>
        <v>1</v>
      </c>
      <c r="K92">
        <v>3</v>
      </c>
      <c r="L92">
        <v>0</v>
      </c>
      <c r="M92">
        <v>391828.4</v>
      </c>
      <c r="N92">
        <v>666678.6</v>
      </c>
      <c r="O92">
        <v>668773.4</v>
      </c>
      <c r="P92">
        <v>236045</v>
      </c>
      <c r="Q92">
        <v>311409.8</v>
      </c>
      <c r="R92">
        <v>195592.4</v>
      </c>
      <c r="S92">
        <v>275975.59999999998</v>
      </c>
      <c r="T92">
        <v>2999604.4</v>
      </c>
      <c r="U92">
        <v>2510836.2000000002</v>
      </c>
      <c r="V92">
        <v>72201.600000000006</v>
      </c>
      <c r="W92">
        <v>408801.8</v>
      </c>
      <c r="Y92">
        <v>0.48890694922301919</v>
      </c>
      <c r="Z92">
        <v>0.90291068556252863</v>
      </c>
      <c r="AA92">
        <v>0.89949367396766322</v>
      </c>
      <c r="AB92">
        <v>0.44756351780379189</v>
      </c>
      <c r="AC92">
        <v>0.76241889619268477</v>
      </c>
      <c r="AD92">
        <v>1.050590835383628</v>
      </c>
      <c r="AE92">
        <v>1.3006843907991421</v>
      </c>
      <c r="AF92">
        <v>0.45893777018645782</v>
      </c>
      <c r="AG92">
        <v>0.8666222185012884</v>
      </c>
      <c r="AH92">
        <v>0.1344731542048975</v>
      </c>
      <c r="AI92">
        <v>0.96017597737954929</v>
      </c>
      <c r="AK92">
        <v>0.48890694922301919</v>
      </c>
      <c r="AL92">
        <v>0.51079536559991534</v>
      </c>
      <c r="AM92">
        <v>0.51048287780722601</v>
      </c>
      <c r="AN92">
        <v>0.44756351780379189</v>
      </c>
      <c r="AO92">
        <v>0.45193443840835251</v>
      </c>
      <c r="AP92">
        <v>1.050590835383628</v>
      </c>
      <c r="AQ92">
        <v>0.62453108399640767</v>
      </c>
      <c r="AR92">
        <v>0.35063259239541361</v>
      </c>
      <c r="AS92">
        <v>0.36819748922716827</v>
      </c>
      <c r="AT92">
        <v>0.1344731542048975</v>
      </c>
      <c r="AU92">
        <v>0.61300960917724301</v>
      </c>
      <c r="AW92">
        <v>0.29638460399582978</v>
      </c>
      <c r="AY92">
        <v>1</v>
      </c>
    </row>
    <row r="93" spans="1:51" x14ac:dyDescent="0.3">
      <c r="A93">
        <v>6</v>
      </c>
      <c r="B93" t="s">
        <v>126</v>
      </c>
      <c r="C93" t="s">
        <v>123</v>
      </c>
      <c r="D93" t="s">
        <v>124</v>
      </c>
      <c r="F93" s="7">
        <v>0</v>
      </c>
      <c r="G93" s="7">
        <v>1</v>
      </c>
      <c r="H93" s="3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597864.6</v>
      </c>
      <c r="O93">
        <v>597504</v>
      </c>
      <c r="P93">
        <v>433332.4</v>
      </c>
      <c r="Q93">
        <v>313664.59999999998</v>
      </c>
      <c r="R93">
        <v>289901.59999999998</v>
      </c>
      <c r="S93">
        <v>280131</v>
      </c>
      <c r="T93">
        <v>2965491.8</v>
      </c>
      <c r="U93">
        <v>2461744.6</v>
      </c>
      <c r="V93">
        <v>21360</v>
      </c>
      <c r="W93">
        <v>144768.20000000001</v>
      </c>
      <c r="Y93">
        <v>0.44471540739759802</v>
      </c>
      <c r="Z93">
        <v>0.8560472303885035</v>
      </c>
      <c r="AA93">
        <v>0.85850930326851083</v>
      </c>
      <c r="AB93">
        <v>0.54728572760359384</v>
      </c>
      <c r="AC93">
        <v>0.74354919458855873</v>
      </c>
      <c r="AD93">
        <v>1.131377794011496</v>
      </c>
      <c r="AE93">
        <v>1.2169149446650409</v>
      </c>
      <c r="AF93">
        <v>0.4193845850182697</v>
      </c>
      <c r="AG93">
        <v>0.79832104938104753</v>
      </c>
      <c r="AH93">
        <v>7.91079525952227E-2</v>
      </c>
      <c r="AI93">
        <v>0.58385326380375768</v>
      </c>
      <c r="AK93">
        <v>0.44471540739759802</v>
      </c>
      <c r="AL93">
        <v>0.45777273139683528</v>
      </c>
      <c r="AM93">
        <v>0.45943175203865388</v>
      </c>
      <c r="AN93">
        <v>0.54728572760359384</v>
      </c>
      <c r="AO93">
        <v>0.43442619441193531</v>
      </c>
      <c r="AP93">
        <v>1.131377794011496</v>
      </c>
      <c r="AQ93">
        <v>0.5505932025960647</v>
      </c>
      <c r="AR93">
        <v>0.34861334061715749</v>
      </c>
      <c r="AS93">
        <v>0.35919226180994879</v>
      </c>
      <c r="AT93">
        <v>7.91079525952227E-2</v>
      </c>
      <c r="AU93">
        <v>0.44593868320807822</v>
      </c>
      <c r="AW93">
        <v>0.29117815080098808</v>
      </c>
      <c r="AY93">
        <v>1</v>
      </c>
    </row>
    <row r="94" spans="1:51" x14ac:dyDescent="0.3">
      <c r="A94">
        <v>6</v>
      </c>
      <c r="B94" t="s">
        <v>127</v>
      </c>
      <c r="C94" t="s">
        <v>123</v>
      </c>
      <c r="D94" t="s">
        <v>124</v>
      </c>
      <c r="F94" s="7">
        <v>0</v>
      </c>
      <c r="G94" s="7">
        <v>0</v>
      </c>
      <c r="H94" s="3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3578286.8</v>
      </c>
      <c r="O94">
        <v>3608216.8</v>
      </c>
      <c r="P94">
        <v>234725.8</v>
      </c>
      <c r="Q94">
        <v>1868387</v>
      </c>
      <c r="R94">
        <v>217926.39999999999</v>
      </c>
      <c r="S94">
        <v>1819811.6</v>
      </c>
      <c r="T94">
        <v>2964979.6</v>
      </c>
      <c r="U94">
        <v>2477394.4</v>
      </c>
      <c r="V94">
        <v>527.4</v>
      </c>
      <c r="W94">
        <v>2844899.4</v>
      </c>
      <c r="Y94">
        <v>0.39949024759698659</v>
      </c>
      <c r="Z94">
        <v>6.2881164464168249</v>
      </c>
      <c r="AA94">
        <v>6.2688206602586432</v>
      </c>
      <c r="AB94">
        <v>0.37008581879199481</v>
      </c>
      <c r="AC94">
        <v>6.0486680278030693</v>
      </c>
      <c r="AD94">
        <v>1.060795219813008</v>
      </c>
      <c r="AE94">
        <v>6.2613938814494761</v>
      </c>
      <c r="AF94">
        <v>0.40867232895689087</v>
      </c>
      <c r="AG94">
        <v>0.79450864398386334</v>
      </c>
      <c r="AH94">
        <v>7.8896421939133998E-3</v>
      </c>
      <c r="AI94">
        <v>13.49791963597527</v>
      </c>
      <c r="AK94">
        <v>0.39949024759698659</v>
      </c>
      <c r="AL94">
        <v>2.842447936779354</v>
      </c>
      <c r="AM94">
        <v>2.8465658915811218</v>
      </c>
      <c r="AN94">
        <v>0.37008581879199481</v>
      </c>
      <c r="AO94">
        <v>2.6853717030026019</v>
      </c>
      <c r="AP94">
        <v>1.060795219813008</v>
      </c>
      <c r="AQ94">
        <v>2.698621195799205</v>
      </c>
      <c r="AR94">
        <v>0.33735645216656851</v>
      </c>
      <c r="AS94">
        <v>0.36297887400723988</v>
      </c>
      <c r="AT94">
        <v>7.8896421939133998E-3</v>
      </c>
      <c r="AU94">
        <v>11.98439224817557</v>
      </c>
      <c r="AW94">
        <v>0.29651114819571378</v>
      </c>
      <c r="AY94">
        <v>1</v>
      </c>
    </row>
    <row r="95" spans="1:51" x14ac:dyDescent="0.3">
      <c r="A95">
        <v>6</v>
      </c>
      <c r="B95" t="s">
        <v>128</v>
      </c>
      <c r="C95" t="s">
        <v>123</v>
      </c>
      <c r="D95" t="s">
        <v>124</v>
      </c>
      <c r="F95" s="7">
        <v>0</v>
      </c>
      <c r="G95" s="7">
        <v>1</v>
      </c>
      <c r="H95" s="3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793767.8</v>
      </c>
      <c r="O95">
        <v>792834.8</v>
      </c>
      <c r="P95">
        <v>869599.8</v>
      </c>
      <c r="Q95">
        <v>384019</v>
      </c>
      <c r="R95">
        <v>1407443.4</v>
      </c>
      <c r="S95">
        <v>313688.8</v>
      </c>
      <c r="T95">
        <v>3038410.8</v>
      </c>
      <c r="U95">
        <v>2526175.6</v>
      </c>
      <c r="V95">
        <v>2238261</v>
      </c>
      <c r="W95">
        <v>1270688.2</v>
      </c>
      <c r="Y95">
        <v>1.263480119616724</v>
      </c>
      <c r="Z95">
        <v>1.092781116964761</v>
      </c>
      <c r="AA95">
        <v>1.085530032566749</v>
      </c>
      <c r="AB95">
        <v>1.2152948332019149</v>
      </c>
      <c r="AC95">
        <v>0.94691844022017901</v>
      </c>
      <c r="AD95">
        <v>2.2308321717893711</v>
      </c>
      <c r="AE95">
        <v>1.2554184164037001</v>
      </c>
      <c r="AF95">
        <v>0.48643642720999197</v>
      </c>
      <c r="AG95">
        <v>0.88857755108037961</v>
      </c>
      <c r="AH95">
        <v>3.1908217324060391</v>
      </c>
      <c r="AI95">
        <v>2.1169072114047589</v>
      </c>
      <c r="AK95">
        <v>1.263480119616724</v>
      </c>
      <c r="AL95">
        <v>0.55221335698151963</v>
      </c>
      <c r="AM95">
        <v>0.54746163497911771</v>
      </c>
      <c r="AN95">
        <v>1.2152948332019149</v>
      </c>
      <c r="AO95">
        <v>0.52536475340020838</v>
      </c>
      <c r="AP95">
        <v>2.2308321717893711</v>
      </c>
      <c r="AQ95">
        <v>0.58831009822897617</v>
      </c>
      <c r="AR95">
        <v>0.3737473484245129</v>
      </c>
      <c r="AS95">
        <v>0.37357559517258782</v>
      </c>
      <c r="AT95">
        <v>3.1908217324060391</v>
      </c>
      <c r="AU95">
        <v>1.0525147610227581</v>
      </c>
      <c r="AW95">
        <v>0.29989860439673061</v>
      </c>
      <c r="AY95">
        <v>1</v>
      </c>
    </row>
    <row r="96" spans="1:51" x14ac:dyDescent="0.3">
      <c r="A96">
        <v>6</v>
      </c>
      <c r="B96" t="s">
        <v>129</v>
      </c>
      <c r="C96" t="s">
        <v>123</v>
      </c>
      <c r="D96" t="s">
        <v>124</v>
      </c>
      <c r="F96" s="7">
        <v>0</v>
      </c>
      <c r="G96" s="7">
        <v>0</v>
      </c>
      <c r="H96" s="3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612609.4</v>
      </c>
      <c r="O96">
        <v>612590</v>
      </c>
      <c r="P96">
        <v>286209.59999999998</v>
      </c>
      <c r="Q96">
        <v>260013.4</v>
      </c>
      <c r="R96">
        <v>228253.6</v>
      </c>
      <c r="S96">
        <v>238487.8</v>
      </c>
      <c r="T96">
        <v>3037943.2</v>
      </c>
      <c r="U96">
        <v>2513656.7999999998</v>
      </c>
      <c r="V96">
        <v>543614</v>
      </c>
      <c r="W96">
        <v>376809.8</v>
      </c>
      <c r="Y96">
        <v>0.59488167702220385</v>
      </c>
      <c r="Z96">
        <v>0.87031750392634422</v>
      </c>
      <c r="AA96">
        <v>0.86131739661796014</v>
      </c>
      <c r="AB96">
        <v>0.47180705899372699</v>
      </c>
      <c r="AC96">
        <v>0.72841694600647311</v>
      </c>
      <c r="AD96">
        <v>1.061003327404614</v>
      </c>
      <c r="AE96">
        <v>1.2391473986208441</v>
      </c>
      <c r="AF96">
        <v>0.47728294096887108</v>
      </c>
      <c r="AG96">
        <v>0.87542120723519479</v>
      </c>
      <c r="AH96">
        <v>0.94585640659788628</v>
      </c>
      <c r="AI96">
        <v>0.89163915984099729</v>
      </c>
      <c r="AK96">
        <v>0.59488167702220385</v>
      </c>
      <c r="AL96">
        <v>0.47704407578567037</v>
      </c>
      <c r="AM96">
        <v>0.47299827920505783</v>
      </c>
      <c r="AN96">
        <v>0.47180705899372699</v>
      </c>
      <c r="AO96">
        <v>0.42710650101071218</v>
      </c>
      <c r="AP96">
        <v>1.061003327404614</v>
      </c>
      <c r="AQ96">
        <v>0.59745392263866959</v>
      </c>
      <c r="AR96">
        <v>0.36238011717796331</v>
      </c>
      <c r="AS96">
        <v>0.36976207162952052</v>
      </c>
      <c r="AT96">
        <v>0.94585640659788628</v>
      </c>
      <c r="AU96">
        <v>0.62611483978107574</v>
      </c>
      <c r="AW96">
        <v>0.2943632183945738</v>
      </c>
      <c r="AY96">
        <v>1</v>
      </c>
    </row>
    <row r="97" spans="1:51" x14ac:dyDescent="0.3">
      <c r="A97">
        <v>6</v>
      </c>
      <c r="B97" t="s">
        <v>130</v>
      </c>
      <c r="C97" t="s">
        <v>123</v>
      </c>
      <c r="D97" t="s">
        <v>124</v>
      </c>
      <c r="F97" s="7">
        <v>0</v>
      </c>
      <c r="G97" s="7">
        <v>0</v>
      </c>
      <c r="H97" s="3">
        <v>0</v>
      </c>
      <c r="I97">
        <f t="shared" si="2"/>
        <v>0</v>
      </c>
      <c r="J97">
        <f t="shared" si="3"/>
        <v>1</v>
      </c>
      <c r="K97">
        <v>3</v>
      </c>
      <c r="L97">
        <v>0</v>
      </c>
      <c r="M97">
        <v>659628.4</v>
      </c>
      <c r="N97">
        <v>631831.80000000005</v>
      </c>
      <c r="O97">
        <v>632201</v>
      </c>
      <c r="P97">
        <v>736767.4</v>
      </c>
      <c r="Q97">
        <v>341284.6</v>
      </c>
      <c r="R97">
        <v>484121.4</v>
      </c>
      <c r="S97">
        <v>310558.8</v>
      </c>
      <c r="T97">
        <v>2971883.6</v>
      </c>
      <c r="U97">
        <v>2459071</v>
      </c>
      <c r="V97">
        <v>470268.2</v>
      </c>
      <c r="W97">
        <v>150449.60000000001</v>
      </c>
      <c r="Y97">
        <v>0.66389228439657022</v>
      </c>
      <c r="Z97">
        <v>0.88935536658391356</v>
      </c>
      <c r="AA97">
        <v>0.89255098135909061</v>
      </c>
      <c r="AB97">
        <v>0.65014853019965813</v>
      </c>
      <c r="AC97">
        <v>0.72186508958693596</v>
      </c>
      <c r="AD97">
        <v>1.2037840472185051</v>
      </c>
      <c r="AE97">
        <v>1.260048898973037</v>
      </c>
      <c r="AF97">
        <v>0.406359136372339</v>
      </c>
      <c r="AG97">
        <v>0.7997965630842373</v>
      </c>
      <c r="AH97">
        <v>0.7100850929855369</v>
      </c>
      <c r="AI97">
        <v>0.61132793001597752</v>
      </c>
      <c r="AK97">
        <v>0.66389228439657022</v>
      </c>
      <c r="AL97">
        <v>0.47258335899095982</v>
      </c>
      <c r="AM97">
        <v>0.4792382195824757</v>
      </c>
      <c r="AN97">
        <v>0.65014853019965813</v>
      </c>
      <c r="AO97">
        <v>0.41993822918739171</v>
      </c>
      <c r="AP97">
        <v>1.2037840472185051</v>
      </c>
      <c r="AQ97">
        <v>0.60610129260458057</v>
      </c>
      <c r="AR97">
        <v>0.33736308017978439</v>
      </c>
      <c r="AS97">
        <v>0.36493213878711678</v>
      </c>
      <c r="AT97">
        <v>0.7100850929855369</v>
      </c>
      <c r="AU97">
        <v>0.46943812681129199</v>
      </c>
      <c r="AW97">
        <v>0.29475766238756479</v>
      </c>
      <c r="AY97">
        <v>1</v>
      </c>
    </row>
    <row r="98" spans="1:51" x14ac:dyDescent="0.3">
      <c r="A98">
        <v>6</v>
      </c>
      <c r="B98" t="s">
        <v>131</v>
      </c>
      <c r="C98" t="s">
        <v>123</v>
      </c>
      <c r="D98" t="s">
        <v>124</v>
      </c>
      <c r="F98" s="7">
        <v>0</v>
      </c>
      <c r="G98" s="7">
        <v>1</v>
      </c>
      <c r="H98" s="3">
        <v>0</v>
      </c>
      <c r="I98">
        <f t="shared" si="2"/>
        <v>0</v>
      </c>
      <c r="J98">
        <f t="shared" si="3"/>
        <v>1</v>
      </c>
      <c r="K98">
        <v>3</v>
      </c>
      <c r="L98">
        <v>0</v>
      </c>
      <c r="M98">
        <v>233765.6</v>
      </c>
      <c r="N98">
        <v>3522656.8</v>
      </c>
      <c r="O98">
        <v>3602551.4</v>
      </c>
      <c r="P98">
        <v>251124.6</v>
      </c>
      <c r="Q98">
        <v>1903894.4</v>
      </c>
      <c r="R98">
        <v>199467.4</v>
      </c>
      <c r="S98">
        <v>1859704.4</v>
      </c>
      <c r="T98">
        <v>2971089.2</v>
      </c>
      <c r="U98">
        <v>2480078.4</v>
      </c>
      <c r="V98">
        <v>1120.2</v>
      </c>
      <c r="W98">
        <v>2676654</v>
      </c>
      <c r="Y98">
        <v>0.33470535740489138</v>
      </c>
      <c r="Z98">
        <v>5.9345396379823798</v>
      </c>
      <c r="AA98">
        <v>5.9747474317089653</v>
      </c>
      <c r="AB98">
        <v>0.38110072380513882</v>
      </c>
      <c r="AC98">
        <v>5.4883679393446076</v>
      </c>
      <c r="AD98">
        <v>1.084136099612806</v>
      </c>
      <c r="AE98">
        <v>5.9704399767448191</v>
      </c>
      <c r="AF98">
        <v>0.40786382296355439</v>
      </c>
      <c r="AG98">
        <v>0.80677221475634719</v>
      </c>
      <c r="AH98">
        <v>1.2047738395631259E-2</v>
      </c>
      <c r="AI98">
        <v>12.887814067408909</v>
      </c>
      <c r="AK98">
        <v>0.33470535740489138</v>
      </c>
      <c r="AL98">
        <v>2.8922812843928112</v>
      </c>
      <c r="AM98">
        <v>2.9426674232119701</v>
      </c>
      <c r="AN98">
        <v>0.38110072380513882</v>
      </c>
      <c r="AO98">
        <v>2.7317263925855508</v>
      </c>
      <c r="AP98">
        <v>1.084136099612806</v>
      </c>
      <c r="AQ98">
        <v>2.866489502566401</v>
      </c>
      <c r="AR98">
        <v>0.33612027397612099</v>
      </c>
      <c r="AS98">
        <v>0.37141668942058459</v>
      </c>
      <c r="AT98">
        <v>1.2047738395631259E-2</v>
      </c>
      <c r="AU98">
        <v>11.69507102540229</v>
      </c>
      <c r="AW98">
        <v>0.31479301919462149</v>
      </c>
      <c r="AY98">
        <v>1</v>
      </c>
    </row>
    <row r="99" spans="1:51" x14ac:dyDescent="0.3">
      <c r="A99">
        <v>7</v>
      </c>
      <c r="B99" t="s">
        <v>132</v>
      </c>
      <c r="C99" t="s">
        <v>133</v>
      </c>
      <c r="D99" t="s">
        <v>134</v>
      </c>
      <c r="F99" s="7">
        <v>0</v>
      </c>
      <c r="G99" s="7">
        <v>0</v>
      </c>
      <c r="H99" s="3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1525355.6</v>
      </c>
      <c r="O99">
        <v>1516412.8</v>
      </c>
      <c r="P99">
        <v>1014775</v>
      </c>
      <c r="Q99">
        <v>994170.8</v>
      </c>
      <c r="R99">
        <v>972987.4</v>
      </c>
      <c r="S99">
        <v>1469711.2</v>
      </c>
      <c r="T99">
        <v>4884451.4000000004</v>
      </c>
      <c r="U99">
        <v>3630636.4</v>
      </c>
      <c r="V99">
        <v>855986.4</v>
      </c>
      <c r="W99">
        <v>1306299.3999999999</v>
      </c>
      <c r="Y99">
        <v>1.456298658391461</v>
      </c>
      <c r="Z99">
        <v>1.6854570538271221</v>
      </c>
      <c r="AA99">
        <v>1.6728627583826889</v>
      </c>
      <c r="AB99">
        <v>1.428671989392023</v>
      </c>
      <c r="AC99">
        <v>1.6753078465873841</v>
      </c>
      <c r="AD99">
        <v>0.96331279800506309</v>
      </c>
      <c r="AE99">
        <v>1.6353416622034269</v>
      </c>
      <c r="AF99">
        <v>2.4620721736107951</v>
      </c>
      <c r="AG99">
        <v>2.2758745971834289</v>
      </c>
      <c r="AH99">
        <v>3.0306152006029148</v>
      </c>
      <c r="AI99">
        <v>3.269303354225122</v>
      </c>
      <c r="AK99">
        <v>1.456298658391461</v>
      </c>
      <c r="AL99">
        <v>0.70283249439671636</v>
      </c>
      <c r="AM99">
        <v>0.6946530389715917</v>
      </c>
      <c r="AN99">
        <v>1.428671989392023</v>
      </c>
      <c r="AO99">
        <v>0.74160709119169044</v>
      </c>
      <c r="AP99">
        <v>0.96331279800506309</v>
      </c>
      <c r="AQ99">
        <v>0.82907707242993633</v>
      </c>
      <c r="AR99">
        <v>1.2901712926221081</v>
      </c>
      <c r="AS99">
        <v>0.53194878058275208</v>
      </c>
      <c r="AT99">
        <v>3.0306152006029148</v>
      </c>
      <c r="AU99">
        <v>1.933006677555386</v>
      </c>
      <c r="AW99">
        <v>0.30913543538190419</v>
      </c>
      <c r="AY99">
        <v>1</v>
      </c>
    </row>
    <row r="100" spans="1:51" x14ac:dyDescent="0.3">
      <c r="A100">
        <v>7</v>
      </c>
      <c r="B100" t="s">
        <v>135</v>
      </c>
      <c r="C100" t="s">
        <v>133</v>
      </c>
      <c r="D100" t="s">
        <v>134</v>
      </c>
      <c r="F100" s="7">
        <v>0</v>
      </c>
      <c r="G100" s="7">
        <v>1</v>
      </c>
      <c r="H100" s="3">
        <v>0</v>
      </c>
      <c r="I100">
        <f t="shared" si="2"/>
        <v>0</v>
      </c>
      <c r="J100">
        <f t="shared" si="3"/>
        <v>1</v>
      </c>
      <c r="K100">
        <v>3</v>
      </c>
      <c r="L100">
        <v>0</v>
      </c>
      <c r="M100">
        <v>3089676</v>
      </c>
      <c r="N100">
        <v>2176554.4</v>
      </c>
      <c r="O100">
        <v>2278571.6</v>
      </c>
      <c r="P100">
        <v>4290516.2</v>
      </c>
      <c r="Q100">
        <v>1513596.8</v>
      </c>
      <c r="R100">
        <v>3206274.8</v>
      </c>
      <c r="S100">
        <v>2323359.4</v>
      </c>
      <c r="T100">
        <v>4895271.2</v>
      </c>
      <c r="U100">
        <v>3640586.8</v>
      </c>
      <c r="V100">
        <v>7112350.4000000004</v>
      </c>
      <c r="W100">
        <v>2563976</v>
      </c>
      <c r="Y100">
        <v>3.0030792121891858</v>
      </c>
      <c r="Z100">
        <v>2.1423156183911489</v>
      </c>
      <c r="AA100">
        <v>2.185918522998691</v>
      </c>
      <c r="AB100">
        <v>3.9793162535934239</v>
      </c>
      <c r="AC100">
        <v>2.2105827374034561</v>
      </c>
      <c r="AD100">
        <v>2.5926256582024512</v>
      </c>
      <c r="AE100">
        <v>2.1944194128154781</v>
      </c>
      <c r="AF100">
        <v>2.468258591368794</v>
      </c>
      <c r="AG100">
        <v>2.27461631357437</v>
      </c>
      <c r="AH100">
        <v>5.2371682088123626</v>
      </c>
      <c r="AI100">
        <v>4.2901823549647817</v>
      </c>
      <c r="AK100">
        <v>3.0030792121891858</v>
      </c>
      <c r="AL100">
        <v>0.81889104380970823</v>
      </c>
      <c r="AM100">
        <v>0.86686861437046903</v>
      </c>
      <c r="AN100">
        <v>3.9793162535934239</v>
      </c>
      <c r="AO100">
        <v>0.90867223879904491</v>
      </c>
      <c r="AP100">
        <v>2.5926256582024512</v>
      </c>
      <c r="AQ100">
        <v>0.89849473143694925</v>
      </c>
      <c r="AR100">
        <v>1.2908132075681349</v>
      </c>
      <c r="AS100">
        <v>0.52891313533764328</v>
      </c>
      <c r="AT100">
        <v>5.2371682088123626</v>
      </c>
      <c r="AU100">
        <v>2.6569703325512819</v>
      </c>
      <c r="AW100">
        <v>0.30866499240510159</v>
      </c>
      <c r="AY100">
        <v>1</v>
      </c>
    </row>
    <row r="101" spans="1:51" x14ac:dyDescent="0.3">
      <c r="A101">
        <v>7</v>
      </c>
      <c r="B101" t="s">
        <v>136</v>
      </c>
      <c r="C101" t="s">
        <v>133</v>
      </c>
      <c r="D101" t="s">
        <v>134</v>
      </c>
      <c r="F101" s="7">
        <v>0</v>
      </c>
      <c r="G101" s="7">
        <v>1</v>
      </c>
      <c r="H101" s="3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1830596.8</v>
      </c>
      <c r="O101">
        <v>1832314</v>
      </c>
      <c r="P101">
        <v>326637</v>
      </c>
      <c r="Q101">
        <v>942983.6</v>
      </c>
      <c r="R101">
        <v>207457.4</v>
      </c>
      <c r="S101">
        <v>1134841.2</v>
      </c>
      <c r="T101">
        <v>3452162.6</v>
      </c>
      <c r="U101">
        <v>3387027.2</v>
      </c>
      <c r="V101">
        <v>751336.8</v>
      </c>
      <c r="W101">
        <v>1404187.2</v>
      </c>
      <c r="Y101">
        <v>0.9282685626065359</v>
      </c>
      <c r="Z101">
        <v>1.797607336565852</v>
      </c>
      <c r="AA101">
        <v>1.7916738384054041</v>
      </c>
      <c r="AB101">
        <v>0.72444107760093179</v>
      </c>
      <c r="AC101">
        <v>1.601314287807327</v>
      </c>
      <c r="AD101">
        <v>0.80546978939091785</v>
      </c>
      <c r="AE101">
        <v>1.8390558660030361</v>
      </c>
      <c r="AF101">
        <v>1.244923089200165</v>
      </c>
      <c r="AG101">
        <v>1.992978560598567</v>
      </c>
      <c r="AH101">
        <v>2.4774779692059381</v>
      </c>
      <c r="AI101">
        <v>2.970979766431264</v>
      </c>
      <c r="AK101">
        <v>0.9282685626065359</v>
      </c>
      <c r="AL101">
        <v>0.76116628637537365</v>
      </c>
      <c r="AM101">
        <v>0.75821461479645225</v>
      </c>
      <c r="AN101">
        <v>0.72444107760093179</v>
      </c>
      <c r="AO101">
        <v>0.70184311200864613</v>
      </c>
      <c r="AP101">
        <v>0.80546978939091785</v>
      </c>
      <c r="AQ101">
        <v>0.72731759061571211</v>
      </c>
      <c r="AR101">
        <v>0.68233210981125014</v>
      </c>
      <c r="AS101">
        <v>0.51540582197485496</v>
      </c>
      <c r="AT101">
        <v>2.4774779692059381</v>
      </c>
      <c r="AU101">
        <v>1.6752364744083019</v>
      </c>
      <c r="AW101">
        <v>0.31132679918082429</v>
      </c>
      <c r="AY101">
        <v>1</v>
      </c>
    </row>
    <row r="102" spans="1:51" x14ac:dyDescent="0.3">
      <c r="A102">
        <v>7</v>
      </c>
      <c r="B102" t="s">
        <v>137</v>
      </c>
      <c r="C102" t="s">
        <v>133</v>
      </c>
      <c r="D102" t="s">
        <v>134</v>
      </c>
      <c r="F102" s="7">
        <v>0</v>
      </c>
      <c r="G102" s="7">
        <v>0</v>
      </c>
      <c r="H102" s="3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1553359.6</v>
      </c>
      <c r="O102">
        <v>1583319.8</v>
      </c>
      <c r="P102">
        <v>1086458.3999999999</v>
      </c>
      <c r="Q102">
        <v>1283827</v>
      </c>
      <c r="R102">
        <v>521542.6</v>
      </c>
      <c r="S102">
        <v>1253619.8</v>
      </c>
      <c r="T102">
        <v>3447800.2</v>
      </c>
      <c r="U102">
        <v>3389023.2</v>
      </c>
      <c r="V102">
        <v>1751115.2</v>
      </c>
      <c r="W102">
        <v>1870183</v>
      </c>
      <c r="Y102">
        <v>0.90215354121755809</v>
      </c>
      <c r="Z102">
        <v>1.6732662024325691</v>
      </c>
      <c r="AA102">
        <v>1.6781955043552439</v>
      </c>
      <c r="AB102">
        <v>1.372373148798943</v>
      </c>
      <c r="AC102">
        <v>1.9355691691976971</v>
      </c>
      <c r="AD102">
        <v>1.2268704082118349</v>
      </c>
      <c r="AE102">
        <v>1.9723218376282601</v>
      </c>
      <c r="AF102">
        <v>1.233290986367501</v>
      </c>
      <c r="AG102">
        <v>1.9845514507731421</v>
      </c>
      <c r="AH102">
        <v>3.3301359287928789</v>
      </c>
      <c r="AI102">
        <v>3.0605813437956391</v>
      </c>
      <c r="AK102">
        <v>0.90215354121755809</v>
      </c>
      <c r="AL102">
        <v>0.70374364439630877</v>
      </c>
      <c r="AM102">
        <v>0.70894543341128158</v>
      </c>
      <c r="AN102">
        <v>1.372373148798943</v>
      </c>
      <c r="AO102">
        <v>0.96945331799797718</v>
      </c>
      <c r="AP102">
        <v>1.2268704082118349</v>
      </c>
      <c r="AQ102">
        <v>0.90640675364993517</v>
      </c>
      <c r="AR102">
        <v>0.6793059237650596</v>
      </c>
      <c r="AS102">
        <v>0.51122415277641264</v>
      </c>
      <c r="AT102">
        <v>3.3301359287928789</v>
      </c>
      <c r="AU102">
        <v>1.6366358557948839</v>
      </c>
      <c r="AW102">
        <v>0.31985095819691189</v>
      </c>
      <c r="AY102">
        <v>1</v>
      </c>
    </row>
    <row r="103" spans="1:51" x14ac:dyDescent="0.3">
      <c r="A103">
        <v>7</v>
      </c>
      <c r="B103" t="s">
        <v>138</v>
      </c>
      <c r="C103" t="s">
        <v>133</v>
      </c>
      <c r="D103" t="s">
        <v>134</v>
      </c>
      <c r="F103" s="7">
        <v>0</v>
      </c>
      <c r="G103" s="7">
        <v>1</v>
      </c>
      <c r="H103" s="3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1400665.2</v>
      </c>
      <c r="O103">
        <v>1440819.6</v>
      </c>
      <c r="P103">
        <v>347999.6</v>
      </c>
      <c r="Q103">
        <v>803979</v>
      </c>
      <c r="R103">
        <v>181533.6</v>
      </c>
      <c r="S103">
        <v>963744.8</v>
      </c>
      <c r="T103">
        <v>3664953.4</v>
      </c>
      <c r="U103">
        <v>3267087.6</v>
      </c>
      <c r="V103">
        <v>272164</v>
      </c>
      <c r="W103">
        <v>985166</v>
      </c>
      <c r="Y103">
        <v>1.6964513551793059</v>
      </c>
      <c r="Z103">
        <v>1.525782381987665</v>
      </c>
      <c r="AA103">
        <v>1.530840218323283</v>
      </c>
      <c r="AB103">
        <v>0.76458566839573905</v>
      </c>
      <c r="AC103">
        <v>1.357404874206986</v>
      </c>
      <c r="AD103">
        <v>0.77443775578867646</v>
      </c>
      <c r="AE103">
        <v>1.6373106384184211</v>
      </c>
      <c r="AF103">
        <v>1.4935339043731799</v>
      </c>
      <c r="AG103">
        <v>1.9470979113481011</v>
      </c>
      <c r="AH103">
        <v>2.0133713909774089</v>
      </c>
      <c r="AI103">
        <v>2.3024505731766109</v>
      </c>
      <c r="AK103">
        <v>1.6964513551793059</v>
      </c>
      <c r="AL103">
        <v>0.6244151880033314</v>
      </c>
      <c r="AM103">
        <v>0.63499048998346552</v>
      </c>
      <c r="AN103">
        <v>0.76458566839573905</v>
      </c>
      <c r="AO103">
        <v>0.6115530708048027</v>
      </c>
      <c r="AP103">
        <v>0.77443775578867646</v>
      </c>
      <c r="AQ103">
        <v>0.7663616792298853</v>
      </c>
      <c r="AR103">
        <v>0.8408928861957975</v>
      </c>
      <c r="AS103">
        <v>0.47354266326874489</v>
      </c>
      <c r="AT103">
        <v>2.0133713909774089</v>
      </c>
      <c r="AU103">
        <v>1.4327660552109589</v>
      </c>
      <c r="AW103">
        <v>0.31128543922677637</v>
      </c>
      <c r="AY103">
        <v>1</v>
      </c>
    </row>
    <row r="104" spans="1:51" x14ac:dyDescent="0.3">
      <c r="A104">
        <v>7</v>
      </c>
      <c r="B104" t="s">
        <v>139</v>
      </c>
      <c r="C104" t="s">
        <v>133</v>
      </c>
      <c r="D104" t="s">
        <v>134</v>
      </c>
      <c r="F104" s="7">
        <v>0</v>
      </c>
      <c r="G104" s="7">
        <v>0</v>
      </c>
      <c r="H104" s="3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1587779</v>
      </c>
      <c r="O104">
        <v>1627162.8</v>
      </c>
      <c r="P104">
        <v>482415.4</v>
      </c>
      <c r="Q104">
        <v>908769.8</v>
      </c>
      <c r="R104">
        <v>132356.4</v>
      </c>
      <c r="S104">
        <v>1301884</v>
      </c>
      <c r="T104">
        <v>3657574.2</v>
      </c>
      <c r="U104">
        <v>3261589.6</v>
      </c>
      <c r="V104">
        <v>207770.4</v>
      </c>
      <c r="W104">
        <v>1275848.2</v>
      </c>
      <c r="Y104">
        <v>0.78654659840976815</v>
      </c>
      <c r="Z104">
        <v>1.699365795194171</v>
      </c>
      <c r="AA104">
        <v>1.7090310601633969</v>
      </c>
      <c r="AB104">
        <v>0.63725188679527489</v>
      </c>
      <c r="AC104">
        <v>1.561242184782168</v>
      </c>
      <c r="AD104">
        <v>0.70805182099575181</v>
      </c>
      <c r="AE104">
        <v>2.056274801597465</v>
      </c>
      <c r="AF104">
        <v>1.481003822817001</v>
      </c>
      <c r="AG104">
        <v>1.9425477701239291</v>
      </c>
      <c r="AH104">
        <v>2.2167987136170271</v>
      </c>
      <c r="AI104">
        <v>2.939628873020411</v>
      </c>
      <c r="AK104">
        <v>0.78654659840976815</v>
      </c>
      <c r="AL104">
        <v>0.62960539739578958</v>
      </c>
      <c r="AM104">
        <v>0.63899147697957237</v>
      </c>
      <c r="AN104">
        <v>0.63725188679527489</v>
      </c>
      <c r="AO104">
        <v>0.63485294780693946</v>
      </c>
      <c r="AP104">
        <v>0.70805182099575181</v>
      </c>
      <c r="AQ104">
        <v>0.83492494459496813</v>
      </c>
      <c r="AR104">
        <v>0.83409525620518254</v>
      </c>
      <c r="AS104">
        <v>0.47130931803258141</v>
      </c>
      <c r="AT104">
        <v>2.2167987136170271</v>
      </c>
      <c r="AU104">
        <v>1.693574017600622</v>
      </c>
      <c r="AW104">
        <v>0.31869916860014202</v>
      </c>
      <c r="AY104">
        <v>1</v>
      </c>
    </row>
    <row r="105" spans="1:51" x14ac:dyDescent="0.3">
      <c r="A105">
        <v>7</v>
      </c>
      <c r="B105" t="s">
        <v>140</v>
      </c>
      <c r="C105" t="s">
        <v>133</v>
      </c>
      <c r="D105" t="s">
        <v>134</v>
      </c>
      <c r="F105" s="7">
        <v>0</v>
      </c>
      <c r="G105" s="7">
        <v>0</v>
      </c>
      <c r="H105" s="3">
        <v>0</v>
      </c>
      <c r="I105">
        <f t="shared" si="2"/>
        <v>0</v>
      </c>
      <c r="J105">
        <f t="shared" si="3"/>
        <v>1</v>
      </c>
      <c r="K105">
        <v>3</v>
      </c>
      <c r="L105">
        <v>0</v>
      </c>
      <c r="M105">
        <v>2682862.4</v>
      </c>
      <c r="N105">
        <v>1691330.6</v>
      </c>
      <c r="O105">
        <v>1723338.2</v>
      </c>
      <c r="P105">
        <v>246323.20000000001</v>
      </c>
      <c r="Q105">
        <v>969230.4</v>
      </c>
      <c r="R105">
        <v>200260.6</v>
      </c>
      <c r="S105">
        <v>838101.6</v>
      </c>
      <c r="T105">
        <v>3638570</v>
      </c>
      <c r="U105">
        <v>2959207.8</v>
      </c>
      <c r="V105">
        <v>37841.800000000003</v>
      </c>
      <c r="W105">
        <v>925093</v>
      </c>
      <c r="Y105">
        <v>1.745694319007453</v>
      </c>
      <c r="Z105">
        <v>1.716103114862926</v>
      </c>
      <c r="AA105">
        <v>1.7142646994208921</v>
      </c>
      <c r="AB105">
        <v>0.45498863999964673</v>
      </c>
      <c r="AC105">
        <v>1.439080766175175</v>
      </c>
      <c r="AD105">
        <v>0.96728387459879739</v>
      </c>
      <c r="AE105">
        <v>1.786951903789304</v>
      </c>
      <c r="AF105">
        <v>1.3283972396166059</v>
      </c>
      <c r="AG105">
        <v>1.634031138941646</v>
      </c>
      <c r="AH105">
        <v>0.26132479119114582</v>
      </c>
      <c r="AI105">
        <v>2.4435945400153281</v>
      </c>
      <c r="AK105">
        <v>1.745694319007453</v>
      </c>
      <c r="AL105">
        <v>0.75612755059264602</v>
      </c>
      <c r="AM105">
        <v>0.76308088639052585</v>
      </c>
      <c r="AN105">
        <v>0.45498863999964673</v>
      </c>
      <c r="AO105">
        <v>0.65886190559831448</v>
      </c>
      <c r="AP105">
        <v>0.96728387459879739</v>
      </c>
      <c r="AQ105">
        <v>0.66019484341377388</v>
      </c>
      <c r="AR105">
        <v>0.76758728881832217</v>
      </c>
      <c r="AS105">
        <v>0.47472405281150709</v>
      </c>
      <c r="AT105">
        <v>0.26132479119114582</v>
      </c>
      <c r="AU105">
        <v>1.4698657757951881</v>
      </c>
      <c r="AW105">
        <v>0.31306007818784559</v>
      </c>
      <c r="AY105">
        <v>1</v>
      </c>
    </row>
    <row r="106" spans="1:51" x14ac:dyDescent="0.3">
      <c r="A106">
        <v>7</v>
      </c>
      <c r="B106" t="s">
        <v>141</v>
      </c>
      <c r="C106" t="s">
        <v>133</v>
      </c>
      <c r="D106" t="s">
        <v>134</v>
      </c>
      <c r="F106" s="7">
        <v>0</v>
      </c>
      <c r="G106" s="7">
        <v>1</v>
      </c>
      <c r="H106" s="3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1463686.2</v>
      </c>
      <c r="O106">
        <v>1458491.6</v>
      </c>
      <c r="P106">
        <v>220160.4</v>
      </c>
      <c r="Q106">
        <v>782000.8</v>
      </c>
      <c r="R106">
        <v>192620.2</v>
      </c>
      <c r="S106">
        <v>671037.6</v>
      </c>
      <c r="T106">
        <v>3639713.4</v>
      </c>
      <c r="U106">
        <v>2936900</v>
      </c>
      <c r="V106">
        <v>127144.4</v>
      </c>
      <c r="W106">
        <v>824454.6</v>
      </c>
      <c r="Y106">
        <v>2.6877138279960491</v>
      </c>
      <c r="Z106">
        <v>1.520326089148875</v>
      </c>
      <c r="AA106">
        <v>1.5138194609549831</v>
      </c>
      <c r="AB106">
        <v>0.50040889119845811</v>
      </c>
      <c r="AC106">
        <v>1.2294087870279331</v>
      </c>
      <c r="AD106">
        <v>1.01959764220519</v>
      </c>
      <c r="AE106">
        <v>1.548378719005268</v>
      </c>
      <c r="AF106">
        <v>1.341624005197082</v>
      </c>
      <c r="AG106">
        <v>1.6147361852927129</v>
      </c>
      <c r="AH106">
        <v>1.2631843969807961</v>
      </c>
      <c r="AI106">
        <v>2.0751613830332638</v>
      </c>
      <c r="AK106">
        <v>2.6877138279960491</v>
      </c>
      <c r="AL106">
        <v>0.65719865764258434</v>
      </c>
      <c r="AM106">
        <v>0.65290518098045136</v>
      </c>
      <c r="AN106">
        <v>0.50040889119845811</v>
      </c>
      <c r="AO106">
        <v>0.57072015982121227</v>
      </c>
      <c r="AP106">
        <v>1.01959764220519</v>
      </c>
      <c r="AQ106">
        <v>0.60308017738861963</v>
      </c>
      <c r="AR106">
        <v>0.76602443119045349</v>
      </c>
      <c r="AS106">
        <v>0.46126665235497061</v>
      </c>
      <c r="AT106">
        <v>1.2631843969807961</v>
      </c>
      <c r="AU106">
        <v>1.2525718376156869</v>
      </c>
      <c r="AW106">
        <v>0.30553381521021938</v>
      </c>
      <c r="AY106">
        <v>1</v>
      </c>
    </row>
    <row r="107" spans="1:51" x14ac:dyDescent="0.3">
      <c r="A107">
        <v>7</v>
      </c>
      <c r="B107" t="s">
        <v>142</v>
      </c>
      <c r="C107" t="s">
        <v>143</v>
      </c>
      <c r="D107" t="s">
        <v>144</v>
      </c>
      <c r="F107" s="7">
        <v>0</v>
      </c>
      <c r="G107" s="7">
        <v>0</v>
      </c>
      <c r="H107" s="3">
        <v>0</v>
      </c>
      <c r="I107">
        <f t="shared" si="2"/>
        <v>0</v>
      </c>
      <c r="J107">
        <f t="shared" si="3"/>
        <v>1</v>
      </c>
      <c r="K107">
        <v>3</v>
      </c>
      <c r="L107">
        <v>0</v>
      </c>
      <c r="M107">
        <v>1828962.8</v>
      </c>
      <c r="N107">
        <v>2190960</v>
      </c>
      <c r="O107">
        <v>2222125.2000000002</v>
      </c>
      <c r="P107">
        <v>2367710.2000000002</v>
      </c>
      <c r="Q107">
        <v>1577062.6</v>
      </c>
      <c r="R107">
        <v>1918490.2</v>
      </c>
      <c r="S107">
        <v>2077524.2</v>
      </c>
      <c r="T107">
        <v>4494862</v>
      </c>
      <c r="U107">
        <v>3459104.8</v>
      </c>
      <c r="V107">
        <v>2724994.2</v>
      </c>
      <c r="W107">
        <v>2451722.2000000002</v>
      </c>
      <c r="Y107">
        <v>2.1395707193994888</v>
      </c>
      <c r="Z107">
        <v>2.1337933343718758</v>
      </c>
      <c r="AA107">
        <v>2.1315243028220721</v>
      </c>
      <c r="AB107">
        <v>2.5059401838050692</v>
      </c>
      <c r="AC107">
        <v>2.129259609797737</v>
      </c>
      <c r="AD107">
        <v>1.5484804902109319</v>
      </c>
      <c r="AE107">
        <v>1.988799061998725</v>
      </c>
      <c r="AF107">
        <v>2.019852626032661</v>
      </c>
      <c r="AG107">
        <v>1.9950871239765551</v>
      </c>
      <c r="AH107">
        <v>3.7925724416156301</v>
      </c>
      <c r="AI107">
        <v>4.4795995967462661</v>
      </c>
      <c r="AK107">
        <v>2.1395707193994888</v>
      </c>
      <c r="AL107">
        <v>0.94610662359045816</v>
      </c>
      <c r="AM107">
        <v>0.95283488141139971</v>
      </c>
      <c r="AN107">
        <v>2.5059401838050692</v>
      </c>
      <c r="AO107">
        <v>1.0121953025925901</v>
      </c>
      <c r="AP107">
        <v>1.5484804902109319</v>
      </c>
      <c r="AQ107">
        <v>1.063423825206701</v>
      </c>
      <c r="AR107">
        <v>1.284200364421122</v>
      </c>
      <c r="AS107">
        <v>0.51541935625718904</v>
      </c>
      <c r="AT107">
        <v>3.7925724416156301</v>
      </c>
      <c r="AU107">
        <v>2.8360970896086659</v>
      </c>
      <c r="AW107">
        <v>0.30429900760063899</v>
      </c>
      <c r="AY107">
        <v>1</v>
      </c>
    </row>
    <row r="108" spans="1:51" x14ac:dyDescent="0.3">
      <c r="A108">
        <v>7</v>
      </c>
      <c r="B108" t="s">
        <v>145</v>
      </c>
      <c r="C108" t="s">
        <v>143</v>
      </c>
      <c r="D108" t="s">
        <v>144</v>
      </c>
      <c r="F108" s="7">
        <v>0</v>
      </c>
      <c r="G108" s="7">
        <v>1</v>
      </c>
      <c r="H108" s="3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1504932.6</v>
      </c>
      <c r="O108">
        <v>1495434.4</v>
      </c>
      <c r="P108">
        <v>5105499.2</v>
      </c>
      <c r="Q108">
        <v>888110</v>
      </c>
      <c r="R108">
        <v>1304607.3999999999</v>
      </c>
      <c r="S108">
        <v>1455833</v>
      </c>
      <c r="T108">
        <v>4489197</v>
      </c>
      <c r="U108">
        <v>3451463.2</v>
      </c>
      <c r="V108">
        <v>2425089.7999999998</v>
      </c>
      <c r="W108">
        <v>1180278.3999999999</v>
      </c>
      <c r="Y108">
        <v>1.904775869601872</v>
      </c>
      <c r="Z108">
        <v>1.6018611673964189</v>
      </c>
      <c r="AA108">
        <v>1.593666713009589</v>
      </c>
      <c r="AB108">
        <v>4.940544171392685</v>
      </c>
      <c r="AC108">
        <v>1.437288277590415</v>
      </c>
      <c r="AD108">
        <v>1.885691276798025</v>
      </c>
      <c r="AE108">
        <v>1.9091440278571099</v>
      </c>
      <c r="AF108">
        <v>2.0330784966354258</v>
      </c>
      <c r="AG108">
        <v>1.9974661115324119</v>
      </c>
      <c r="AH108">
        <v>3.597805362404324</v>
      </c>
      <c r="AI108">
        <v>2.6437025305815038</v>
      </c>
      <c r="AK108">
        <v>1.904775869601872</v>
      </c>
      <c r="AL108">
        <v>0.79685368940699841</v>
      </c>
      <c r="AM108">
        <v>0.79050311479950319</v>
      </c>
      <c r="AN108">
        <v>4.940544171392685</v>
      </c>
      <c r="AO108">
        <v>0.76705741899204438</v>
      </c>
      <c r="AP108">
        <v>1.885691276798025</v>
      </c>
      <c r="AQ108">
        <v>1.1042019312269991</v>
      </c>
      <c r="AR108">
        <v>1.295602944819257</v>
      </c>
      <c r="AS108">
        <v>0.51878873778041457</v>
      </c>
      <c r="AT108">
        <v>3.597805362404324</v>
      </c>
      <c r="AU108">
        <v>1.569852407812141</v>
      </c>
      <c r="AW108">
        <v>0.30249831118853759</v>
      </c>
      <c r="AY108">
        <v>1</v>
      </c>
    </row>
    <row r="109" spans="1:51" x14ac:dyDescent="0.3">
      <c r="A109">
        <v>7</v>
      </c>
      <c r="B109" t="s">
        <v>146</v>
      </c>
      <c r="C109" t="s">
        <v>143</v>
      </c>
      <c r="D109" t="s">
        <v>144</v>
      </c>
      <c r="F109" s="7">
        <v>0</v>
      </c>
      <c r="G109" s="7">
        <v>1</v>
      </c>
      <c r="H109" s="3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1473398.4</v>
      </c>
      <c r="O109">
        <v>1491405.2</v>
      </c>
      <c r="P109">
        <v>744153.2</v>
      </c>
      <c r="Q109">
        <v>731607.4</v>
      </c>
      <c r="R109">
        <v>443271</v>
      </c>
      <c r="S109">
        <v>1085912.3999999999</v>
      </c>
      <c r="T109">
        <v>3433139.4</v>
      </c>
      <c r="U109">
        <v>3318754.8</v>
      </c>
      <c r="V109">
        <v>1904336.6</v>
      </c>
      <c r="W109">
        <v>1425079.4</v>
      </c>
      <c r="Y109">
        <v>0.73730986440787094</v>
      </c>
      <c r="Z109">
        <v>1.5873895369702951</v>
      </c>
      <c r="AA109">
        <v>1.5881308493553661</v>
      </c>
      <c r="AB109">
        <v>0.74041516559664156</v>
      </c>
      <c r="AC109">
        <v>1.3764606676122639</v>
      </c>
      <c r="AD109">
        <v>0.93494628618936981</v>
      </c>
      <c r="AE109">
        <v>1.7972450419911179</v>
      </c>
      <c r="AF109">
        <v>1.1320204925374131</v>
      </c>
      <c r="AG109">
        <v>1.8287729748990389</v>
      </c>
      <c r="AH109">
        <v>3.3041046186001042</v>
      </c>
      <c r="AI109">
        <v>2.8066606355598198</v>
      </c>
      <c r="AK109">
        <v>0.73730986440787094</v>
      </c>
      <c r="AL109">
        <v>0.65209215561626477</v>
      </c>
      <c r="AM109">
        <v>0.65774521880084647</v>
      </c>
      <c r="AN109">
        <v>0.74041516559664156</v>
      </c>
      <c r="AO109">
        <v>0.60084137400845061</v>
      </c>
      <c r="AP109">
        <v>0.93494628618936981</v>
      </c>
      <c r="AQ109">
        <v>0.74543568217195566</v>
      </c>
      <c r="AR109">
        <v>0.66204044176265597</v>
      </c>
      <c r="AS109">
        <v>0.51523735356749967</v>
      </c>
      <c r="AT109">
        <v>3.3041046186001042</v>
      </c>
      <c r="AU109">
        <v>1.4364900709828361</v>
      </c>
      <c r="AW109">
        <v>0.30534110580338159</v>
      </c>
      <c r="AY109">
        <v>1</v>
      </c>
    </row>
    <row r="110" spans="1:51" x14ac:dyDescent="0.3">
      <c r="A110">
        <v>7</v>
      </c>
      <c r="B110" t="s">
        <v>147</v>
      </c>
      <c r="C110" t="s">
        <v>143</v>
      </c>
      <c r="D110" t="s">
        <v>144</v>
      </c>
      <c r="F110" s="7">
        <v>0</v>
      </c>
      <c r="G110" s="7">
        <v>0</v>
      </c>
      <c r="H110" s="3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1248890.6000000001</v>
      </c>
      <c r="O110">
        <v>1256580.6000000001</v>
      </c>
      <c r="P110">
        <v>286664</v>
      </c>
      <c r="Q110">
        <v>583264.80000000005</v>
      </c>
      <c r="R110">
        <v>171907.4</v>
      </c>
      <c r="S110">
        <v>779411.4</v>
      </c>
      <c r="T110">
        <v>3430780.6</v>
      </c>
      <c r="U110">
        <v>3311038.4</v>
      </c>
      <c r="V110">
        <v>2180.1999999999998</v>
      </c>
      <c r="W110">
        <v>1039442.6</v>
      </c>
      <c r="Y110">
        <v>0.42179171220632272</v>
      </c>
      <c r="Z110">
        <v>1.400093524181284</v>
      </c>
      <c r="AA110">
        <v>1.4022388508426959</v>
      </c>
      <c r="AB110">
        <v>0.43503060440416452</v>
      </c>
      <c r="AC110">
        <v>1.2321067234035581</v>
      </c>
      <c r="AD110">
        <v>0.57720556518761446</v>
      </c>
      <c r="AE110">
        <v>1.5455745553947049</v>
      </c>
      <c r="AF110">
        <v>1.126902866631281</v>
      </c>
      <c r="AG110">
        <v>1.8093356667552141</v>
      </c>
      <c r="AH110">
        <v>9.3076895922422197E-3</v>
      </c>
      <c r="AI110">
        <v>2.0020666474127209</v>
      </c>
      <c r="AK110">
        <v>0.42179171220632272</v>
      </c>
      <c r="AL110">
        <v>0.61746538340812551</v>
      </c>
      <c r="AM110">
        <v>0.61915945700602604</v>
      </c>
      <c r="AN110">
        <v>0.43503060440416452</v>
      </c>
      <c r="AO110">
        <v>0.6545239122177009</v>
      </c>
      <c r="AP110">
        <v>0.57720556518761446</v>
      </c>
      <c r="AQ110">
        <v>0.72171396461781112</v>
      </c>
      <c r="AR110">
        <v>0.66311374022625391</v>
      </c>
      <c r="AS110">
        <v>0.50669986880384388</v>
      </c>
      <c r="AT110">
        <v>9.3076895922422197E-3</v>
      </c>
      <c r="AU110">
        <v>1.2376343646086749</v>
      </c>
      <c r="AW110">
        <v>0.3060434126062318</v>
      </c>
      <c r="AY110">
        <v>1</v>
      </c>
    </row>
    <row r="111" spans="1:51" x14ac:dyDescent="0.3">
      <c r="A111">
        <v>7</v>
      </c>
      <c r="B111" t="s">
        <v>148</v>
      </c>
      <c r="C111" t="s">
        <v>143</v>
      </c>
      <c r="D111" t="s">
        <v>144</v>
      </c>
      <c r="F111" s="7">
        <v>0</v>
      </c>
      <c r="G111" s="7">
        <v>1</v>
      </c>
      <c r="H111" s="3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1144004.2</v>
      </c>
      <c r="O111">
        <v>1144875.6000000001</v>
      </c>
      <c r="P111">
        <v>337782.4</v>
      </c>
      <c r="Q111">
        <v>624904</v>
      </c>
      <c r="R111">
        <v>228596.2</v>
      </c>
      <c r="S111">
        <v>907778.8</v>
      </c>
      <c r="T111">
        <v>3588745.6</v>
      </c>
      <c r="U111">
        <v>3188178</v>
      </c>
      <c r="V111">
        <v>442924.2</v>
      </c>
      <c r="W111">
        <v>1166188.3999999999</v>
      </c>
      <c r="Y111">
        <v>1.058324048586655</v>
      </c>
      <c r="Z111">
        <v>1.375427062192466</v>
      </c>
      <c r="AA111">
        <v>1.361343169142492</v>
      </c>
      <c r="AB111">
        <v>0.80639232000685301</v>
      </c>
      <c r="AC111">
        <v>1.191139152005781</v>
      </c>
      <c r="AD111">
        <v>1.040916044195183</v>
      </c>
      <c r="AE111">
        <v>1.713138400786556</v>
      </c>
      <c r="AF111">
        <v>1.302283638343215</v>
      </c>
      <c r="AG111">
        <v>1.7291884127072989</v>
      </c>
      <c r="AH111">
        <v>2.5439871140057222</v>
      </c>
      <c r="AI111">
        <v>2.3992316446150652</v>
      </c>
      <c r="AK111">
        <v>1.058324048586655</v>
      </c>
      <c r="AL111">
        <v>0.57160762300482015</v>
      </c>
      <c r="AM111">
        <v>0.56202245060121636</v>
      </c>
      <c r="AN111">
        <v>0.80639232000685301</v>
      </c>
      <c r="AO111">
        <v>0.50269683001097287</v>
      </c>
      <c r="AP111">
        <v>1.040916044195183</v>
      </c>
      <c r="AQ111">
        <v>0.75369047480635343</v>
      </c>
      <c r="AR111">
        <v>0.75731314995791765</v>
      </c>
      <c r="AS111">
        <v>0.44568268116563559</v>
      </c>
      <c r="AT111">
        <v>2.5439871140057222</v>
      </c>
      <c r="AU111">
        <v>1.397224984632339</v>
      </c>
      <c r="AW111">
        <v>0.30939905779669058</v>
      </c>
      <c r="AY111">
        <v>1</v>
      </c>
    </row>
    <row r="112" spans="1:51" x14ac:dyDescent="0.3">
      <c r="A112">
        <v>7</v>
      </c>
      <c r="B112" t="s">
        <v>149</v>
      </c>
      <c r="C112" t="s">
        <v>143</v>
      </c>
      <c r="D112" t="s">
        <v>144</v>
      </c>
      <c r="F112" s="7">
        <v>0</v>
      </c>
      <c r="G112" s="7">
        <v>0</v>
      </c>
      <c r="H112" s="3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1230659</v>
      </c>
      <c r="O112">
        <v>1233903.8</v>
      </c>
      <c r="P112">
        <v>801108.4</v>
      </c>
      <c r="Q112">
        <v>715721.6</v>
      </c>
      <c r="R112">
        <v>417479.4</v>
      </c>
      <c r="S112">
        <v>802088.4</v>
      </c>
      <c r="T112">
        <v>3588444.8</v>
      </c>
      <c r="U112">
        <v>3177877.4</v>
      </c>
      <c r="V112">
        <v>1857730</v>
      </c>
      <c r="W112">
        <v>1770498.6</v>
      </c>
      <c r="Y112">
        <v>2.0521801395923829</v>
      </c>
      <c r="Z112">
        <v>1.4026525362045501</v>
      </c>
      <c r="AA112">
        <v>1.392528187774587</v>
      </c>
      <c r="AB112">
        <v>0.95564904980710708</v>
      </c>
      <c r="AC112">
        <v>1.1811651814088691</v>
      </c>
      <c r="AD112">
        <v>1.0664413081831301</v>
      </c>
      <c r="AE112">
        <v>1.608205518999603</v>
      </c>
      <c r="AF112">
        <v>1.302760542789474</v>
      </c>
      <c r="AG112">
        <v>1.725426454900298</v>
      </c>
      <c r="AH112">
        <v>2.5491833240026609</v>
      </c>
      <c r="AI112">
        <v>2.308249683061149</v>
      </c>
      <c r="AK112">
        <v>2.0521801395923829</v>
      </c>
      <c r="AL112">
        <v>0.5874223330058157</v>
      </c>
      <c r="AM112">
        <v>0.58212495101615791</v>
      </c>
      <c r="AN112">
        <v>0.95564904980710708</v>
      </c>
      <c r="AO112">
        <v>0.5438389183895197</v>
      </c>
      <c r="AP112">
        <v>1.0664413081831301</v>
      </c>
      <c r="AQ112">
        <v>0.60858146179234607</v>
      </c>
      <c r="AR112">
        <v>0.76455958279548208</v>
      </c>
      <c r="AS112">
        <v>0.45177986057242381</v>
      </c>
      <c r="AT112">
        <v>2.5491833240026609</v>
      </c>
      <c r="AU112">
        <v>1.491369919816498</v>
      </c>
      <c r="AW112">
        <v>0.30978567820275199</v>
      </c>
      <c r="AY112">
        <v>1</v>
      </c>
    </row>
    <row r="113" spans="1:51" x14ac:dyDescent="0.3">
      <c r="A113">
        <v>7</v>
      </c>
      <c r="B113" t="s">
        <v>150</v>
      </c>
      <c r="C113" t="s">
        <v>143</v>
      </c>
      <c r="D113" t="s">
        <v>144</v>
      </c>
      <c r="F113" s="7">
        <v>0</v>
      </c>
      <c r="G113" s="7">
        <v>0</v>
      </c>
      <c r="H113" s="3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1068136.6000000001</v>
      </c>
      <c r="O113">
        <v>1093264.2</v>
      </c>
      <c r="P113">
        <v>215606.2</v>
      </c>
      <c r="Q113">
        <v>659921.6</v>
      </c>
      <c r="R113">
        <v>187974.39999999999</v>
      </c>
      <c r="S113">
        <v>597100.19999999995</v>
      </c>
      <c r="T113">
        <v>3963477.2</v>
      </c>
      <c r="U113">
        <v>2937733.8</v>
      </c>
      <c r="V113">
        <v>48474.400000000001</v>
      </c>
      <c r="W113">
        <v>781316</v>
      </c>
      <c r="Y113">
        <v>0.67152852339204405</v>
      </c>
      <c r="Z113">
        <v>1.2763953271904029</v>
      </c>
      <c r="AA113">
        <v>1.2903611731715501</v>
      </c>
      <c r="AB113">
        <v>0.40401123219635338</v>
      </c>
      <c r="AC113">
        <v>1.125608510390157</v>
      </c>
      <c r="AD113">
        <v>0.95614297580905261</v>
      </c>
      <c r="AE113">
        <v>1.590762715332676</v>
      </c>
      <c r="AF113">
        <v>1.480055097606964</v>
      </c>
      <c r="AG113">
        <v>1.4942947623902001</v>
      </c>
      <c r="AH113">
        <v>0.43120336519787089</v>
      </c>
      <c r="AI113">
        <v>1.8528971992316661</v>
      </c>
      <c r="AK113">
        <v>0.67152852339204405</v>
      </c>
      <c r="AL113">
        <v>0.5988436534069479</v>
      </c>
      <c r="AM113">
        <v>0.61027100456412886</v>
      </c>
      <c r="AN113">
        <v>0.40401123219635338</v>
      </c>
      <c r="AO113">
        <v>0.54774605978745972</v>
      </c>
      <c r="AP113">
        <v>0.95614297580905261</v>
      </c>
      <c r="AQ113">
        <v>0.6075111657846719</v>
      </c>
      <c r="AR113">
        <v>1.0428193803993051</v>
      </c>
      <c r="AS113">
        <v>0.46399472658522428</v>
      </c>
      <c r="AT113">
        <v>0.43120336519787089</v>
      </c>
      <c r="AU113">
        <v>1.042164178623352</v>
      </c>
      <c r="AW113">
        <v>0.30771982260048392</v>
      </c>
      <c r="AY113">
        <v>1</v>
      </c>
    </row>
    <row r="114" spans="1:51" x14ac:dyDescent="0.3">
      <c r="A114">
        <v>7</v>
      </c>
      <c r="B114" t="s">
        <v>151</v>
      </c>
      <c r="C114" t="s">
        <v>143</v>
      </c>
      <c r="D114" t="s">
        <v>144</v>
      </c>
      <c r="F114" s="7">
        <v>0</v>
      </c>
      <c r="G114" s="7">
        <v>1</v>
      </c>
      <c r="H114" s="3">
        <v>0</v>
      </c>
      <c r="I114">
        <f t="shared" si="2"/>
        <v>0</v>
      </c>
      <c r="J114">
        <f t="shared" si="3"/>
        <v>1</v>
      </c>
      <c r="K114">
        <v>3</v>
      </c>
      <c r="L114">
        <v>0</v>
      </c>
      <c r="M114">
        <v>26181323.199999999</v>
      </c>
      <c r="N114">
        <v>27506366.399999999</v>
      </c>
      <c r="O114">
        <v>27594191.600000001</v>
      </c>
      <c r="P114">
        <v>13188082.199999999</v>
      </c>
      <c r="Q114">
        <v>27044422.600000001</v>
      </c>
      <c r="R114">
        <v>13092143</v>
      </c>
      <c r="S114">
        <v>26937736</v>
      </c>
      <c r="T114">
        <v>3990877.2</v>
      </c>
      <c r="U114">
        <v>3027840.6</v>
      </c>
      <c r="V114">
        <v>20097045</v>
      </c>
      <c r="W114">
        <v>29593774.199999999</v>
      </c>
      <c r="Y114">
        <v>56.260184481600298</v>
      </c>
      <c r="Z114">
        <v>37.616588410385887</v>
      </c>
      <c r="AA114">
        <v>37.526952290220649</v>
      </c>
      <c r="AB114">
        <v>80.751274892810031</v>
      </c>
      <c r="AC114">
        <v>44.65357267379877</v>
      </c>
      <c r="AD114">
        <v>49.192597248824313</v>
      </c>
      <c r="AE114">
        <v>44.85447076780256</v>
      </c>
      <c r="AF114">
        <v>1.4455513165681619</v>
      </c>
      <c r="AG114">
        <v>1.490926673577633</v>
      </c>
      <c r="AH114">
        <v>12.34857160260435</v>
      </c>
      <c r="AI114">
        <v>36.601885260618289</v>
      </c>
      <c r="AK114">
        <v>56.260184481600298</v>
      </c>
      <c r="AL114">
        <v>36.45671945923241</v>
      </c>
      <c r="AM114">
        <v>36.36190376699669</v>
      </c>
      <c r="AN114">
        <v>80.751274892810031</v>
      </c>
      <c r="AO114">
        <v>43.676095260796139</v>
      </c>
      <c r="AP114">
        <v>49.192597248824313</v>
      </c>
      <c r="AQ114">
        <v>43.678467658592851</v>
      </c>
      <c r="AR114">
        <v>1.02590670977952</v>
      </c>
      <c r="AS114">
        <v>0.47472880245186388</v>
      </c>
      <c r="AT114">
        <v>12.34857160260435</v>
      </c>
      <c r="AU114">
        <v>35.374837822001417</v>
      </c>
      <c r="AW114">
        <v>0.31111389781581239</v>
      </c>
      <c r="AY114">
        <v>1</v>
      </c>
    </row>
    <row r="115" spans="1:51" x14ac:dyDescent="0.3">
      <c r="A115">
        <v>8</v>
      </c>
      <c r="B115" t="s">
        <v>152</v>
      </c>
      <c r="C115" t="s">
        <v>153</v>
      </c>
      <c r="D115" t="s">
        <v>154</v>
      </c>
      <c r="F115" s="7">
        <v>0</v>
      </c>
      <c r="G115" s="7">
        <v>0</v>
      </c>
      <c r="H115" s="3">
        <v>0</v>
      </c>
      <c r="I115">
        <f t="shared" si="2"/>
        <v>0</v>
      </c>
      <c r="J115">
        <f t="shared" si="3"/>
        <v>1</v>
      </c>
      <c r="K115">
        <v>3</v>
      </c>
      <c r="L115">
        <v>0</v>
      </c>
      <c r="M115">
        <v>1503065.2</v>
      </c>
      <c r="N115">
        <v>961528.2</v>
      </c>
      <c r="O115">
        <v>965965</v>
      </c>
      <c r="P115">
        <v>3564945.4</v>
      </c>
      <c r="Q115">
        <v>378950.6</v>
      </c>
      <c r="R115">
        <v>2087235.8</v>
      </c>
      <c r="S115">
        <v>441001.8</v>
      </c>
      <c r="T115">
        <v>3146374.2</v>
      </c>
      <c r="U115">
        <v>2723049.4</v>
      </c>
      <c r="V115">
        <v>2710669.2</v>
      </c>
      <c r="W115">
        <v>609814.4</v>
      </c>
      <c r="Y115">
        <v>1.7491386696114199</v>
      </c>
      <c r="Z115">
        <v>1.270554306800477</v>
      </c>
      <c r="AA115">
        <v>1.2507028112537231</v>
      </c>
      <c r="AB115">
        <v>3.5010167010070292</v>
      </c>
      <c r="AC115">
        <v>0.89768049539416095</v>
      </c>
      <c r="AD115">
        <v>2.5428594561875801</v>
      </c>
      <c r="AE115">
        <v>1.1780319219687949</v>
      </c>
      <c r="AF115">
        <v>0.89479764058487488</v>
      </c>
      <c r="AG115">
        <v>1.221480691432953</v>
      </c>
      <c r="AH115">
        <v>3.41240490040509</v>
      </c>
      <c r="AI115">
        <v>2.406106167018879</v>
      </c>
      <c r="AK115">
        <v>1.7491386696114199</v>
      </c>
      <c r="AL115">
        <v>0.71699467860162258</v>
      </c>
      <c r="AM115">
        <v>0.70357013940811153</v>
      </c>
      <c r="AN115">
        <v>3.5010167010070292</v>
      </c>
      <c r="AO115">
        <v>0.5387833782064263</v>
      </c>
      <c r="AP115">
        <v>2.5428594561875801</v>
      </c>
      <c r="AQ115">
        <v>0.65038607977330687</v>
      </c>
      <c r="AR115">
        <v>0.46726057239575308</v>
      </c>
      <c r="AS115">
        <v>0.46030932599678642</v>
      </c>
      <c r="AT115">
        <v>3.41240490040509</v>
      </c>
      <c r="AU115">
        <v>1.500710284814704</v>
      </c>
      <c r="AW115">
        <v>0.30303055179538202</v>
      </c>
      <c r="AY115">
        <v>1</v>
      </c>
    </row>
    <row r="116" spans="1:51" x14ac:dyDescent="0.3">
      <c r="A116">
        <v>8</v>
      </c>
      <c r="B116" t="s">
        <v>155</v>
      </c>
      <c r="C116" t="s">
        <v>153</v>
      </c>
      <c r="D116" t="s">
        <v>154</v>
      </c>
      <c r="F116" s="7">
        <v>0</v>
      </c>
      <c r="G116" s="7">
        <v>1</v>
      </c>
      <c r="H116" s="3">
        <v>0</v>
      </c>
      <c r="I116">
        <f t="shared" si="2"/>
        <v>0</v>
      </c>
      <c r="J116">
        <f t="shared" si="3"/>
        <v>1</v>
      </c>
      <c r="K116">
        <v>3</v>
      </c>
      <c r="L116">
        <v>0</v>
      </c>
      <c r="M116">
        <v>671697</v>
      </c>
      <c r="N116">
        <v>928965.4</v>
      </c>
      <c r="O116">
        <v>931455.2</v>
      </c>
      <c r="P116">
        <v>1307813</v>
      </c>
      <c r="Q116">
        <v>237366.39999999999</v>
      </c>
      <c r="R116">
        <v>969468.4</v>
      </c>
      <c r="S116">
        <v>216870.2</v>
      </c>
      <c r="T116">
        <v>2930421.6</v>
      </c>
      <c r="U116">
        <v>2477515.4</v>
      </c>
      <c r="V116">
        <v>891210.8</v>
      </c>
      <c r="W116">
        <v>417234.6</v>
      </c>
      <c r="Y116">
        <v>0.74167945398949087</v>
      </c>
      <c r="Z116">
        <v>1.0993017396540381</v>
      </c>
      <c r="AA116">
        <v>1.092860866396222</v>
      </c>
      <c r="AB116">
        <v>1.240959039604058</v>
      </c>
      <c r="AC116">
        <v>0.65821736460202374</v>
      </c>
      <c r="AD116">
        <v>1.8179088436067099</v>
      </c>
      <c r="AE116">
        <v>1.2619720421731471</v>
      </c>
      <c r="AF116">
        <v>0.61949599344516171</v>
      </c>
      <c r="AG116">
        <v>0.94338371378835295</v>
      </c>
      <c r="AH116">
        <v>2.7515814410056918</v>
      </c>
      <c r="AI116">
        <v>0.83193012740230188</v>
      </c>
      <c r="AK116">
        <v>0.74167945398949087</v>
      </c>
      <c r="AL116">
        <v>0.73791943481191991</v>
      </c>
      <c r="AM116">
        <v>0.7333839730243199</v>
      </c>
      <c r="AN116">
        <v>1.240959039604058</v>
      </c>
      <c r="AO116">
        <v>0.42318447420839223</v>
      </c>
      <c r="AP116">
        <v>1.8179088436067099</v>
      </c>
      <c r="AQ116">
        <v>0.66930668439017604</v>
      </c>
      <c r="AR116">
        <v>0.35496853264048689</v>
      </c>
      <c r="AS116">
        <v>0.42256817135494201</v>
      </c>
      <c r="AT116">
        <v>2.7515814410056918</v>
      </c>
      <c r="AU116">
        <v>0.61374989938922231</v>
      </c>
      <c r="AW116">
        <v>0.30426416122354571</v>
      </c>
      <c r="AY116">
        <v>1</v>
      </c>
    </row>
    <row r="117" spans="1:51" x14ac:dyDescent="0.3">
      <c r="A117">
        <v>8</v>
      </c>
      <c r="B117" t="s">
        <v>156</v>
      </c>
      <c r="C117" t="s">
        <v>153</v>
      </c>
      <c r="D117" t="s">
        <v>154</v>
      </c>
      <c r="F117" s="7">
        <v>0</v>
      </c>
      <c r="G117" s="7">
        <v>1</v>
      </c>
      <c r="H117" s="3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980726.8</v>
      </c>
      <c r="O117">
        <v>980472</v>
      </c>
      <c r="P117">
        <v>211034.2</v>
      </c>
      <c r="Q117">
        <v>731553.8</v>
      </c>
      <c r="R117">
        <v>203632.2</v>
      </c>
      <c r="S117">
        <v>1605076.8</v>
      </c>
      <c r="T117">
        <v>3140626</v>
      </c>
      <c r="U117">
        <v>2718513</v>
      </c>
      <c r="V117">
        <v>91534.6</v>
      </c>
      <c r="W117">
        <v>2287849.4</v>
      </c>
      <c r="Y117">
        <v>0.55381625938462098</v>
      </c>
      <c r="Z117">
        <v>1.3268461823929101</v>
      </c>
      <c r="AA117">
        <v>1.315848850167822</v>
      </c>
      <c r="AB117">
        <v>0.4300360654015094</v>
      </c>
      <c r="AC117">
        <v>1.2915634303877599</v>
      </c>
      <c r="AD117">
        <v>1.16148661240004</v>
      </c>
      <c r="AE117">
        <v>2.0022077801288112</v>
      </c>
      <c r="AF117">
        <v>0.88213910940103235</v>
      </c>
      <c r="AG117">
        <v>1.2111761188134551</v>
      </c>
      <c r="AH117">
        <v>0.3430446584010497</v>
      </c>
      <c r="AI117">
        <v>2.625538433005568</v>
      </c>
      <c r="AK117">
        <v>0.55381625938462098</v>
      </c>
      <c r="AL117">
        <v>0.77531689221505073</v>
      </c>
      <c r="AM117">
        <v>0.77091780558694156</v>
      </c>
      <c r="AN117">
        <v>0.4300360654015094</v>
      </c>
      <c r="AO117">
        <v>0.8995696643833071</v>
      </c>
      <c r="AP117">
        <v>1.16148661240004</v>
      </c>
      <c r="AQ117">
        <v>1.319502304168418</v>
      </c>
      <c r="AR117">
        <v>0.45578558220295229</v>
      </c>
      <c r="AS117">
        <v>0.46091777855763211</v>
      </c>
      <c r="AT117">
        <v>0.3430446584010497</v>
      </c>
      <c r="AU117">
        <v>1.4955283266026529</v>
      </c>
      <c r="AW117">
        <v>0.29286442740121849</v>
      </c>
      <c r="AY117">
        <v>1</v>
      </c>
    </row>
    <row r="118" spans="1:51" x14ac:dyDescent="0.3">
      <c r="A118">
        <v>8</v>
      </c>
      <c r="B118" t="s">
        <v>157</v>
      </c>
      <c r="C118" t="s">
        <v>153</v>
      </c>
      <c r="D118" t="s">
        <v>154</v>
      </c>
      <c r="F118" s="7">
        <v>0</v>
      </c>
      <c r="G118" s="7">
        <v>0</v>
      </c>
      <c r="H118" s="3">
        <v>0</v>
      </c>
      <c r="I118">
        <f t="shared" si="2"/>
        <v>0</v>
      </c>
      <c r="J118">
        <f t="shared" si="3"/>
        <v>1</v>
      </c>
      <c r="K118">
        <v>3</v>
      </c>
      <c r="L118">
        <v>0</v>
      </c>
      <c r="M118">
        <v>467016.4</v>
      </c>
      <c r="N118">
        <v>789763.8</v>
      </c>
      <c r="O118">
        <v>791618.2</v>
      </c>
      <c r="P118">
        <v>297050</v>
      </c>
      <c r="Q118">
        <v>383798.6</v>
      </c>
      <c r="R118">
        <v>223017.2</v>
      </c>
      <c r="S118">
        <v>280395</v>
      </c>
      <c r="T118">
        <v>2927316.4</v>
      </c>
      <c r="U118">
        <v>2472511.6</v>
      </c>
      <c r="V118">
        <v>5865.2</v>
      </c>
      <c r="W118">
        <v>403962.4</v>
      </c>
      <c r="Y118">
        <v>0.4737640131963417</v>
      </c>
      <c r="Z118">
        <v>1.015196665830445</v>
      </c>
      <c r="AA118">
        <v>1.00679670056561</v>
      </c>
      <c r="AB118">
        <v>0.39141310899285597</v>
      </c>
      <c r="AC118">
        <v>0.82111258297809397</v>
      </c>
      <c r="AD118">
        <v>0.92535916059277956</v>
      </c>
      <c r="AE118">
        <v>1.28543186665047</v>
      </c>
      <c r="AF118">
        <v>0.61987180981086565</v>
      </c>
      <c r="AG118">
        <v>0.93248466372024263</v>
      </c>
      <c r="AH118">
        <v>2.377157318405802E-2</v>
      </c>
      <c r="AI118">
        <v>0.89075096624437722</v>
      </c>
      <c r="AK118">
        <v>0.4737640131963417</v>
      </c>
      <c r="AL118">
        <v>0.64418743719579652</v>
      </c>
      <c r="AM118">
        <v>0.64173432160168886</v>
      </c>
      <c r="AN118">
        <v>0.39141310899285597</v>
      </c>
      <c r="AO118">
        <v>0.52410386839765122</v>
      </c>
      <c r="AP118">
        <v>0.92535916059277956</v>
      </c>
      <c r="AQ118">
        <v>0.69221881938865404</v>
      </c>
      <c r="AR118">
        <v>0.35151932139415287</v>
      </c>
      <c r="AS118">
        <v>0.41656333324499428</v>
      </c>
      <c r="AT118">
        <v>2.377157318405802E-2</v>
      </c>
      <c r="AU118">
        <v>0.71343646923778581</v>
      </c>
      <c r="AW118">
        <v>0.30051691560074689</v>
      </c>
      <c r="AY118">
        <v>1</v>
      </c>
    </row>
    <row r="119" spans="1:51" x14ac:dyDescent="0.3">
      <c r="A119">
        <v>8</v>
      </c>
      <c r="B119" t="s">
        <v>158</v>
      </c>
      <c r="C119" t="s">
        <v>153</v>
      </c>
      <c r="D119" t="s">
        <v>154</v>
      </c>
      <c r="F119" s="7">
        <v>0</v>
      </c>
      <c r="G119" s="7">
        <v>1</v>
      </c>
      <c r="H119" s="3">
        <v>0</v>
      </c>
      <c r="I119">
        <f t="shared" si="2"/>
        <v>0</v>
      </c>
      <c r="J119">
        <f t="shared" si="3"/>
        <v>1</v>
      </c>
      <c r="K119">
        <v>3</v>
      </c>
      <c r="L119">
        <v>0</v>
      </c>
      <c r="M119">
        <v>795350.4</v>
      </c>
      <c r="N119">
        <v>752143.4</v>
      </c>
      <c r="O119">
        <v>752504.4</v>
      </c>
      <c r="P119">
        <v>1605108.4</v>
      </c>
      <c r="Q119">
        <v>275652.8</v>
      </c>
      <c r="R119">
        <v>1105939.6000000001</v>
      </c>
      <c r="S119">
        <v>226584</v>
      </c>
      <c r="T119">
        <v>3211572.8</v>
      </c>
      <c r="U119">
        <v>2684571.8</v>
      </c>
      <c r="V119">
        <v>914901.2</v>
      </c>
      <c r="W119">
        <v>285725.2</v>
      </c>
      <c r="Y119">
        <v>0.84915595519123599</v>
      </c>
      <c r="Z119">
        <v>0.97450676121516155</v>
      </c>
      <c r="AA119">
        <v>0.97794622196815906</v>
      </c>
      <c r="AB119">
        <v>1.4137507688021289</v>
      </c>
      <c r="AC119">
        <v>0.68898252860526554</v>
      </c>
      <c r="AD119">
        <v>1.984371884388384</v>
      </c>
      <c r="AE119">
        <v>1.2388952583889481</v>
      </c>
      <c r="AF119">
        <v>0.96670598101336513</v>
      </c>
      <c r="AG119">
        <v>1.19257819398772</v>
      </c>
      <c r="AH119">
        <v>2.8603674429934469</v>
      </c>
      <c r="AI119">
        <v>0.86846120123518633</v>
      </c>
      <c r="AK119">
        <v>0.84915595519123599</v>
      </c>
      <c r="AL119">
        <v>0.62330410920549184</v>
      </c>
      <c r="AM119">
        <v>0.62735341178486126</v>
      </c>
      <c r="AN119">
        <v>1.4137507688021289</v>
      </c>
      <c r="AO119">
        <v>0.43171978140017009</v>
      </c>
      <c r="AP119">
        <v>1.984371884388384</v>
      </c>
      <c r="AQ119">
        <v>0.60169837940484283</v>
      </c>
      <c r="AR119">
        <v>0.69705928540788586</v>
      </c>
      <c r="AS119">
        <v>0.58135945819085466</v>
      </c>
      <c r="AT119">
        <v>2.8603674429934469</v>
      </c>
      <c r="AU119">
        <v>0.58573257598327477</v>
      </c>
      <c r="AW119">
        <v>0.2877920304075815</v>
      </c>
      <c r="AY119">
        <v>1</v>
      </c>
    </row>
    <row r="120" spans="1:51" x14ac:dyDescent="0.3">
      <c r="A120">
        <v>8</v>
      </c>
      <c r="B120" t="s">
        <v>159</v>
      </c>
      <c r="C120" t="s">
        <v>153</v>
      </c>
      <c r="D120" t="s">
        <v>154</v>
      </c>
      <c r="F120" s="7">
        <v>0</v>
      </c>
      <c r="G120" s="7">
        <v>0</v>
      </c>
      <c r="H120" s="3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1330097.2</v>
      </c>
      <c r="O120">
        <v>1331846</v>
      </c>
      <c r="P120">
        <v>298349</v>
      </c>
      <c r="Q120">
        <v>313714.8</v>
      </c>
      <c r="R120">
        <v>257198</v>
      </c>
      <c r="S120">
        <v>262304</v>
      </c>
      <c r="T120">
        <v>3925914.4</v>
      </c>
      <c r="U120">
        <v>3472857.2</v>
      </c>
      <c r="V120">
        <v>811</v>
      </c>
      <c r="W120">
        <v>4534408.4000000004</v>
      </c>
      <c r="Y120">
        <v>0.42494397441623732</v>
      </c>
      <c r="Z120">
        <v>1.4896296793478541</v>
      </c>
      <c r="AA120">
        <v>1.4992766797775401</v>
      </c>
      <c r="AB120">
        <v>0.35974112439434969</v>
      </c>
      <c r="AC120">
        <v>0.90380029219668356</v>
      </c>
      <c r="AD120">
        <v>1.0523808391997591</v>
      </c>
      <c r="AE120">
        <v>1.459560625313316</v>
      </c>
      <c r="AF120">
        <v>1.7337277910322879</v>
      </c>
      <c r="AG120">
        <v>2.031709381565451</v>
      </c>
      <c r="AH120">
        <v>5.7398853939957199E-3</v>
      </c>
      <c r="AI120">
        <v>1.9524466530070641</v>
      </c>
      <c r="AK120">
        <v>0.42494397441623732</v>
      </c>
      <c r="AL120">
        <v>1.2110321941785509</v>
      </c>
      <c r="AM120">
        <v>1.2224794090026989</v>
      </c>
      <c r="AN120">
        <v>0.35974112439434969</v>
      </c>
      <c r="AO120">
        <v>0.6752788355981465</v>
      </c>
      <c r="AP120">
        <v>1.0523808391997591</v>
      </c>
      <c r="AQ120">
        <v>0.90446417338680474</v>
      </c>
      <c r="AR120">
        <v>1.231148082041182</v>
      </c>
      <c r="AS120">
        <v>0.82196902058785781</v>
      </c>
      <c r="AT120">
        <v>5.7398853939957199E-3</v>
      </c>
      <c r="AU120">
        <v>1.8325383134186271</v>
      </c>
      <c r="AW120">
        <v>0.28920107699232178</v>
      </c>
      <c r="AY120">
        <v>1</v>
      </c>
    </row>
    <row r="121" spans="1:51" x14ac:dyDescent="0.3">
      <c r="A121">
        <v>8</v>
      </c>
      <c r="B121" t="s">
        <v>160</v>
      </c>
      <c r="C121" t="s">
        <v>153</v>
      </c>
      <c r="D121" t="s">
        <v>154</v>
      </c>
      <c r="F121" s="7">
        <v>0</v>
      </c>
      <c r="G121" s="7">
        <v>0</v>
      </c>
      <c r="H121" s="3">
        <v>0</v>
      </c>
      <c r="I121">
        <f t="shared" si="2"/>
        <v>0</v>
      </c>
      <c r="J121">
        <f t="shared" si="3"/>
        <v>1</v>
      </c>
      <c r="K121">
        <v>3</v>
      </c>
      <c r="L121">
        <v>0</v>
      </c>
      <c r="M121">
        <v>465002</v>
      </c>
      <c r="N121">
        <v>520328.6</v>
      </c>
      <c r="O121">
        <v>521725.4</v>
      </c>
      <c r="P121">
        <v>304031.2</v>
      </c>
      <c r="Q121">
        <v>405429.2</v>
      </c>
      <c r="R121">
        <v>267810</v>
      </c>
      <c r="S121">
        <v>287192.59999999998</v>
      </c>
      <c r="T121">
        <v>3210873.8</v>
      </c>
      <c r="U121">
        <v>2679577</v>
      </c>
      <c r="V121">
        <v>2815.4</v>
      </c>
      <c r="W121">
        <v>449453</v>
      </c>
      <c r="Y121">
        <v>0.46897720441920682</v>
      </c>
      <c r="Z121">
        <v>0.84054008959792559</v>
      </c>
      <c r="AA121">
        <v>0.85015523438341911</v>
      </c>
      <c r="AB121">
        <v>0.36009125639102418</v>
      </c>
      <c r="AC121">
        <v>0.79422849158872855</v>
      </c>
      <c r="AD121">
        <v>0.91606393019901589</v>
      </c>
      <c r="AE121">
        <v>1.2671964877867139</v>
      </c>
      <c r="AF121">
        <v>0.95969568018335849</v>
      </c>
      <c r="AG121">
        <v>1.178067774965893</v>
      </c>
      <c r="AH121">
        <v>1.5194595011416781E-2</v>
      </c>
      <c r="AI121">
        <v>0.89582411838928233</v>
      </c>
      <c r="AK121">
        <v>0.46897720441920682</v>
      </c>
      <c r="AL121">
        <v>0.51652742298319931</v>
      </c>
      <c r="AM121">
        <v>0.5251516163931228</v>
      </c>
      <c r="AN121">
        <v>0.36009125639102418</v>
      </c>
      <c r="AO121">
        <v>0.52750144218443895</v>
      </c>
      <c r="AP121">
        <v>0.91606393019901589</v>
      </c>
      <c r="AQ121">
        <v>0.69691129337297752</v>
      </c>
      <c r="AR121">
        <v>0.68773472477914765</v>
      </c>
      <c r="AS121">
        <v>0.57587990375468512</v>
      </c>
      <c r="AT121">
        <v>1.5194595011416781E-2</v>
      </c>
      <c r="AU121">
        <v>0.74271473857806991</v>
      </c>
      <c r="AW121">
        <v>0.28706624879268933</v>
      </c>
      <c r="AY121">
        <v>1</v>
      </c>
    </row>
    <row r="122" spans="1:51" x14ac:dyDescent="0.3">
      <c r="A122">
        <v>8</v>
      </c>
      <c r="B122" t="s">
        <v>161</v>
      </c>
      <c r="C122" t="s">
        <v>153</v>
      </c>
      <c r="D122" t="s">
        <v>154</v>
      </c>
      <c r="F122" s="7">
        <v>0</v>
      </c>
      <c r="G122" s="7">
        <v>1</v>
      </c>
      <c r="H122" s="3">
        <v>0</v>
      </c>
      <c r="I122">
        <f t="shared" si="2"/>
        <v>0</v>
      </c>
      <c r="J122">
        <f t="shared" si="3"/>
        <v>1</v>
      </c>
      <c r="K122">
        <v>3</v>
      </c>
      <c r="L122">
        <v>0</v>
      </c>
      <c r="M122">
        <v>4784816</v>
      </c>
      <c r="N122">
        <v>4807801.5999999996</v>
      </c>
      <c r="O122">
        <v>4808272.5999999996</v>
      </c>
      <c r="P122">
        <v>2491198</v>
      </c>
      <c r="Q122">
        <v>4785610.4000000004</v>
      </c>
      <c r="R122">
        <v>2439856.4</v>
      </c>
      <c r="S122">
        <v>4734415</v>
      </c>
      <c r="T122">
        <v>3932292.6</v>
      </c>
      <c r="U122">
        <v>3473361.2</v>
      </c>
      <c r="V122">
        <v>5218272.8</v>
      </c>
      <c r="W122">
        <v>5878630.5999999996</v>
      </c>
      <c r="Y122">
        <v>10.64770764338318</v>
      </c>
      <c r="Z122">
        <v>8.0728616807959046</v>
      </c>
      <c r="AA122">
        <v>8.0494674833724282</v>
      </c>
      <c r="AB122">
        <v>12.85207862799289</v>
      </c>
      <c r="AC122">
        <v>9.6367955255904238</v>
      </c>
      <c r="AD122">
        <v>12.6599950126023</v>
      </c>
      <c r="AE122">
        <v>10.515064716839699</v>
      </c>
      <c r="AF122">
        <v>1.734000962192658</v>
      </c>
      <c r="AG122">
        <v>2.011525441589765</v>
      </c>
      <c r="AH122">
        <v>4.7875397813972089</v>
      </c>
      <c r="AI122">
        <v>9.9400320389773693</v>
      </c>
      <c r="AK122">
        <v>10.64770764338318</v>
      </c>
      <c r="AL122">
        <v>7.8487571732024666</v>
      </c>
      <c r="AM122">
        <v>7.8271457361755896</v>
      </c>
      <c r="AN122">
        <v>12.85207862799289</v>
      </c>
      <c r="AO122">
        <v>9.4050542885903265</v>
      </c>
      <c r="AP122">
        <v>12.6599950126023</v>
      </c>
      <c r="AQ122">
        <v>9.7882570422254496</v>
      </c>
      <c r="AR122">
        <v>1.228971068188548</v>
      </c>
      <c r="AS122">
        <v>0.80848007079912354</v>
      </c>
      <c r="AT122">
        <v>4.7875397813972089</v>
      </c>
      <c r="AU122">
        <v>9.8888723811833188</v>
      </c>
      <c r="AW122">
        <v>0.29445128039224072</v>
      </c>
      <c r="AY122">
        <v>1</v>
      </c>
    </row>
    <row r="123" spans="1:51" x14ac:dyDescent="0.3">
      <c r="A123">
        <v>9</v>
      </c>
      <c r="B123" t="s">
        <v>162</v>
      </c>
      <c r="C123" t="s">
        <v>163</v>
      </c>
      <c r="D123" t="s">
        <v>164</v>
      </c>
      <c r="F123" s="7">
        <v>0</v>
      </c>
      <c r="G123" s="7">
        <v>0</v>
      </c>
      <c r="H123" s="3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5729850.4000000004</v>
      </c>
      <c r="O123">
        <v>5894540.2000000002</v>
      </c>
      <c r="P123">
        <v>2101040.6</v>
      </c>
      <c r="Q123">
        <v>5362761.2</v>
      </c>
      <c r="R123">
        <v>1871168.4</v>
      </c>
      <c r="S123">
        <v>8759229.5999999996</v>
      </c>
      <c r="T123">
        <v>4278519.8</v>
      </c>
      <c r="U123">
        <v>4297242.8</v>
      </c>
      <c r="V123">
        <v>3490419</v>
      </c>
      <c r="W123">
        <v>17845268.600000001</v>
      </c>
      <c r="Y123">
        <v>1.5012752009904939</v>
      </c>
      <c r="Z123">
        <v>4.7385310932178983</v>
      </c>
      <c r="AA123">
        <v>4.7726896582171321</v>
      </c>
      <c r="AB123">
        <v>2.6621080865967088</v>
      </c>
      <c r="AC123">
        <v>4.9641921505914066</v>
      </c>
      <c r="AD123">
        <v>1.526150982594118</v>
      </c>
      <c r="AE123">
        <v>5.4900601569795979</v>
      </c>
      <c r="AF123">
        <v>1.9779575897962789</v>
      </c>
      <c r="AG123">
        <v>2.7155649772263128</v>
      </c>
      <c r="AH123">
        <v>3.4516045222058889</v>
      </c>
      <c r="AI123">
        <v>12.37068572094431</v>
      </c>
      <c r="AK123">
        <v>1.5012752009904939</v>
      </c>
      <c r="AL123">
        <v>2.4367522560176438</v>
      </c>
      <c r="AM123">
        <v>2.5014294952154161</v>
      </c>
      <c r="AN123">
        <v>2.6621080865967088</v>
      </c>
      <c r="AO123">
        <v>2.6134874197770839</v>
      </c>
      <c r="AP123">
        <v>1.526150982594118</v>
      </c>
      <c r="AQ123">
        <v>2.8990294502116738</v>
      </c>
      <c r="AR123">
        <v>1.141764466988388</v>
      </c>
      <c r="AS123">
        <v>0.68260200801305471</v>
      </c>
      <c r="AT123">
        <v>3.4516045222058889</v>
      </c>
      <c r="AU123">
        <v>9.0794619883876297</v>
      </c>
      <c r="AW123">
        <v>0.3014041163958609</v>
      </c>
      <c r="AY123">
        <v>1</v>
      </c>
    </row>
    <row r="124" spans="1:51" x14ac:dyDescent="0.3">
      <c r="A124">
        <v>9</v>
      </c>
      <c r="B124" t="s">
        <v>165</v>
      </c>
      <c r="C124" t="s">
        <v>163</v>
      </c>
      <c r="D124" t="s">
        <v>164</v>
      </c>
      <c r="F124" s="7">
        <v>0</v>
      </c>
      <c r="G124" s="7">
        <v>1</v>
      </c>
      <c r="H124" s="3">
        <v>0</v>
      </c>
      <c r="I124">
        <f t="shared" si="2"/>
        <v>0</v>
      </c>
      <c r="J124">
        <f t="shared" si="3"/>
        <v>1</v>
      </c>
      <c r="K124">
        <v>3</v>
      </c>
      <c r="L124">
        <v>0</v>
      </c>
      <c r="M124">
        <v>969826.6</v>
      </c>
      <c r="N124">
        <v>3535925.8</v>
      </c>
      <c r="O124">
        <v>3540171.2</v>
      </c>
      <c r="P124">
        <v>726458.8</v>
      </c>
      <c r="Q124">
        <v>2716837.8</v>
      </c>
      <c r="R124">
        <v>2451285</v>
      </c>
      <c r="S124">
        <v>4184080.8</v>
      </c>
      <c r="T124">
        <v>4567194</v>
      </c>
      <c r="U124">
        <v>3858640.4</v>
      </c>
      <c r="V124">
        <v>1027132.8</v>
      </c>
      <c r="W124">
        <v>6423717.4000000004</v>
      </c>
      <c r="Y124">
        <v>1.3039256630116141</v>
      </c>
      <c r="Z124">
        <v>3.198358482180629</v>
      </c>
      <c r="AA124">
        <v>3.1803069290122949</v>
      </c>
      <c r="AB124">
        <v>1.314596575789619</v>
      </c>
      <c r="AC124">
        <v>3.033227226400049</v>
      </c>
      <c r="AD124">
        <v>2.7334033828112299</v>
      </c>
      <c r="AE124">
        <v>3.7054324546712452</v>
      </c>
      <c r="AF124">
        <v>2.1923427212517712</v>
      </c>
      <c r="AG124">
        <v>2.371738057618495</v>
      </c>
      <c r="AH124">
        <v>2.0119750321842731</v>
      </c>
      <c r="AI124">
        <v>6.3450012360583061</v>
      </c>
      <c r="AK124">
        <v>1.3039256630116141</v>
      </c>
      <c r="AL124">
        <v>2.1001384519971911</v>
      </c>
      <c r="AM124">
        <v>2.091350184590556</v>
      </c>
      <c r="AN124">
        <v>1.314596575789619</v>
      </c>
      <c r="AO124">
        <v>2.1184019531938252</v>
      </c>
      <c r="AP124">
        <v>2.7334033828112299</v>
      </c>
      <c r="AQ124">
        <v>2.6348013250157241</v>
      </c>
      <c r="AR124">
        <v>1.2853363300324421</v>
      </c>
      <c r="AS124">
        <v>0.64001520921010524</v>
      </c>
      <c r="AT124">
        <v>2.0119750321842731</v>
      </c>
      <c r="AU124">
        <v>4.9442758354358372</v>
      </c>
      <c r="AW124">
        <v>0.30733298000413922</v>
      </c>
      <c r="AY124">
        <v>1</v>
      </c>
    </row>
    <row r="125" spans="1:51" x14ac:dyDescent="0.3">
      <c r="A125">
        <v>9</v>
      </c>
      <c r="B125" t="s">
        <v>166</v>
      </c>
      <c r="C125" t="s">
        <v>163</v>
      </c>
      <c r="D125" t="s">
        <v>164</v>
      </c>
      <c r="F125" s="7">
        <v>0</v>
      </c>
      <c r="G125" s="7">
        <v>1</v>
      </c>
      <c r="H125" s="3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6782273.5999999996</v>
      </c>
      <c r="O125">
        <v>6954050.2000000002</v>
      </c>
      <c r="P125">
        <v>1927101</v>
      </c>
      <c r="Q125">
        <v>7280182.2000000002</v>
      </c>
      <c r="R125">
        <v>982454</v>
      </c>
      <c r="S125">
        <v>10178518</v>
      </c>
      <c r="T125">
        <v>4277166.5999999996</v>
      </c>
      <c r="U125">
        <v>4297250</v>
      </c>
      <c r="V125">
        <v>3119203.4</v>
      </c>
      <c r="W125">
        <v>20029146.199999999</v>
      </c>
      <c r="Y125">
        <v>1.4430830322206021</v>
      </c>
      <c r="Z125">
        <v>5.469622332486324</v>
      </c>
      <c r="AA125">
        <v>5.5454462637891986</v>
      </c>
      <c r="AB125">
        <v>2.5013022275990808</v>
      </c>
      <c r="AC125">
        <v>6.6426791938196406</v>
      </c>
      <c r="AD125">
        <v>2.3561477107927198</v>
      </c>
      <c r="AE125">
        <v>6.8257932948064992</v>
      </c>
      <c r="AF125">
        <v>1.989547443378251</v>
      </c>
      <c r="AG125">
        <v>2.7317957279039549</v>
      </c>
      <c r="AH125">
        <v>3.636377097596414</v>
      </c>
      <c r="AI125">
        <v>13.789604882791171</v>
      </c>
      <c r="AK125">
        <v>1.4430830322206021</v>
      </c>
      <c r="AL125">
        <v>2.877733813039959</v>
      </c>
      <c r="AM125">
        <v>2.9505899119889358</v>
      </c>
      <c r="AN125">
        <v>2.5013022275990808</v>
      </c>
      <c r="AO125">
        <v>3.900979040400125</v>
      </c>
      <c r="AP125">
        <v>2.3561477107927198</v>
      </c>
      <c r="AQ125">
        <v>3.7679377597989521</v>
      </c>
      <c r="AR125">
        <v>1.143186359968968</v>
      </c>
      <c r="AS125">
        <v>0.69462240837747236</v>
      </c>
      <c r="AT125">
        <v>3.636377097596414</v>
      </c>
      <c r="AU125">
        <v>10.79677776019089</v>
      </c>
      <c r="AW125">
        <v>0.30415578901302071</v>
      </c>
      <c r="AY125">
        <v>1</v>
      </c>
    </row>
    <row r="126" spans="1:51" x14ac:dyDescent="0.3">
      <c r="A126">
        <v>9</v>
      </c>
      <c r="B126" t="s">
        <v>167</v>
      </c>
      <c r="C126" t="s">
        <v>163</v>
      </c>
      <c r="D126" t="s">
        <v>164</v>
      </c>
      <c r="F126" s="7">
        <v>0</v>
      </c>
      <c r="G126" s="7">
        <v>0</v>
      </c>
      <c r="H126" s="3">
        <v>0</v>
      </c>
      <c r="I126">
        <f t="shared" si="2"/>
        <v>0</v>
      </c>
      <c r="J126">
        <f t="shared" si="3"/>
        <v>1</v>
      </c>
      <c r="K126">
        <v>3</v>
      </c>
      <c r="L126">
        <v>0</v>
      </c>
      <c r="M126">
        <v>967783</v>
      </c>
      <c r="N126">
        <v>4032409</v>
      </c>
      <c r="O126">
        <v>4104944</v>
      </c>
      <c r="P126">
        <v>2181678</v>
      </c>
      <c r="Q126">
        <v>4264175.2</v>
      </c>
      <c r="R126">
        <v>656776</v>
      </c>
      <c r="S126">
        <v>5437678.2000000002</v>
      </c>
      <c r="T126">
        <v>4553574.5999999996</v>
      </c>
      <c r="U126">
        <v>3902305.8</v>
      </c>
      <c r="V126">
        <v>2255078.3999999999</v>
      </c>
      <c r="W126">
        <v>9487049</v>
      </c>
      <c r="Y126">
        <v>1.239159245614428</v>
      </c>
      <c r="Z126">
        <v>3.5931694796774538</v>
      </c>
      <c r="AA126">
        <v>3.5938905954593792</v>
      </c>
      <c r="AB126">
        <v>2.3640785838011649</v>
      </c>
      <c r="AC126">
        <v>4.6068855889723634</v>
      </c>
      <c r="AD126">
        <v>1.5925067612086421</v>
      </c>
      <c r="AE126">
        <v>4.282087799243163</v>
      </c>
      <c r="AF126">
        <v>2.1732655720319598</v>
      </c>
      <c r="AG126">
        <v>2.3970479276147669</v>
      </c>
      <c r="AH126">
        <v>3.2529586447984911</v>
      </c>
      <c r="AI126">
        <v>8.0816772085847326</v>
      </c>
      <c r="AK126">
        <v>1.239159245614428</v>
      </c>
      <c r="AL126">
        <v>2.0769683860242369</v>
      </c>
      <c r="AM126">
        <v>2.0969776576035661</v>
      </c>
      <c r="AN126">
        <v>2.3640785838011649</v>
      </c>
      <c r="AO126">
        <v>2.9303906104003539</v>
      </c>
      <c r="AP126">
        <v>1.5925067612086421</v>
      </c>
      <c r="AQ126">
        <v>2.4200566920102569</v>
      </c>
      <c r="AR126">
        <v>1.2778385984012861</v>
      </c>
      <c r="AS126">
        <v>0.63651496013626452</v>
      </c>
      <c r="AT126">
        <v>3.2529586447984911</v>
      </c>
      <c r="AU126">
        <v>6.1069228286040014</v>
      </c>
      <c r="AW126">
        <v>0.30583635579096152</v>
      </c>
      <c r="AY126">
        <v>1</v>
      </c>
    </row>
    <row r="127" spans="1:51" x14ac:dyDescent="0.3">
      <c r="A127">
        <v>9</v>
      </c>
      <c r="B127" t="s">
        <v>168</v>
      </c>
      <c r="C127" t="s">
        <v>163</v>
      </c>
      <c r="D127" t="s">
        <v>164</v>
      </c>
      <c r="F127" s="7">
        <v>0</v>
      </c>
      <c r="G127" s="7">
        <v>1</v>
      </c>
      <c r="H127" s="3">
        <v>0</v>
      </c>
      <c r="I127">
        <f t="shared" si="2"/>
        <v>0</v>
      </c>
      <c r="J127">
        <f t="shared" si="3"/>
        <v>1</v>
      </c>
      <c r="K127">
        <v>3</v>
      </c>
      <c r="L127">
        <v>0</v>
      </c>
      <c r="M127">
        <v>1253979.8</v>
      </c>
      <c r="N127">
        <v>4603389.4000000004</v>
      </c>
      <c r="O127">
        <v>4867762</v>
      </c>
      <c r="P127">
        <v>2327824</v>
      </c>
      <c r="Q127">
        <v>3771534.2</v>
      </c>
      <c r="R127">
        <v>3611426</v>
      </c>
      <c r="S127">
        <v>5885955.4000000004</v>
      </c>
      <c r="T127">
        <v>4771918.4000000004</v>
      </c>
      <c r="U127">
        <v>3980220.6</v>
      </c>
      <c r="V127">
        <v>8293988.7999999998</v>
      </c>
      <c r="W127">
        <v>12737988</v>
      </c>
      <c r="Y127">
        <v>1.6320073040202261</v>
      </c>
      <c r="Z127">
        <v>3.7871492311009201</v>
      </c>
      <c r="AA127">
        <v>3.88513748763362</v>
      </c>
      <c r="AB127">
        <v>2.4270204939937678</v>
      </c>
      <c r="AC127">
        <v>3.8450995771738241</v>
      </c>
      <c r="AD127">
        <v>4.2222159210126851</v>
      </c>
      <c r="AE127">
        <v>4.3397483672015369</v>
      </c>
      <c r="AF127">
        <v>2.3410538171650841</v>
      </c>
      <c r="AG127">
        <v>2.4526192005490879</v>
      </c>
      <c r="AH127">
        <v>4.9500512219965458</v>
      </c>
      <c r="AI127">
        <v>9.6070439901785001</v>
      </c>
      <c r="AK127">
        <v>1.6320073040202261</v>
      </c>
      <c r="AL127">
        <v>2.081165418203454</v>
      </c>
      <c r="AM127">
        <v>2.2035900440299878</v>
      </c>
      <c r="AN127">
        <v>2.4270204939937678</v>
      </c>
      <c r="AO127">
        <v>2.3556243327853741</v>
      </c>
      <c r="AP127">
        <v>4.2222159210126851</v>
      </c>
      <c r="AQ127">
        <v>2.514400677441154</v>
      </c>
      <c r="AR127">
        <v>1.3515204851748419</v>
      </c>
      <c r="AS127">
        <v>0.59080360177904367</v>
      </c>
      <c r="AT127">
        <v>4.9500512219965458</v>
      </c>
      <c r="AU127">
        <v>6.7959012015955524</v>
      </c>
      <c r="AW127">
        <v>0.30667565839830779</v>
      </c>
      <c r="AY127">
        <v>1</v>
      </c>
    </row>
    <row r="128" spans="1:51" x14ac:dyDescent="0.3">
      <c r="A128">
        <v>9</v>
      </c>
      <c r="B128" t="s">
        <v>169</v>
      </c>
      <c r="C128" t="s">
        <v>163</v>
      </c>
      <c r="D128" t="s">
        <v>164</v>
      </c>
      <c r="F128" s="7">
        <v>0</v>
      </c>
      <c r="G128" s="7">
        <v>0</v>
      </c>
      <c r="H128" s="3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6460749.7999999998</v>
      </c>
      <c r="O128">
        <v>6848362.2000000002</v>
      </c>
      <c r="P128">
        <v>2675081</v>
      </c>
      <c r="Q128">
        <v>7556908.2000000002</v>
      </c>
      <c r="R128">
        <v>824215.8</v>
      </c>
      <c r="S128">
        <v>10117566.4</v>
      </c>
      <c r="T128">
        <v>4159973</v>
      </c>
      <c r="U128">
        <v>4285980.8</v>
      </c>
      <c r="V128">
        <v>1361303.4</v>
      </c>
      <c r="W128">
        <v>17049671</v>
      </c>
      <c r="Y128">
        <v>1.357701029989403</v>
      </c>
      <c r="Z128">
        <v>4.9728537407587279</v>
      </c>
      <c r="AA128">
        <v>5.1478970090625804</v>
      </c>
      <c r="AB128">
        <v>2.4188849433965509</v>
      </c>
      <c r="AC128">
        <v>5.9032843482214954</v>
      </c>
      <c r="AD128">
        <v>1.567934011202305</v>
      </c>
      <c r="AE128">
        <v>7.0502226265380159</v>
      </c>
      <c r="AF128">
        <v>1.8829546613502319</v>
      </c>
      <c r="AG128">
        <v>2.699312850704882</v>
      </c>
      <c r="AH128">
        <v>2.996849603008013</v>
      </c>
      <c r="AI128">
        <v>12.99285002764082</v>
      </c>
      <c r="AK128">
        <v>1.357701029989403</v>
      </c>
      <c r="AL128">
        <v>2.6471250879811121</v>
      </c>
      <c r="AM128">
        <v>2.8390102436183948</v>
      </c>
      <c r="AN128">
        <v>2.4188849433965509</v>
      </c>
      <c r="AO128">
        <v>3.414123693015426</v>
      </c>
      <c r="AP128">
        <v>1.567934011202305</v>
      </c>
      <c r="AQ128">
        <v>4.4176675226073714</v>
      </c>
      <c r="AR128">
        <v>1.0894569651689381</v>
      </c>
      <c r="AS128">
        <v>0.66685351360356437</v>
      </c>
      <c r="AT128">
        <v>2.996849603008013</v>
      </c>
      <c r="AU128">
        <v>10.100325675238849</v>
      </c>
      <c r="AW128">
        <v>0.30609753339085732</v>
      </c>
      <c r="AY128">
        <v>1</v>
      </c>
    </row>
    <row r="129" spans="1:51" x14ac:dyDescent="0.3">
      <c r="A129">
        <v>9</v>
      </c>
      <c r="B129" t="s">
        <v>170</v>
      </c>
      <c r="C129" t="s">
        <v>163</v>
      </c>
      <c r="D129" t="s">
        <v>164</v>
      </c>
      <c r="F129" s="7">
        <v>0</v>
      </c>
      <c r="G129" s="7">
        <v>0</v>
      </c>
      <c r="H129" s="3">
        <v>0</v>
      </c>
      <c r="I129">
        <f t="shared" si="2"/>
        <v>0</v>
      </c>
      <c r="J129">
        <f t="shared" si="3"/>
        <v>1</v>
      </c>
      <c r="K129">
        <v>3</v>
      </c>
      <c r="L129">
        <v>0</v>
      </c>
      <c r="M129">
        <v>704739.8</v>
      </c>
      <c r="N129">
        <v>3420044.2</v>
      </c>
      <c r="O129">
        <v>3470765</v>
      </c>
      <c r="P129">
        <v>1898867</v>
      </c>
      <c r="Q129">
        <v>3509795.2</v>
      </c>
      <c r="R129">
        <v>444628.2</v>
      </c>
      <c r="S129">
        <v>3817753.8</v>
      </c>
      <c r="T129">
        <v>4781045.4000000004</v>
      </c>
      <c r="U129">
        <v>3983101.6</v>
      </c>
      <c r="V129">
        <v>2653563.6</v>
      </c>
      <c r="W129">
        <v>7268002.2000000002</v>
      </c>
      <c r="Y129">
        <v>0.95089052439434452</v>
      </c>
      <c r="Z129">
        <v>2.9174105057958508</v>
      </c>
      <c r="AA129">
        <v>2.9146612562006342</v>
      </c>
      <c r="AB129">
        <v>1.411686977610225</v>
      </c>
      <c r="AC129">
        <v>3.2573444445908541</v>
      </c>
      <c r="AD129">
        <v>1.098483481595758</v>
      </c>
      <c r="AE129">
        <v>3.2177811771980491</v>
      </c>
      <c r="AF129">
        <v>2.3691841517807921</v>
      </c>
      <c r="AG129">
        <v>2.4694450808106918</v>
      </c>
      <c r="AH129">
        <v>2.9962127717910341</v>
      </c>
      <c r="AI129">
        <v>6.3648848470067607</v>
      </c>
      <c r="AK129">
        <v>0.95089052439434452</v>
      </c>
      <c r="AL129">
        <v>1.8106080456054769</v>
      </c>
      <c r="AM129">
        <v>1.8104055669857191</v>
      </c>
      <c r="AN129">
        <v>1.411686977610225</v>
      </c>
      <c r="AO129">
        <v>2.350444602395874</v>
      </c>
      <c r="AP129">
        <v>1.098483481595758</v>
      </c>
      <c r="AQ129">
        <v>2.349392503208946</v>
      </c>
      <c r="AR129">
        <v>1.3595171647961251</v>
      </c>
      <c r="AS129">
        <v>0.59098189907381315</v>
      </c>
      <c r="AT129">
        <v>2.9962127717910341</v>
      </c>
      <c r="AU129">
        <v>4.5745625765877778</v>
      </c>
      <c r="AW129">
        <v>0.30806368520716199</v>
      </c>
      <c r="AY129">
        <v>1</v>
      </c>
    </row>
    <row r="130" spans="1:51" x14ac:dyDescent="0.3">
      <c r="A130">
        <v>9</v>
      </c>
      <c r="B130" t="s">
        <v>171</v>
      </c>
      <c r="C130" t="s">
        <v>163</v>
      </c>
      <c r="D130" t="s">
        <v>164</v>
      </c>
      <c r="F130" s="7">
        <v>0</v>
      </c>
      <c r="G130" s="7">
        <v>1</v>
      </c>
      <c r="H130" s="3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4883210.2</v>
      </c>
      <c r="O130">
        <v>5732163.4000000004</v>
      </c>
      <c r="P130">
        <v>215294.8</v>
      </c>
      <c r="Q130">
        <v>5597162.2000000002</v>
      </c>
      <c r="R130">
        <v>50634.2</v>
      </c>
      <c r="S130">
        <v>7201076.5999999996</v>
      </c>
      <c r="T130">
        <v>4163650.2</v>
      </c>
      <c r="U130">
        <v>4275806.4000000004</v>
      </c>
      <c r="V130">
        <v>545489.80000000005</v>
      </c>
      <c r="W130">
        <v>16307387</v>
      </c>
      <c r="Y130">
        <v>0.79398311299737545</v>
      </c>
      <c r="Z130">
        <v>4.0176043954095801</v>
      </c>
      <c r="AA130">
        <v>4.480368395359255</v>
      </c>
      <c r="AB130">
        <v>0.58360032259952277</v>
      </c>
      <c r="AC130">
        <v>4.7274089674232531</v>
      </c>
      <c r="AD130">
        <v>0.16266756382538</v>
      </c>
      <c r="AE130">
        <v>5.1639426069566978</v>
      </c>
      <c r="AF130">
        <v>1.9029820538009521</v>
      </c>
      <c r="AG130">
        <v>2.7164154426543972</v>
      </c>
      <c r="AH130">
        <v>1.1575195876066571</v>
      </c>
      <c r="AI130">
        <v>11.41726884125965</v>
      </c>
      <c r="AK130">
        <v>0.79398311299737545</v>
      </c>
      <c r="AL130">
        <v>1.825113245786633</v>
      </c>
      <c r="AM130">
        <v>2.2866752961999741</v>
      </c>
      <c r="AN130">
        <v>0.58360032259952277</v>
      </c>
      <c r="AO130">
        <v>2.110061142011546</v>
      </c>
      <c r="AP130">
        <v>0.16266756382538</v>
      </c>
      <c r="AQ130">
        <v>2.6553295892081219</v>
      </c>
      <c r="AR130">
        <v>1.096285553416237</v>
      </c>
      <c r="AS130">
        <v>0.64199828174896534</v>
      </c>
      <c r="AT130">
        <v>1.1575195876066571</v>
      </c>
      <c r="AU130">
        <v>8.5841184758464806</v>
      </c>
      <c r="AW130">
        <v>0.3075157411862165</v>
      </c>
      <c r="AY130">
        <v>1</v>
      </c>
    </row>
    <row r="131" spans="1:51" x14ac:dyDescent="0.3">
      <c r="A131">
        <v>10</v>
      </c>
      <c r="B131" t="s">
        <v>172</v>
      </c>
      <c r="C131" t="s">
        <v>173</v>
      </c>
      <c r="D131" t="s">
        <v>174</v>
      </c>
      <c r="F131" s="7">
        <v>0</v>
      </c>
      <c r="G131" s="7">
        <v>0</v>
      </c>
      <c r="H131" s="3">
        <v>0</v>
      </c>
      <c r="I131">
        <f t="shared" si="2"/>
        <v>0</v>
      </c>
      <c r="J131">
        <f t="shared" si="3"/>
        <v>1</v>
      </c>
      <c r="K131">
        <v>3</v>
      </c>
      <c r="L131">
        <v>0</v>
      </c>
      <c r="M131">
        <v>692437.4</v>
      </c>
      <c r="N131">
        <v>585410.19999999995</v>
      </c>
      <c r="O131">
        <v>585025.80000000005</v>
      </c>
      <c r="P131">
        <v>889109</v>
      </c>
      <c r="Q131">
        <v>355579</v>
      </c>
      <c r="R131">
        <v>660367</v>
      </c>
      <c r="S131">
        <v>322689</v>
      </c>
      <c r="T131">
        <v>3566002.8</v>
      </c>
      <c r="U131">
        <v>2773520.8</v>
      </c>
      <c r="V131">
        <v>989511.8</v>
      </c>
      <c r="W131">
        <v>431497</v>
      </c>
      <c r="Y131">
        <v>0.85138930160319437</v>
      </c>
      <c r="Z131">
        <v>0.93185900980606673</v>
      </c>
      <c r="AA131">
        <v>0.93191853525349866</v>
      </c>
      <c r="AB131">
        <v>1.1438173426082361</v>
      </c>
      <c r="AC131">
        <v>0.81493305100011637</v>
      </c>
      <c r="AD131">
        <v>1.1147469569812529</v>
      </c>
      <c r="AE131">
        <v>1.096602412802167</v>
      </c>
      <c r="AF131">
        <v>1.4762581181712451</v>
      </c>
      <c r="AG131">
        <v>1.5764101673383271</v>
      </c>
      <c r="AH131">
        <v>2.917932847584598</v>
      </c>
      <c r="AI131">
        <v>1.786046276171692</v>
      </c>
      <c r="AK131">
        <v>0.85138930160319437</v>
      </c>
      <c r="AL131">
        <v>0.43128478520084168</v>
      </c>
      <c r="AM131">
        <v>0.4297283160383813</v>
      </c>
      <c r="AN131">
        <v>1.1438173426082361</v>
      </c>
      <c r="AO131">
        <v>0.38976327240234238</v>
      </c>
      <c r="AP131">
        <v>1.1147469569812529</v>
      </c>
      <c r="AQ131">
        <v>0.47121750202495599</v>
      </c>
      <c r="AR131">
        <v>0.76551055037416516</v>
      </c>
      <c r="AS131">
        <v>0.43905412139138211</v>
      </c>
      <c r="AT131">
        <v>2.917932847584598</v>
      </c>
      <c r="AU131">
        <v>0.72906506016151984</v>
      </c>
      <c r="AW131">
        <v>0.29538275700761002</v>
      </c>
      <c r="AY131">
        <v>1</v>
      </c>
    </row>
    <row r="132" spans="1:51" x14ac:dyDescent="0.3">
      <c r="A132">
        <v>10</v>
      </c>
      <c r="B132" t="s">
        <v>175</v>
      </c>
      <c r="C132" t="s">
        <v>173</v>
      </c>
      <c r="D132" t="s">
        <v>174</v>
      </c>
      <c r="F132" s="7">
        <v>0</v>
      </c>
      <c r="G132" s="7">
        <v>1</v>
      </c>
      <c r="H132" s="3">
        <v>0</v>
      </c>
      <c r="I132">
        <f t="shared" ref="I132:I162" si="4">1 - J132</f>
        <v>0</v>
      </c>
      <c r="J132">
        <f t="shared" ref="J132:J162" si="5">IF(AY132 &gt; 0, 1, 0)</f>
        <v>1</v>
      </c>
      <c r="K132">
        <v>3</v>
      </c>
      <c r="L132">
        <v>0</v>
      </c>
      <c r="M132">
        <v>379003.4</v>
      </c>
      <c r="N132">
        <v>621717.80000000005</v>
      </c>
      <c r="O132">
        <v>622044.6</v>
      </c>
      <c r="P132">
        <v>307053</v>
      </c>
      <c r="Q132">
        <v>351385.59999999998</v>
      </c>
      <c r="R132">
        <v>76846</v>
      </c>
      <c r="S132">
        <v>346123.2</v>
      </c>
      <c r="T132">
        <v>3565654.6</v>
      </c>
      <c r="U132">
        <v>2775769.6</v>
      </c>
      <c r="V132">
        <v>207456.8</v>
      </c>
      <c r="W132">
        <v>479007.4</v>
      </c>
      <c r="Y132">
        <v>0.5989309474010952</v>
      </c>
      <c r="Z132">
        <v>0.95173315019346771</v>
      </c>
      <c r="AA132">
        <v>0.95181776981335131</v>
      </c>
      <c r="AB132">
        <v>0.59895044380100448</v>
      </c>
      <c r="AC132">
        <v>0.82917215683846734</v>
      </c>
      <c r="AD132">
        <v>0.20913399520795789</v>
      </c>
      <c r="AE132">
        <v>1.105064998799935</v>
      </c>
      <c r="AF132">
        <v>1.4917835041997021</v>
      </c>
      <c r="AG132">
        <v>1.5740604154998441</v>
      </c>
      <c r="AH132">
        <v>1.21406943280017</v>
      </c>
      <c r="AI132">
        <v>1.807218387606554</v>
      </c>
      <c r="AK132">
        <v>0.5989309474010952</v>
      </c>
      <c r="AL132">
        <v>0.43452272401191289</v>
      </c>
      <c r="AM132">
        <v>0.43224352498073132</v>
      </c>
      <c r="AN132">
        <v>0.59895044380100448</v>
      </c>
      <c r="AO132">
        <v>0.39915210361359638</v>
      </c>
      <c r="AP132">
        <v>0.20913399520795789</v>
      </c>
      <c r="AQ132">
        <v>0.51145747199188918</v>
      </c>
      <c r="AR132">
        <v>0.78185213261749598</v>
      </c>
      <c r="AS132">
        <v>0.43722546201897777</v>
      </c>
      <c r="AT132">
        <v>1.21406943280017</v>
      </c>
      <c r="AU132">
        <v>0.78839555579470466</v>
      </c>
      <c r="AW132">
        <v>0.29848988580051811</v>
      </c>
      <c r="AY132">
        <v>1</v>
      </c>
    </row>
    <row r="133" spans="1:51" x14ac:dyDescent="0.3">
      <c r="A133">
        <v>10</v>
      </c>
      <c r="B133" t="s">
        <v>176</v>
      </c>
      <c r="C133" t="s">
        <v>173</v>
      </c>
      <c r="D133" t="s">
        <v>174</v>
      </c>
      <c r="F133" s="7">
        <v>0</v>
      </c>
      <c r="G133" s="7">
        <v>1</v>
      </c>
      <c r="H133" s="3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526035</v>
      </c>
      <c r="O133">
        <v>526146.4</v>
      </c>
      <c r="P133">
        <v>632884.80000000005</v>
      </c>
      <c r="Q133">
        <v>316689.8</v>
      </c>
      <c r="R133">
        <v>444719.8</v>
      </c>
      <c r="S133">
        <v>259189.2</v>
      </c>
      <c r="T133">
        <v>3280068.2</v>
      </c>
      <c r="U133">
        <v>2551497.7999999998</v>
      </c>
      <c r="V133">
        <v>766603.8</v>
      </c>
      <c r="W133">
        <v>175533</v>
      </c>
      <c r="Y133">
        <v>0.62876364979892974</v>
      </c>
      <c r="Z133">
        <v>0.83820642578648408</v>
      </c>
      <c r="AA133">
        <v>0.83423226356972013</v>
      </c>
      <c r="AB133">
        <v>0.77570762640098112</v>
      </c>
      <c r="AC133">
        <v>0.72241204360034317</v>
      </c>
      <c r="AD133">
        <v>1.150921455188654</v>
      </c>
      <c r="AE133">
        <v>1.1808701853966339</v>
      </c>
      <c r="AF133">
        <v>1.1363384768133979</v>
      </c>
      <c r="AG133">
        <v>1.3109364427044059</v>
      </c>
      <c r="AH133">
        <v>2.0919790988089511</v>
      </c>
      <c r="AI133">
        <v>0.91604327521054074</v>
      </c>
      <c r="AK133">
        <v>0.62876364979892974</v>
      </c>
      <c r="AL133">
        <v>0.41252847721334551</v>
      </c>
      <c r="AM133">
        <v>0.40842770158778868</v>
      </c>
      <c r="AN133">
        <v>0.77570762640098112</v>
      </c>
      <c r="AO133">
        <v>0.38156240660464391</v>
      </c>
      <c r="AP133">
        <v>1.150921455188654</v>
      </c>
      <c r="AQ133">
        <v>0.48735819418216131</v>
      </c>
      <c r="AR133">
        <v>0.58291645442368467</v>
      </c>
      <c r="AS133">
        <v>0.4157822723966092</v>
      </c>
      <c r="AT133">
        <v>2.0919790988089511</v>
      </c>
      <c r="AU133">
        <v>0.57216598759405313</v>
      </c>
      <c r="AW133">
        <v>0.29634355119196693</v>
      </c>
      <c r="AY133">
        <v>1</v>
      </c>
    </row>
    <row r="134" spans="1:51" x14ac:dyDescent="0.3">
      <c r="A134">
        <v>10</v>
      </c>
      <c r="B134" t="s">
        <v>177</v>
      </c>
      <c r="C134" t="s">
        <v>173</v>
      </c>
      <c r="D134" t="s">
        <v>174</v>
      </c>
      <c r="F134" s="7">
        <v>0</v>
      </c>
      <c r="G134" s="7">
        <v>0</v>
      </c>
      <c r="H134" s="3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623687.6</v>
      </c>
      <c r="O134">
        <v>623764</v>
      </c>
      <c r="P134">
        <v>203441</v>
      </c>
      <c r="Q134">
        <v>320106.59999999998</v>
      </c>
      <c r="R134">
        <v>136275</v>
      </c>
      <c r="S134">
        <v>376222.2</v>
      </c>
      <c r="T134">
        <v>3284569.6</v>
      </c>
      <c r="U134">
        <v>2565105.2000000002</v>
      </c>
      <c r="V134">
        <v>26327.8</v>
      </c>
      <c r="W134">
        <v>246015.2</v>
      </c>
      <c r="Y134">
        <v>0.67598590600537134</v>
      </c>
      <c r="Z134">
        <v>0.9494004344101995</v>
      </c>
      <c r="AA134">
        <v>0.94950689922552556</v>
      </c>
      <c r="AB134">
        <v>0.46125150980078622</v>
      </c>
      <c r="AC134">
        <v>0.7902942238084506</v>
      </c>
      <c r="AD134">
        <v>0.75972902639769013</v>
      </c>
      <c r="AE134">
        <v>1.180559122469276</v>
      </c>
      <c r="AF134">
        <v>1.1395198583719319</v>
      </c>
      <c r="AG134">
        <v>1.328549464896787</v>
      </c>
      <c r="AH134">
        <v>0.13748210018966339</v>
      </c>
      <c r="AI134">
        <v>1.1719429536373349</v>
      </c>
      <c r="AK134">
        <v>0.67598590600537134</v>
      </c>
      <c r="AL134">
        <v>0.47998029880691317</v>
      </c>
      <c r="AM134">
        <v>0.48518127461429678</v>
      </c>
      <c r="AN134">
        <v>0.46125150980078622</v>
      </c>
      <c r="AO134">
        <v>0.4246042846061755</v>
      </c>
      <c r="AP134">
        <v>0.75972902639769013</v>
      </c>
      <c r="AQ134">
        <v>0.52178565083304418</v>
      </c>
      <c r="AR134">
        <v>0.58209674878744411</v>
      </c>
      <c r="AS134">
        <v>0.42376836402108892</v>
      </c>
      <c r="AT134">
        <v>0.13748210018966339</v>
      </c>
      <c r="AU134">
        <v>0.65899540840182458</v>
      </c>
      <c r="AW134">
        <v>0.29826576256891713</v>
      </c>
      <c r="AY134">
        <v>1</v>
      </c>
    </row>
    <row r="135" spans="1:51" x14ac:dyDescent="0.3">
      <c r="A135">
        <v>10</v>
      </c>
      <c r="B135" t="s">
        <v>178</v>
      </c>
      <c r="C135" t="s">
        <v>173</v>
      </c>
      <c r="D135" t="s">
        <v>174</v>
      </c>
      <c r="F135" s="7">
        <v>0</v>
      </c>
      <c r="G135" s="7">
        <v>1</v>
      </c>
      <c r="H135" s="3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638977.19999999995</v>
      </c>
      <c r="O135">
        <v>640150.6</v>
      </c>
      <c r="P135">
        <v>279969.59999999998</v>
      </c>
      <c r="Q135">
        <v>265269.8</v>
      </c>
      <c r="R135">
        <v>235405.8</v>
      </c>
      <c r="S135">
        <v>221459.8</v>
      </c>
      <c r="T135">
        <v>3167685</v>
      </c>
      <c r="U135">
        <v>2447664.4</v>
      </c>
      <c r="V135">
        <v>78718</v>
      </c>
      <c r="W135">
        <v>139979.6</v>
      </c>
      <c r="Y135">
        <v>0.58767952958587555</v>
      </c>
      <c r="Z135">
        <v>0.92299973665503787</v>
      </c>
      <c r="AA135">
        <v>0.91637077556224544</v>
      </c>
      <c r="AB135">
        <v>0.42342479740036648</v>
      </c>
      <c r="AC135">
        <v>0.70080213858745988</v>
      </c>
      <c r="AD135">
        <v>1.082993775594514</v>
      </c>
      <c r="AE135">
        <v>1.2143709637690341</v>
      </c>
      <c r="AF135">
        <v>1.1011342437937861</v>
      </c>
      <c r="AG135">
        <v>1.268457080144435</v>
      </c>
      <c r="AH135">
        <v>0.48331163522088899</v>
      </c>
      <c r="AI135">
        <v>0.88897363084834069</v>
      </c>
      <c r="AK135">
        <v>0.58767952958587555</v>
      </c>
      <c r="AL135">
        <v>0.46056204360211273</v>
      </c>
      <c r="AM135">
        <v>0.45693817498395217</v>
      </c>
      <c r="AN135">
        <v>0.42342479740036648</v>
      </c>
      <c r="AO135">
        <v>0.36954448420437991</v>
      </c>
      <c r="AP135">
        <v>1.082993775594514</v>
      </c>
      <c r="AQ135">
        <v>0.50009747297735885</v>
      </c>
      <c r="AR135">
        <v>0.58070407200139018</v>
      </c>
      <c r="AS135">
        <v>0.40310119375353681</v>
      </c>
      <c r="AT135">
        <v>0.48331163522088899</v>
      </c>
      <c r="AU135">
        <v>0.54295056420378385</v>
      </c>
      <c r="AW135">
        <v>0.29880425640149039</v>
      </c>
      <c r="AY135">
        <v>1</v>
      </c>
    </row>
    <row r="136" spans="1:51" x14ac:dyDescent="0.3">
      <c r="A136">
        <v>10</v>
      </c>
      <c r="B136" t="s">
        <v>179</v>
      </c>
      <c r="C136" t="s">
        <v>173</v>
      </c>
      <c r="D136" t="s">
        <v>174</v>
      </c>
      <c r="F136" s="7">
        <v>0</v>
      </c>
      <c r="G136" s="7">
        <v>0</v>
      </c>
      <c r="H136" s="3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424971.2</v>
      </c>
      <c r="O136">
        <v>426264.6</v>
      </c>
      <c r="P136">
        <v>250970</v>
      </c>
      <c r="Q136">
        <v>247145.4</v>
      </c>
      <c r="R136">
        <v>200401.6</v>
      </c>
      <c r="S136">
        <v>197039.6</v>
      </c>
      <c r="T136">
        <v>3173087.6</v>
      </c>
      <c r="U136">
        <v>2439976.6</v>
      </c>
      <c r="V136">
        <v>60342.6</v>
      </c>
      <c r="W136">
        <v>122490.6</v>
      </c>
      <c r="Y136">
        <v>0.62454305459978054</v>
      </c>
      <c r="Z136">
        <v>0.76946420861640941</v>
      </c>
      <c r="AA136">
        <v>0.77144993066322054</v>
      </c>
      <c r="AB136">
        <v>0.43171316000516519</v>
      </c>
      <c r="AC136">
        <v>0.6759746873867698</v>
      </c>
      <c r="AD136">
        <v>1.061337477795314</v>
      </c>
      <c r="AE136">
        <v>1.175940796977375</v>
      </c>
      <c r="AF136">
        <v>1.1015813060104851</v>
      </c>
      <c r="AG136">
        <v>1.2577948478399781</v>
      </c>
      <c r="AH136">
        <v>0.32880797240650278</v>
      </c>
      <c r="AI136">
        <v>0.74933217040961608</v>
      </c>
      <c r="AK136">
        <v>0.62454305459978054</v>
      </c>
      <c r="AL136">
        <v>0.39385145057458432</v>
      </c>
      <c r="AM136">
        <v>0.395735636621248</v>
      </c>
      <c r="AN136">
        <v>0.43171316000516519</v>
      </c>
      <c r="AO136">
        <v>0.36519687559921288</v>
      </c>
      <c r="AP136">
        <v>1.061337477795314</v>
      </c>
      <c r="AQ136">
        <v>0.47132803644053639</v>
      </c>
      <c r="AR136">
        <v>0.58375718280440192</v>
      </c>
      <c r="AS136">
        <v>0.39967906414531168</v>
      </c>
      <c r="AT136">
        <v>0.32880797240650278</v>
      </c>
      <c r="AU136">
        <v>0.45184584119124338</v>
      </c>
      <c r="AW136">
        <v>0.2946787792025134</v>
      </c>
      <c r="AY136">
        <v>1</v>
      </c>
    </row>
    <row r="137" spans="1:51" x14ac:dyDescent="0.3">
      <c r="A137">
        <v>10</v>
      </c>
      <c r="B137" t="s">
        <v>180</v>
      </c>
      <c r="C137" t="s">
        <v>173</v>
      </c>
      <c r="D137" t="s">
        <v>174</v>
      </c>
      <c r="F137" s="7">
        <v>0</v>
      </c>
      <c r="G137" s="7">
        <v>0</v>
      </c>
      <c r="H137" s="3">
        <v>0</v>
      </c>
      <c r="I137">
        <f t="shared" si="4"/>
        <v>0</v>
      </c>
      <c r="J137">
        <f t="shared" si="5"/>
        <v>1</v>
      </c>
      <c r="K137">
        <v>3</v>
      </c>
      <c r="L137">
        <v>0</v>
      </c>
      <c r="M137">
        <v>248481.2</v>
      </c>
      <c r="N137">
        <v>810717.6</v>
      </c>
      <c r="O137">
        <v>810967.6</v>
      </c>
      <c r="P137">
        <v>199999.2</v>
      </c>
      <c r="Q137">
        <v>233103.2</v>
      </c>
      <c r="R137">
        <v>153187.20000000001</v>
      </c>
      <c r="S137">
        <v>188511.6</v>
      </c>
      <c r="T137">
        <v>2881521.4</v>
      </c>
      <c r="U137">
        <v>2285458.4</v>
      </c>
      <c r="V137">
        <v>244.2</v>
      </c>
      <c r="W137">
        <v>56766.6</v>
      </c>
      <c r="Y137">
        <v>0.34956728301476692</v>
      </c>
      <c r="Z137">
        <v>1.0716357034049</v>
      </c>
      <c r="AA137">
        <v>1.046376820572186</v>
      </c>
      <c r="AB137">
        <v>0.32334617840242569</v>
      </c>
      <c r="AC137">
        <v>0.64747770521207715</v>
      </c>
      <c r="AD137">
        <v>1.069462627789471</v>
      </c>
      <c r="AE137">
        <v>1.211757804697845</v>
      </c>
      <c r="AF137">
        <v>0.77013650600565597</v>
      </c>
      <c r="AG137">
        <v>1.062594485725276</v>
      </c>
      <c r="AH137">
        <v>5.17319398932154E-3</v>
      </c>
      <c r="AI137">
        <v>0.60873139440082014</v>
      </c>
      <c r="AK137">
        <v>0.34956728301476692</v>
      </c>
      <c r="AL137">
        <v>0.60497699357802048</v>
      </c>
      <c r="AM137">
        <v>0.57895595538429911</v>
      </c>
      <c r="AN137">
        <v>0.32334617840242569</v>
      </c>
      <c r="AO137">
        <v>0.36677016020403241</v>
      </c>
      <c r="AP137">
        <v>1.069462627789471</v>
      </c>
      <c r="AQ137">
        <v>0.50669007002143185</v>
      </c>
      <c r="AR137">
        <v>0.38821960160275909</v>
      </c>
      <c r="AS137">
        <v>0.38065312198596069</v>
      </c>
      <c r="AT137">
        <v>5.17319398932154E-3</v>
      </c>
      <c r="AU137">
        <v>0.4773557049687952</v>
      </c>
      <c r="AW137">
        <v>0.33705173318739978</v>
      </c>
      <c r="AY137">
        <v>1</v>
      </c>
    </row>
    <row r="138" spans="1:51" x14ac:dyDescent="0.3">
      <c r="A138">
        <v>10</v>
      </c>
      <c r="B138" t="s">
        <v>181</v>
      </c>
      <c r="C138" t="s">
        <v>173</v>
      </c>
      <c r="D138" t="s">
        <v>174</v>
      </c>
      <c r="F138" s="7">
        <v>0</v>
      </c>
      <c r="G138" s="7">
        <v>1</v>
      </c>
      <c r="H138" s="3">
        <v>0</v>
      </c>
      <c r="I138">
        <f t="shared" si="4"/>
        <v>0</v>
      </c>
      <c r="J138">
        <f t="shared" si="5"/>
        <v>1</v>
      </c>
      <c r="K138">
        <v>3</v>
      </c>
      <c r="L138">
        <v>0</v>
      </c>
      <c r="M138">
        <v>644744</v>
      </c>
      <c r="N138">
        <v>553591.80000000005</v>
      </c>
      <c r="O138">
        <v>554152.6</v>
      </c>
      <c r="P138">
        <v>200025.2</v>
      </c>
      <c r="Q138">
        <v>217452.79999999999</v>
      </c>
      <c r="R138">
        <v>183403.6</v>
      </c>
      <c r="S138">
        <v>173658.6</v>
      </c>
      <c r="T138">
        <v>2879306.8</v>
      </c>
      <c r="U138">
        <v>2278140.2000000002</v>
      </c>
      <c r="V138">
        <v>1178.5999999999999</v>
      </c>
      <c r="W138">
        <v>68004.2</v>
      </c>
      <c r="Y138">
        <v>0.62117696619825435</v>
      </c>
      <c r="Z138">
        <v>0.8896134122624062</v>
      </c>
      <c r="AA138">
        <v>0.88254447119543333</v>
      </c>
      <c r="AB138">
        <v>0.33891593100852341</v>
      </c>
      <c r="AC138">
        <v>0.63668459102045749</v>
      </c>
      <c r="AD138">
        <v>1.0554131367825901</v>
      </c>
      <c r="AE138">
        <v>1.3066076974151659</v>
      </c>
      <c r="AF138">
        <v>0.77265917820623142</v>
      </c>
      <c r="AG138">
        <v>1.0800213082227861</v>
      </c>
      <c r="AH138">
        <v>1.038649738766248E-2</v>
      </c>
      <c r="AI138">
        <v>0.67268940082285555</v>
      </c>
      <c r="AK138">
        <v>0.62117696619825435</v>
      </c>
      <c r="AL138">
        <v>0.48597310940967869</v>
      </c>
      <c r="AM138">
        <v>0.48256515001412481</v>
      </c>
      <c r="AN138">
        <v>0.33891593100852341</v>
      </c>
      <c r="AO138">
        <v>0.35156345300492831</v>
      </c>
      <c r="AP138">
        <v>1.0554131367825901</v>
      </c>
      <c r="AQ138">
        <v>0.55779855001019318</v>
      </c>
      <c r="AR138">
        <v>0.39244490800192577</v>
      </c>
      <c r="AS138">
        <v>0.39810984220821399</v>
      </c>
      <c r="AT138">
        <v>1.038649738766248E-2</v>
      </c>
      <c r="AU138">
        <v>0.51276112799532714</v>
      </c>
      <c r="AW138">
        <v>0.31490506081609049</v>
      </c>
      <c r="AY138">
        <v>1</v>
      </c>
    </row>
    <row r="139" spans="1:51" x14ac:dyDescent="0.3">
      <c r="A139">
        <v>11</v>
      </c>
      <c r="B139" t="s">
        <v>182</v>
      </c>
      <c r="C139" t="s">
        <v>183</v>
      </c>
      <c r="D139" t="s">
        <v>184</v>
      </c>
      <c r="F139" s="7">
        <v>0</v>
      </c>
      <c r="G139" s="7">
        <v>0</v>
      </c>
      <c r="H139" s="3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740542.2</v>
      </c>
      <c r="O139">
        <v>764622.4</v>
      </c>
      <c r="P139">
        <v>645227.19999999995</v>
      </c>
      <c r="Q139">
        <v>1100065.2</v>
      </c>
      <c r="R139">
        <v>848510</v>
      </c>
      <c r="S139">
        <v>616090.4</v>
      </c>
      <c r="T139">
        <v>2921304.4</v>
      </c>
      <c r="U139">
        <v>2247954.4</v>
      </c>
      <c r="V139">
        <v>663956.6</v>
      </c>
      <c r="W139">
        <v>1149300.8</v>
      </c>
      <c r="Y139">
        <v>0.8653493285994045</v>
      </c>
      <c r="Z139">
        <v>0.92044991157017653</v>
      </c>
      <c r="AA139">
        <v>0.91578819993883376</v>
      </c>
      <c r="AB139">
        <v>0.67234013939741999</v>
      </c>
      <c r="AC139">
        <v>1.1257285217812749</v>
      </c>
      <c r="AD139">
        <v>0.95463697637896983</v>
      </c>
      <c r="AE139">
        <v>0.75539235261967408</v>
      </c>
      <c r="AF139">
        <v>0.59582605301402514</v>
      </c>
      <c r="AG139">
        <v>0.81820660935482015</v>
      </c>
      <c r="AH139">
        <v>2.7174100611824539</v>
      </c>
      <c r="AI139">
        <v>1.631531254632864</v>
      </c>
      <c r="AK139">
        <v>0.8653493285994045</v>
      </c>
      <c r="AL139">
        <v>0.41341550841461872</v>
      </c>
      <c r="AM139">
        <v>0.40923319418216131</v>
      </c>
      <c r="AN139">
        <v>0.67234013939741999</v>
      </c>
      <c r="AO139">
        <v>0.51788516060332768</v>
      </c>
      <c r="AP139">
        <v>0.95463697637896983</v>
      </c>
      <c r="AQ139">
        <v>0.40545303660910581</v>
      </c>
      <c r="AR139">
        <v>0.30297323939157639</v>
      </c>
      <c r="AS139">
        <v>0.29510392019292342</v>
      </c>
      <c r="AT139">
        <v>2.7174100611824539</v>
      </c>
      <c r="AU139">
        <v>0.92341634177137166</v>
      </c>
      <c r="AW139">
        <v>0.26136366999708111</v>
      </c>
      <c r="AY139">
        <v>1</v>
      </c>
    </row>
    <row r="140" spans="1:51" x14ac:dyDescent="0.3">
      <c r="A140">
        <v>11</v>
      </c>
      <c r="B140" t="s">
        <v>185</v>
      </c>
      <c r="C140" t="s">
        <v>183</v>
      </c>
      <c r="D140" t="s">
        <v>184</v>
      </c>
      <c r="F140" s="7">
        <v>0</v>
      </c>
      <c r="G140" s="7">
        <v>1</v>
      </c>
      <c r="H140" s="3">
        <v>0</v>
      </c>
      <c r="I140">
        <f t="shared" si="4"/>
        <v>0</v>
      </c>
      <c r="J140">
        <f t="shared" si="5"/>
        <v>1</v>
      </c>
      <c r="K140">
        <v>2</v>
      </c>
      <c r="L140">
        <v>0</v>
      </c>
      <c r="M140">
        <v>221783.6</v>
      </c>
      <c r="N140">
        <v>1187332.2</v>
      </c>
      <c r="O140">
        <v>1201886.6000000001</v>
      </c>
      <c r="P140">
        <v>223469.4</v>
      </c>
      <c r="Q140">
        <v>2389759.4</v>
      </c>
      <c r="R140">
        <v>24139.4</v>
      </c>
      <c r="S140">
        <v>1796858.8</v>
      </c>
      <c r="T140">
        <v>2923595</v>
      </c>
      <c r="U140">
        <v>2272802.6</v>
      </c>
      <c r="V140">
        <v>40470.400000000001</v>
      </c>
      <c r="W140">
        <v>2589242</v>
      </c>
      <c r="Y140">
        <v>0.31186809700448059</v>
      </c>
      <c r="Z140">
        <v>1.275783658598084</v>
      </c>
      <c r="AA140">
        <v>1.2885213489644229</v>
      </c>
      <c r="AB140">
        <v>0.32716823400696737</v>
      </c>
      <c r="AC140">
        <v>1.744918800157029</v>
      </c>
      <c r="AD140">
        <v>0.1371974499896168</v>
      </c>
      <c r="AE140">
        <v>1.6189736752188759</v>
      </c>
      <c r="AF140">
        <v>0.59397927763639013</v>
      </c>
      <c r="AG140">
        <v>0.83375853574834768</v>
      </c>
      <c r="AH140">
        <v>0.115695873403456</v>
      </c>
      <c r="AI140">
        <v>2.9577236102079039</v>
      </c>
      <c r="AK140">
        <v>0.31186809700448059</v>
      </c>
      <c r="AL140">
        <v>0.4598460540175438</v>
      </c>
      <c r="AM140">
        <v>0.47023556960048152</v>
      </c>
      <c r="AN140">
        <v>0.32716823400696737</v>
      </c>
      <c r="AO140">
        <v>0.56507229919661772</v>
      </c>
      <c r="AP140">
        <v>0.1371974499896168</v>
      </c>
      <c r="AQ140">
        <v>0.59916398641653357</v>
      </c>
      <c r="AR140">
        <v>0.29929495023097841</v>
      </c>
      <c r="AS140">
        <v>0.30790362296393142</v>
      </c>
      <c r="AT140">
        <v>0.115695873403456</v>
      </c>
      <c r="AU140">
        <v>1.60917298119748</v>
      </c>
      <c r="AW140">
        <v>0.25202488661743699</v>
      </c>
      <c r="AY140">
        <v>1</v>
      </c>
    </row>
    <row r="141" spans="1:51" x14ac:dyDescent="0.3">
      <c r="A141">
        <v>11</v>
      </c>
      <c r="B141" t="s">
        <v>186</v>
      </c>
      <c r="C141" t="s">
        <v>183</v>
      </c>
      <c r="D141" t="s">
        <v>184</v>
      </c>
      <c r="F141" s="7">
        <v>0</v>
      </c>
      <c r="G141" s="7">
        <v>1</v>
      </c>
      <c r="H141" s="3">
        <v>0</v>
      </c>
      <c r="I141">
        <f t="shared" si="4"/>
        <v>0</v>
      </c>
      <c r="J141">
        <f t="shared" si="5"/>
        <v>1</v>
      </c>
      <c r="K141">
        <v>2</v>
      </c>
      <c r="L141">
        <v>0</v>
      </c>
      <c r="M141">
        <v>202423.8</v>
      </c>
      <c r="N141">
        <v>1144548.8</v>
      </c>
      <c r="O141">
        <v>1153781.2</v>
      </c>
      <c r="P141">
        <v>200001.6</v>
      </c>
      <c r="Q141">
        <v>2696573</v>
      </c>
      <c r="R141">
        <v>9.4</v>
      </c>
      <c r="S141">
        <v>1688884.6</v>
      </c>
      <c r="T141">
        <v>2922651.4</v>
      </c>
      <c r="U141">
        <v>2271583.4</v>
      </c>
      <c r="V141">
        <v>476.4</v>
      </c>
      <c r="W141">
        <v>2993068.2</v>
      </c>
      <c r="Y141">
        <v>0.25530184920644389</v>
      </c>
      <c r="Z141">
        <v>1.290224300976843</v>
      </c>
      <c r="AA141">
        <v>1.296266314911191</v>
      </c>
      <c r="AB141">
        <v>0.26833105519181111</v>
      </c>
      <c r="AC141">
        <v>2.0071490501693909</v>
      </c>
      <c r="AD141">
        <v>8.8725298189092403E-2</v>
      </c>
      <c r="AE141">
        <v>1.650009565427899</v>
      </c>
      <c r="AF141">
        <v>0.59243785856524478</v>
      </c>
      <c r="AG141">
        <v>0.83195384457940236</v>
      </c>
      <c r="AH141">
        <v>6.4133239910005996E-3</v>
      </c>
      <c r="AI141">
        <v>3.3106546373572199</v>
      </c>
      <c r="AK141">
        <v>0.25530184920644389</v>
      </c>
      <c r="AL141">
        <v>0.48628859480377279</v>
      </c>
      <c r="AM141">
        <v>0.48989903818583108</v>
      </c>
      <c r="AN141">
        <v>0.26833105519181111</v>
      </c>
      <c r="AO141">
        <v>0.64988005679333583</v>
      </c>
      <c r="AP141">
        <v>8.8725298189092403E-2</v>
      </c>
      <c r="AQ141">
        <v>0.62145836481358852</v>
      </c>
      <c r="AR141">
        <v>0.30194337356369938</v>
      </c>
      <c r="AS141">
        <v>0.3059781963471323</v>
      </c>
      <c r="AT141">
        <v>6.4133239910005996E-3</v>
      </c>
      <c r="AU141">
        <v>1.821974430000409</v>
      </c>
      <c r="AW141">
        <v>0.25286682780133563</v>
      </c>
      <c r="AY141">
        <v>1</v>
      </c>
    </row>
    <row r="142" spans="1:51" x14ac:dyDescent="0.3">
      <c r="A142">
        <v>11</v>
      </c>
      <c r="B142" t="s">
        <v>187</v>
      </c>
      <c r="C142" t="s">
        <v>183</v>
      </c>
      <c r="D142" t="s">
        <v>184</v>
      </c>
      <c r="F142" s="7">
        <v>0</v>
      </c>
      <c r="G142" s="7">
        <v>0</v>
      </c>
      <c r="H142" s="3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723791.4</v>
      </c>
      <c r="O142">
        <v>727013.2</v>
      </c>
      <c r="P142">
        <v>531619.6</v>
      </c>
      <c r="Q142">
        <v>1144561.3999999999</v>
      </c>
      <c r="R142">
        <v>238373</v>
      </c>
      <c r="S142">
        <v>528201</v>
      </c>
      <c r="T142">
        <v>2919608</v>
      </c>
      <c r="U142">
        <v>2254390</v>
      </c>
      <c r="V142">
        <v>1059873.6000000001</v>
      </c>
      <c r="W142">
        <v>1157846.6000000001</v>
      </c>
      <c r="Y142">
        <v>0.59608921640319745</v>
      </c>
      <c r="Z142">
        <v>0.93133502379059796</v>
      </c>
      <c r="AA142">
        <v>0.92256202303105961</v>
      </c>
      <c r="AB142">
        <v>0.55337010360090066</v>
      </c>
      <c r="AC142">
        <v>1.184396529791411</v>
      </c>
      <c r="AD142">
        <v>0.46240489878691732</v>
      </c>
      <c r="AE142">
        <v>0.70048920406261461</v>
      </c>
      <c r="AF142">
        <v>0.59691892045084383</v>
      </c>
      <c r="AG142">
        <v>0.82462173117091875</v>
      </c>
      <c r="AH142">
        <v>2.7320044143940319</v>
      </c>
      <c r="AI142">
        <v>1.624130583624356</v>
      </c>
      <c r="AK142">
        <v>0.59608921640319745</v>
      </c>
      <c r="AL142">
        <v>0.45656027619261302</v>
      </c>
      <c r="AM142">
        <v>0.44841707341838632</v>
      </c>
      <c r="AN142">
        <v>0.55337010360090066</v>
      </c>
      <c r="AO142">
        <v>0.54952103839605115</v>
      </c>
      <c r="AP142">
        <v>0.46240489878691732</v>
      </c>
      <c r="AQ142">
        <v>0.41802473141578961</v>
      </c>
      <c r="AR142">
        <v>0.30233628405258062</v>
      </c>
      <c r="AS142">
        <v>0.29826718516414991</v>
      </c>
      <c r="AT142">
        <v>2.7320044143940319</v>
      </c>
      <c r="AU142">
        <v>0.94122599618276581</v>
      </c>
      <c r="AW142">
        <v>0.2561147154076025</v>
      </c>
      <c r="AY142">
        <v>1</v>
      </c>
    </row>
    <row r="143" spans="1:51" x14ac:dyDescent="0.3">
      <c r="A143">
        <v>11</v>
      </c>
      <c r="B143" t="s">
        <v>188</v>
      </c>
      <c r="C143" t="s">
        <v>189</v>
      </c>
      <c r="D143" t="s">
        <v>190</v>
      </c>
      <c r="F143" s="7">
        <v>0</v>
      </c>
      <c r="G143" s="7">
        <v>0</v>
      </c>
      <c r="H143" s="3">
        <v>0</v>
      </c>
      <c r="I143">
        <f t="shared" si="4"/>
        <v>0</v>
      </c>
      <c r="J143">
        <f t="shared" si="5"/>
        <v>1</v>
      </c>
      <c r="K143">
        <v>3</v>
      </c>
      <c r="L143">
        <v>0</v>
      </c>
      <c r="M143">
        <v>1978216.8</v>
      </c>
      <c r="N143">
        <v>5090151.2</v>
      </c>
      <c r="O143">
        <v>4859338</v>
      </c>
      <c r="P143">
        <v>4631787.2</v>
      </c>
      <c r="Q143">
        <v>3448240.4</v>
      </c>
      <c r="R143">
        <v>4256270</v>
      </c>
      <c r="S143">
        <v>4489040</v>
      </c>
      <c r="T143">
        <v>4770700</v>
      </c>
      <c r="U143">
        <v>3973259.8</v>
      </c>
      <c r="V143">
        <v>2822356.8</v>
      </c>
      <c r="W143">
        <v>3641966.4</v>
      </c>
      <c r="Y143">
        <v>1.906594675197266</v>
      </c>
      <c r="Z143">
        <v>3.8061704279738482</v>
      </c>
      <c r="AA143">
        <v>3.6773556907894092</v>
      </c>
      <c r="AB143">
        <v>3.50584640839952</v>
      </c>
      <c r="AC143">
        <v>2.632956216612365</v>
      </c>
      <c r="AD143">
        <v>3.575163344980683</v>
      </c>
      <c r="AE143">
        <v>3.0170099523849792</v>
      </c>
      <c r="AF143">
        <v>2.4179211343638598</v>
      </c>
      <c r="AG143">
        <v>2.5397678819950671</v>
      </c>
      <c r="AH143">
        <v>3.72804114461178</v>
      </c>
      <c r="AI143">
        <v>6.6935758384177459</v>
      </c>
      <c r="AK143">
        <v>1.906594675197266</v>
      </c>
      <c r="AL143">
        <v>1.806085293809883</v>
      </c>
      <c r="AM143">
        <v>1.6889589889906349</v>
      </c>
      <c r="AN143">
        <v>3.50584640839952</v>
      </c>
      <c r="AO143">
        <v>1.1792277582106181</v>
      </c>
      <c r="AP143">
        <v>3.575163344980683</v>
      </c>
      <c r="AQ143">
        <v>1.471523352002259</v>
      </c>
      <c r="AR143">
        <v>1.3642263675574211</v>
      </c>
      <c r="AS143">
        <v>0.53833907241933043</v>
      </c>
      <c r="AT143">
        <v>3.72804114461178</v>
      </c>
      <c r="AU143">
        <v>5.1283372266334482</v>
      </c>
      <c r="AW143">
        <v>0.29927685881266358</v>
      </c>
      <c r="AY143">
        <v>1</v>
      </c>
    </row>
    <row r="144" spans="1:51" x14ac:dyDescent="0.3">
      <c r="A144">
        <v>11</v>
      </c>
      <c r="B144" t="s">
        <v>191</v>
      </c>
      <c r="C144" t="s">
        <v>189</v>
      </c>
      <c r="D144" t="s">
        <v>190</v>
      </c>
      <c r="F144" s="7">
        <v>0</v>
      </c>
      <c r="G144" s="7">
        <v>1</v>
      </c>
      <c r="H144" s="3">
        <v>0</v>
      </c>
      <c r="I144">
        <f t="shared" si="4"/>
        <v>0</v>
      </c>
      <c r="J144">
        <f t="shared" si="5"/>
        <v>1</v>
      </c>
      <c r="K144">
        <v>3</v>
      </c>
      <c r="L144">
        <v>0</v>
      </c>
      <c r="M144">
        <v>499564.79999999999</v>
      </c>
      <c r="N144">
        <v>11860421.800000001</v>
      </c>
      <c r="O144">
        <v>12016791.4</v>
      </c>
      <c r="P144">
        <v>223950</v>
      </c>
      <c r="Q144">
        <v>13377749.4</v>
      </c>
      <c r="R144">
        <v>236550.8</v>
      </c>
      <c r="S144">
        <v>15796283.6</v>
      </c>
      <c r="T144">
        <v>4027835.8</v>
      </c>
      <c r="U144">
        <v>4385363.4000000004</v>
      </c>
      <c r="V144">
        <v>135743.4</v>
      </c>
      <c r="W144">
        <v>13671556</v>
      </c>
      <c r="Y144">
        <v>0.74371537300758062</v>
      </c>
      <c r="Z144">
        <v>8.5477031513466493</v>
      </c>
      <c r="AA144">
        <v>8.5696707840310413</v>
      </c>
      <c r="AB144">
        <v>0.6265355059877038</v>
      </c>
      <c r="AC144">
        <v>10.35482953299652</v>
      </c>
      <c r="AD144">
        <v>0.45650133241433649</v>
      </c>
      <c r="AE144">
        <v>10.26764083323069</v>
      </c>
      <c r="AF144">
        <v>1.777574836602434</v>
      </c>
      <c r="AG144">
        <v>2.84928584182635</v>
      </c>
      <c r="AH144">
        <v>0.37762373898876828</v>
      </c>
      <c r="AI144">
        <v>22.66619313082192</v>
      </c>
      <c r="AK144">
        <v>0.74371537300758062</v>
      </c>
      <c r="AL144">
        <v>2.771515010192525</v>
      </c>
      <c r="AM144">
        <v>2.83496487159282</v>
      </c>
      <c r="AN144">
        <v>0.6265355059877038</v>
      </c>
      <c r="AO144">
        <v>3.5750436791975519</v>
      </c>
      <c r="AP144">
        <v>0.45650133241433649</v>
      </c>
      <c r="AQ144">
        <v>3.3514951530261898</v>
      </c>
      <c r="AR144">
        <v>1.061972901388071</v>
      </c>
      <c r="AS144">
        <v>0.63437477897386996</v>
      </c>
      <c r="AT144">
        <v>0.37762373898876828</v>
      </c>
      <c r="AU144">
        <v>18.95616520938929</v>
      </c>
      <c r="AW144">
        <v>0.30562730099773028</v>
      </c>
      <c r="AY144">
        <v>1</v>
      </c>
    </row>
    <row r="145" spans="1:51" x14ac:dyDescent="0.3">
      <c r="A145">
        <v>11</v>
      </c>
      <c r="B145" t="s">
        <v>192</v>
      </c>
      <c r="C145" t="s">
        <v>189</v>
      </c>
      <c r="D145" t="s">
        <v>190</v>
      </c>
      <c r="F145" s="7">
        <v>0</v>
      </c>
      <c r="G145" s="7">
        <v>1</v>
      </c>
      <c r="H145" s="3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1447384.8</v>
      </c>
      <c r="O145">
        <v>1452094.2</v>
      </c>
      <c r="P145">
        <v>32522794.600000001</v>
      </c>
      <c r="Q145">
        <v>497741.8</v>
      </c>
      <c r="R145">
        <v>13724934.199999999</v>
      </c>
      <c r="S145">
        <v>548960.6</v>
      </c>
      <c r="T145">
        <v>4309289.2</v>
      </c>
      <c r="U145">
        <v>4132979.2</v>
      </c>
      <c r="V145">
        <v>28321760.800000001</v>
      </c>
      <c r="W145">
        <v>510844.6</v>
      </c>
      <c r="Y145">
        <v>5.7158082449925134</v>
      </c>
      <c r="Z145">
        <v>1.500293417612556</v>
      </c>
      <c r="AA145">
        <v>1.496012375596911</v>
      </c>
      <c r="AB145">
        <v>30.193405625200828</v>
      </c>
      <c r="AC145">
        <v>1.007812240993371</v>
      </c>
      <c r="AD145">
        <v>9.9875361472135413</v>
      </c>
      <c r="AE145">
        <v>1.0442451203824019</v>
      </c>
      <c r="AF145">
        <v>2.02620518252952</v>
      </c>
      <c r="AG145">
        <v>2.665887337480672</v>
      </c>
      <c r="AH145">
        <v>13.075008148013151</v>
      </c>
      <c r="AI145">
        <v>2.204723046394065</v>
      </c>
      <c r="AK145">
        <v>5.7158082449925134</v>
      </c>
      <c r="AL145">
        <v>0.59814580600941558</v>
      </c>
      <c r="AM145">
        <v>0.59831648900872092</v>
      </c>
      <c r="AN145">
        <v>30.193405625200828</v>
      </c>
      <c r="AO145">
        <v>0.47744373600580731</v>
      </c>
      <c r="AP145">
        <v>9.9875361472135413</v>
      </c>
      <c r="AQ145">
        <v>0.51253768978640435</v>
      </c>
      <c r="AR145">
        <v>1.1260971555486321</v>
      </c>
      <c r="AS145">
        <v>0.57795414841966708</v>
      </c>
      <c r="AT145">
        <v>13.075008148013151</v>
      </c>
      <c r="AU145">
        <v>1.0806944563752039</v>
      </c>
      <c r="AW145">
        <v>0.30407499660504977</v>
      </c>
      <c r="AY145">
        <v>1</v>
      </c>
    </row>
    <row r="146" spans="1:51" x14ac:dyDescent="0.3">
      <c r="A146">
        <v>11</v>
      </c>
      <c r="B146" t="s">
        <v>193</v>
      </c>
      <c r="C146" t="s">
        <v>189</v>
      </c>
      <c r="D146" t="s">
        <v>190</v>
      </c>
      <c r="F146" s="7">
        <v>0</v>
      </c>
      <c r="G146" s="7">
        <v>0</v>
      </c>
      <c r="H146" s="3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1575628.4</v>
      </c>
      <c r="O146">
        <v>1570667.2</v>
      </c>
      <c r="P146">
        <v>4488034.8</v>
      </c>
      <c r="Q146">
        <v>854153</v>
      </c>
      <c r="R146">
        <v>9560862.1999999993</v>
      </c>
      <c r="S146">
        <v>1071463</v>
      </c>
      <c r="T146">
        <v>4508969.5999999996</v>
      </c>
      <c r="U146">
        <v>3726258.4</v>
      </c>
      <c r="V146">
        <v>7816182.5999999996</v>
      </c>
      <c r="W146">
        <v>825501.2</v>
      </c>
      <c r="Y146">
        <v>2.324588616611436</v>
      </c>
      <c r="Z146">
        <v>1.660351297422312</v>
      </c>
      <c r="AA146">
        <v>1.643394871638157</v>
      </c>
      <c r="AB146">
        <v>2.4969171376083978</v>
      </c>
      <c r="AC146">
        <v>1.3509695868007841</v>
      </c>
      <c r="AD146">
        <v>5.481270746025257</v>
      </c>
      <c r="AE146">
        <v>1.3032649263390339</v>
      </c>
      <c r="AF146">
        <v>2.163685255404562</v>
      </c>
      <c r="AG146">
        <v>2.345992822642438</v>
      </c>
      <c r="AH146">
        <v>4.4524377136025581</v>
      </c>
      <c r="AI146">
        <v>2.6948719648644328</v>
      </c>
      <c r="AK146">
        <v>2.324588616611436</v>
      </c>
      <c r="AL146">
        <v>0.72033449759474022</v>
      </c>
      <c r="AM146">
        <v>0.70870205040555445</v>
      </c>
      <c r="AN146">
        <v>2.4969171376083978</v>
      </c>
      <c r="AO146">
        <v>0.5965313441993203</v>
      </c>
      <c r="AP146">
        <v>5.481270746025257</v>
      </c>
      <c r="AQ146">
        <v>0.60206215637736027</v>
      </c>
      <c r="AR146">
        <v>1.261830215610098</v>
      </c>
      <c r="AS146">
        <v>0.52576332645257939</v>
      </c>
      <c r="AT146">
        <v>4.4524377136025581</v>
      </c>
      <c r="AU146">
        <v>1.463693543395493</v>
      </c>
      <c r="AW146">
        <v>0.30728159659774967</v>
      </c>
      <c r="AY146">
        <v>1</v>
      </c>
    </row>
    <row r="147" spans="1:51" x14ac:dyDescent="0.3">
      <c r="A147">
        <v>11</v>
      </c>
      <c r="B147" t="s">
        <v>194</v>
      </c>
      <c r="C147" t="s">
        <v>189</v>
      </c>
      <c r="D147" t="s">
        <v>190</v>
      </c>
      <c r="F147" s="7">
        <v>0</v>
      </c>
      <c r="G147" s="7">
        <v>1</v>
      </c>
      <c r="H147" s="3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1807240</v>
      </c>
      <c r="O147">
        <v>1813042.6</v>
      </c>
      <c r="P147">
        <v>18198348.600000001</v>
      </c>
      <c r="Q147">
        <v>1044733</v>
      </c>
      <c r="R147">
        <v>13410366</v>
      </c>
      <c r="S147">
        <v>2217899.6</v>
      </c>
      <c r="T147">
        <v>4777285.4000000004</v>
      </c>
      <c r="U147">
        <v>3835736</v>
      </c>
      <c r="V147">
        <v>24823075.199999999</v>
      </c>
      <c r="W147">
        <v>1125848.8</v>
      </c>
      <c r="Y147">
        <v>3.1670560710015701</v>
      </c>
      <c r="Z147">
        <v>1.7516821286175399</v>
      </c>
      <c r="AA147">
        <v>1.747533927171026</v>
      </c>
      <c r="AB147">
        <v>6.6811221903946718</v>
      </c>
      <c r="AC147">
        <v>1.3925062427995729</v>
      </c>
      <c r="AD147">
        <v>8.881436062802095</v>
      </c>
      <c r="AE147">
        <v>1.968174929358065</v>
      </c>
      <c r="AF147">
        <v>2.391776141978335</v>
      </c>
      <c r="AG147">
        <v>2.416624444839544</v>
      </c>
      <c r="AH147">
        <v>8.0384743922040798</v>
      </c>
      <c r="AI147">
        <v>2.894070737191941</v>
      </c>
      <c r="AK147">
        <v>3.1670560710015701</v>
      </c>
      <c r="AL147">
        <v>0.72174076340161264</v>
      </c>
      <c r="AM147">
        <v>0.71975653897970915</v>
      </c>
      <c r="AN147">
        <v>6.6811221903946718</v>
      </c>
      <c r="AO147">
        <v>0.64173072320991198</v>
      </c>
      <c r="AP147">
        <v>8.881436062802095</v>
      </c>
      <c r="AQ147">
        <v>0.96458978719310839</v>
      </c>
      <c r="AR147">
        <v>1.3528960691881371</v>
      </c>
      <c r="AS147">
        <v>0.51570227380143474</v>
      </c>
      <c r="AT147">
        <v>8.0384743922040798</v>
      </c>
      <c r="AU147">
        <v>1.56073833159171</v>
      </c>
      <c r="AW147">
        <v>0.29990694519365207</v>
      </c>
      <c r="AY147">
        <v>1</v>
      </c>
    </row>
    <row r="148" spans="1:51" x14ac:dyDescent="0.3">
      <c r="A148">
        <v>11</v>
      </c>
      <c r="B148" t="s">
        <v>195</v>
      </c>
      <c r="C148" t="s">
        <v>189</v>
      </c>
      <c r="D148" t="s">
        <v>190</v>
      </c>
      <c r="F148" s="7">
        <v>0</v>
      </c>
      <c r="G148" s="7">
        <v>0</v>
      </c>
      <c r="H148" s="3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661045</v>
      </c>
      <c r="O148">
        <v>662301.80000000005</v>
      </c>
      <c r="P148">
        <v>3704771.6</v>
      </c>
      <c r="Q148">
        <v>287590.8</v>
      </c>
      <c r="R148">
        <v>3937534.6</v>
      </c>
      <c r="S148">
        <v>232363</v>
      </c>
      <c r="T148">
        <v>4043405.6</v>
      </c>
      <c r="U148">
        <v>4035637.8</v>
      </c>
      <c r="V148">
        <v>4720950</v>
      </c>
      <c r="W148">
        <v>280663.59999999998</v>
      </c>
      <c r="Y148">
        <v>2.0350598249933678</v>
      </c>
      <c r="Z148">
        <v>0.97300581301096822</v>
      </c>
      <c r="AA148">
        <v>0.96310572862857957</v>
      </c>
      <c r="AB148">
        <v>4.0964175330009311</v>
      </c>
      <c r="AC148">
        <v>0.75766385422321036</v>
      </c>
      <c r="AD148">
        <v>4.1766148640075702</v>
      </c>
      <c r="AE148">
        <v>0.71411909136222673</v>
      </c>
      <c r="AF148">
        <v>1.7657227999879981</v>
      </c>
      <c r="AG148">
        <v>2.575806565012317</v>
      </c>
      <c r="AH148">
        <v>4.490550657000858</v>
      </c>
      <c r="AI148">
        <v>1.3951633924036291</v>
      </c>
      <c r="AK148">
        <v>2.0350598249933678</v>
      </c>
      <c r="AL148">
        <v>0.48714432141277941</v>
      </c>
      <c r="AM148">
        <v>0.48134634240996088</v>
      </c>
      <c r="AN148">
        <v>4.0964175330009311</v>
      </c>
      <c r="AO148">
        <v>0.39602500541368502</v>
      </c>
      <c r="AP148">
        <v>4.1766148640075702</v>
      </c>
      <c r="AQ148">
        <v>0.4723739771754481</v>
      </c>
      <c r="AR148">
        <v>1.0560557977878491</v>
      </c>
      <c r="AS148">
        <v>0.54549076542025432</v>
      </c>
      <c r="AT148">
        <v>4.490550657000858</v>
      </c>
      <c r="AU148">
        <v>0.76564336101291697</v>
      </c>
      <c r="AW148">
        <v>0.30900806779973211</v>
      </c>
      <c r="AY148">
        <v>1</v>
      </c>
    </row>
    <row r="149" spans="1:51" x14ac:dyDescent="0.3">
      <c r="A149">
        <v>11</v>
      </c>
      <c r="B149" t="s">
        <v>196</v>
      </c>
      <c r="C149" t="s">
        <v>189</v>
      </c>
      <c r="D149" t="s">
        <v>190</v>
      </c>
      <c r="F149" s="7">
        <v>0</v>
      </c>
      <c r="G149" s="7">
        <v>0</v>
      </c>
      <c r="H149" s="3">
        <v>0</v>
      </c>
      <c r="I149">
        <f t="shared" si="4"/>
        <v>0</v>
      </c>
      <c r="J149">
        <f t="shared" si="5"/>
        <v>1</v>
      </c>
      <c r="K149">
        <v>3</v>
      </c>
      <c r="L149">
        <v>0</v>
      </c>
      <c r="M149">
        <v>205994.4</v>
      </c>
      <c r="N149">
        <v>12102538</v>
      </c>
      <c r="O149">
        <v>12402872</v>
      </c>
      <c r="P149">
        <v>201888.4</v>
      </c>
      <c r="Q149">
        <v>14236434</v>
      </c>
      <c r="R149">
        <v>1083</v>
      </c>
      <c r="S149">
        <v>17925578.199999999</v>
      </c>
      <c r="T149">
        <v>4281782</v>
      </c>
      <c r="U149">
        <v>4576010.4000000004</v>
      </c>
      <c r="V149">
        <v>6643.6</v>
      </c>
      <c r="W149">
        <v>15488294.6</v>
      </c>
      <c r="Y149">
        <v>0.37611250180052591</v>
      </c>
      <c r="Z149">
        <v>9.0420905577950172</v>
      </c>
      <c r="AA149">
        <v>9.1578106711851426</v>
      </c>
      <c r="AB149">
        <v>0.40234600940020748</v>
      </c>
      <c r="AC149">
        <v>11.03317075681989</v>
      </c>
      <c r="AD149">
        <v>9.5452528807800197E-2</v>
      </c>
      <c r="AE149">
        <v>13.058599514397789</v>
      </c>
      <c r="AF149">
        <v>1.9918277395889159</v>
      </c>
      <c r="AG149">
        <v>2.98662087104749</v>
      </c>
      <c r="AH149">
        <v>3.5055495402775659E-2</v>
      </c>
      <c r="AI149">
        <v>23.159714440593959</v>
      </c>
      <c r="AK149">
        <v>0.37611250180052591</v>
      </c>
      <c r="AL149">
        <v>3.0188354454119688</v>
      </c>
      <c r="AM149">
        <v>3.159648955985904</v>
      </c>
      <c r="AN149">
        <v>0.40234600940020748</v>
      </c>
      <c r="AO149">
        <v>3.6186650266055951</v>
      </c>
      <c r="AP149">
        <v>9.5452528807800197E-2</v>
      </c>
      <c r="AQ149">
        <v>4.4081628390122214</v>
      </c>
      <c r="AR149">
        <v>1.1167542839655651</v>
      </c>
      <c r="AS149">
        <v>0.67947297795908523</v>
      </c>
      <c r="AT149">
        <v>3.5055495402775659E-2</v>
      </c>
      <c r="AU149">
        <v>19.15018683780217</v>
      </c>
      <c r="AW149">
        <v>0.29931686200434338</v>
      </c>
      <c r="AY149">
        <v>1</v>
      </c>
    </row>
    <row r="150" spans="1:51" x14ac:dyDescent="0.3">
      <c r="A150">
        <v>11</v>
      </c>
      <c r="B150" t="s">
        <v>197</v>
      </c>
      <c r="C150" t="s">
        <v>189</v>
      </c>
      <c r="D150" t="s">
        <v>190</v>
      </c>
      <c r="F150" s="7">
        <v>0</v>
      </c>
      <c r="G150" s="7">
        <v>1</v>
      </c>
      <c r="H150" s="3">
        <v>0</v>
      </c>
      <c r="I150">
        <f t="shared" si="4"/>
        <v>0</v>
      </c>
      <c r="J150">
        <f t="shared" si="5"/>
        <v>1</v>
      </c>
      <c r="K150">
        <v>3</v>
      </c>
      <c r="L150">
        <v>0</v>
      </c>
      <c r="M150">
        <v>1751655</v>
      </c>
      <c r="N150">
        <v>4180553.2</v>
      </c>
      <c r="O150">
        <v>4795426.2</v>
      </c>
      <c r="P150">
        <v>13007666</v>
      </c>
      <c r="Q150">
        <v>4283303.4000000004</v>
      </c>
      <c r="R150">
        <v>2577124.7999999998</v>
      </c>
      <c r="S150">
        <v>6371674.4000000004</v>
      </c>
      <c r="T150">
        <v>4515810.5999999996</v>
      </c>
      <c r="U150">
        <v>3850872.2</v>
      </c>
      <c r="V150">
        <v>9548549.1999999993</v>
      </c>
      <c r="W150">
        <v>4840221.4000000004</v>
      </c>
      <c r="Y150">
        <v>1.796282715804409</v>
      </c>
      <c r="Z150">
        <v>3.4998923108214508</v>
      </c>
      <c r="AA150">
        <v>3.7841084898333071</v>
      </c>
      <c r="AB150">
        <v>8.5700211472052619</v>
      </c>
      <c r="AC150">
        <v>3.114921223791316</v>
      </c>
      <c r="AD150">
        <v>2.4939366825856268</v>
      </c>
      <c r="AE150">
        <v>4.6586559128132654</v>
      </c>
      <c r="AF150">
        <v>2.158064924227074</v>
      </c>
      <c r="AG150">
        <v>2.4356172384927048</v>
      </c>
      <c r="AH150">
        <v>5.5345446320134224</v>
      </c>
      <c r="AI150">
        <v>6.8387097206432372</v>
      </c>
      <c r="AK150">
        <v>1.796282715804409</v>
      </c>
      <c r="AL150">
        <v>1.4320068640052339</v>
      </c>
      <c r="AM150">
        <v>1.718224005412776</v>
      </c>
      <c r="AN150">
        <v>8.5700211472052619</v>
      </c>
      <c r="AO150">
        <v>1.429928288998781</v>
      </c>
      <c r="AP150">
        <v>2.4939366825856268</v>
      </c>
      <c r="AQ150">
        <v>2.121813872212079</v>
      </c>
      <c r="AR150">
        <v>1.2577680694288571</v>
      </c>
      <c r="AS150">
        <v>0.56599441439611842</v>
      </c>
      <c r="AT150">
        <v>5.5345446320134224</v>
      </c>
      <c r="AU150">
        <v>5.1150098294019699</v>
      </c>
      <c r="AW150">
        <v>0.31833809561794618</v>
      </c>
      <c r="AY150">
        <v>1</v>
      </c>
    </row>
    <row r="151" spans="1:51" x14ac:dyDescent="0.3">
      <c r="A151">
        <v>12</v>
      </c>
      <c r="B151" t="s">
        <v>198</v>
      </c>
      <c r="C151" t="s">
        <v>199</v>
      </c>
      <c r="D151" t="s">
        <v>200</v>
      </c>
      <c r="F151" s="7">
        <v>0</v>
      </c>
      <c r="G151" s="7">
        <v>0</v>
      </c>
      <c r="H151" s="3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317340.2</v>
      </c>
      <c r="O151">
        <v>317325.40000000002</v>
      </c>
      <c r="P151">
        <v>2794601</v>
      </c>
      <c r="Q151">
        <v>212900.6</v>
      </c>
      <c r="R151">
        <v>6701116.2000000002</v>
      </c>
      <c r="S151">
        <v>18847.599999999999</v>
      </c>
      <c r="T151">
        <v>2911592.8</v>
      </c>
      <c r="U151">
        <v>2260351.2000000002</v>
      </c>
      <c r="V151">
        <v>2600042.6</v>
      </c>
      <c r="W151">
        <v>91707.199999999997</v>
      </c>
      <c r="Y151">
        <v>1.855321812804323</v>
      </c>
      <c r="Z151">
        <v>0.57453053959179667</v>
      </c>
      <c r="AA151">
        <v>0.56863203078974034</v>
      </c>
      <c r="AB151">
        <v>2.0499335161992351</v>
      </c>
      <c r="AC151">
        <v>0.55180278519983406</v>
      </c>
      <c r="AD151">
        <v>4.0020184607827103</v>
      </c>
      <c r="AE151">
        <v>0.36399243155028671</v>
      </c>
      <c r="AF151">
        <v>0.58143689917633312</v>
      </c>
      <c r="AG151">
        <v>0.80180975057883186</v>
      </c>
      <c r="AH151">
        <v>3.0935248856199911</v>
      </c>
      <c r="AI151">
        <v>0.67739123493665832</v>
      </c>
      <c r="AK151">
        <v>1.855321812804323</v>
      </c>
      <c r="AL151">
        <v>0.30096369360107927</v>
      </c>
      <c r="AM151">
        <v>0.29347286578267812</v>
      </c>
      <c r="AN151">
        <v>2.0499335161992351</v>
      </c>
      <c r="AO151">
        <v>0.29988527998793868</v>
      </c>
      <c r="AP151">
        <v>4.0020184607827103</v>
      </c>
      <c r="AQ151">
        <v>0.26701850678073241</v>
      </c>
      <c r="AR151">
        <v>0.3370880783651955</v>
      </c>
      <c r="AS151">
        <v>0.28875060585560269</v>
      </c>
      <c r="AT151">
        <v>3.0935248856199911</v>
      </c>
      <c r="AU151">
        <v>0.36010057218372821</v>
      </c>
      <c r="AW151">
        <v>0.2494009161950089</v>
      </c>
      <c r="AY151">
        <v>1</v>
      </c>
    </row>
    <row r="152" spans="1:51" x14ac:dyDescent="0.3">
      <c r="A152">
        <v>12</v>
      </c>
      <c r="B152" t="s">
        <v>201</v>
      </c>
      <c r="C152" t="s">
        <v>199</v>
      </c>
      <c r="D152" t="s">
        <v>200</v>
      </c>
      <c r="F152" s="7">
        <v>0</v>
      </c>
      <c r="G152" s="7">
        <v>1</v>
      </c>
      <c r="H152" s="3">
        <v>0</v>
      </c>
      <c r="I152">
        <f t="shared" si="4"/>
        <v>0</v>
      </c>
      <c r="J152">
        <f t="shared" si="5"/>
        <v>1</v>
      </c>
      <c r="K152">
        <v>2</v>
      </c>
      <c r="L152">
        <v>0</v>
      </c>
      <c r="M152">
        <v>200165.6</v>
      </c>
      <c r="N152">
        <v>1485534.6</v>
      </c>
      <c r="O152">
        <v>1486091</v>
      </c>
      <c r="P152">
        <v>200002.8</v>
      </c>
      <c r="Q152">
        <v>3869178</v>
      </c>
      <c r="R152">
        <v>12</v>
      </c>
      <c r="S152">
        <v>2337824.6</v>
      </c>
      <c r="T152">
        <v>2908702.6</v>
      </c>
      <c r="U152">
        <v>2322225</v>
      </c>
      <c r="V152">
        <v>494.8</v>
      </c>
      <c r="W152">
        <v>5567271.5999999996</v>
      </c>
      <c r="Y152">
        <v>0.25470892059383909</v>
      </c>
      <c r="Z152">
        <v>1.5814172884216531</v>
      </c>
      <c r="AA152">
        <v>1.5753434766433201</v>
      </c>
      <c r="AB152">
        <v>0.27464790380327031</v>
      </c>
      <c r="AC152">
        <v>2.6120558371942031</v>
      </c>
      <c r="AD152">
        <v>8.9586661802604745E-2</v>
      </c>
      <c r="AE152">
        <v>1.7739029857912101</v>
      </c>
      <c r="AF152">
        <v>0.58893900377443065</v>
      </c>
      <c r="AG152">
        <v>0.83856772596482188</v>
      </c>
      <c r="AH152">
        <v>5.5157610215245999E-3</v>
      </c>
      <c r="AI152">
        <v>4.3045718753826803</v>
      </c>
      <c r="AK152">
        <v>0.25470892059383909</v>
      </c>
      <c r="AL152">
        <v>0.54659470099722962</v>
      </c>
      <c r="AM152">
        <v>0.53875152881955723</v>
      </c>
      <c r="AN152">
        <v>0.27464790380327031</v>
      </c>
      <c r="AO152">
        <v>0.88932420498458664</v>
      </c>
      <c r="AP152">
        <v>8.9586661802604745E-2</v>
      </c>
      <c r="AQ152">
        <v>0.63553527618059891</v>
      </c>
      <c r="AR152">
        <v>0.34266180179547512</v>
      </c>
      <c r="AS152">
        <v>0.30269959538709368</v>
      </c>
      <c r="AT152">
        <v>5.5157610215245999E-3</v>
      </c>
      <c r="AU152">
        <v>2.4362370241782632</v>
      </c>
      <c r="AW152">
        <v>0.25376300039934002</v>
      </c>
      <c r="AY152">
        <v>1</v>
      </c>
    </row>
    <row r="153" spans="1:51" x14ac:dyDescent="0.3">
      <c r="A153">
        <v>12</v>
      </c>
      <c r="B153" t="s">
        <v>202</v>
      </c>
      <c r="C153" t="s">
        <v>199</v>
      </c>
      <c r="D153" t="s">
        <v>200</v>
      </c>
      <c r="F153" s="7">
        <v>0</v>
      </c>
      <c r="G153" s="7">
        <v>1</v>
      </c>
      <c r="H153" s="3">
        <v>0</v>
      </c>
      <c r="I153">
        <f t="shared" si="4"/>
        <v>0</v>
      </c>
      <c r="J153">
        <f t="shared" si="5"/>
        <v>1</v>
      </c>
      <c r="K153">
        <v>2</v>
      </c>
      <c r="L153">
        <v>0</v>
      </c>
      <c r="M153">
        <v>201795.6</v>
      </c>
      <c r="N153">
        <v>1517931.6</v>
      </c>
      <c r="O153">
        <v>1518501.8</v>
      </c>
      <c r="P153">
        <v>200144.2</v>
      </c>
      <c r="Q153">
        <v>4442947.5999999996</v>
      </c>
      <c r="R153">
        <v>308.39999999999998</v>
      </c>
      <c r="S153">
        <v>2284982.2000000002</v>
      </c>
      <c r="T153">
        <v>2909734.6</v>
      </c>
      <c r="U153">
        <v>2311707.7999999998</v>
      </c>
      <c r="V153">
        <v>2730.2</v>
      </c>
      <c r="W153">
        <v>5418859</v>
      </c>
      <c r="Y153">
        <v>0.27520837719785052</v>
      </c>
      <c r="Z153">
        <v>1.59876314944122</v>
      </c>
      <c r="AA153">
        <v>1.6062035203096461</v>
      </c>
      <c r="AB153">
        <v>0.30524662099778649</v>
      </c>
      <c r="AC153">
        <v>2.68806267157197</v>
      </c>
      <c r="AD153">
        <v>8.9367723814211722E-2</v>
      </c>
      <c r="AE153">
        <v>1.7641070647980091</v>
      </c>
      <c r="AF153">
        <v>0.58653913955204184</v>
      </c>
      <c r="AG153">
        <v>0.82843031963566316</v>
      </c>
      <c r="AH153">
        <v>1.7050219012889979E-2</v>
      </c>
      <c r="AI153">
        <v>4.1953681261627933</v>
      </c>
      <c r="AK153">
        <v>0.27520837719785052</v>
      </c>
      <c r="AL153">
        <v>0.56516452420037244</v>
      </c>
      <c r="AM153">
        <v>0.57007620717631657</v>
      </c>
      <c r="AN153">
        <v>0.30524662099778649</v>
      </c>
      <c r="AO153">
        <v>0.87653036397532558</v>
      </c>
      <c r="AP153">
        <v>8.9367723814211722E-2</v>
      </c>
      <c r="AQ153">
        <v>0.62904223860241471</v>
      </c>
      <c r="AR153">
        <v>0.33874444476095961</v>
      </c>
      <c r="AS153">
        <v>0.30003708265721801</v>
      </c>
      <c r="AT153">
        <v>1.7050219012889979E-2</v>
      </c>
      <c r="AU153">
        <v>2.4135133814066649</v>
      </c>
      <c r="AW153">
        <v>0.2487844014074653</v>
      </c>
      <c r="AY153">
        <v>1</v>
      </c>
    </row>
    <row r="154" spans="1:51" x14ac:dyDescent="0.3">
      <c r="A154">
        <v>12</v>
      </c>
      <c r="B154" t="s">
        <v>203</v>
      </c>
      <c r="C154" t="s">
        <v>199</v>
      </c>
      <c r="D154" t="s">
        <v>200</v>
      </c>
      <c r="F154" s="7">
        <v>0</v>
      </c>
      <c r="G154" s="7">
        <v>0</v>
      </c>
      <c r="H154" s="3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310811.59999999998</v>
      </c>
      <c r="O154">
        <v>310800.40000000002</v>
      </c>
      <c r="P154">
        <v>5993733.5999999996</v>
      </c>
      <c r="Q154">
        <v>225541.6</v>
      </c>
      <c r="R154">
        <v>5685799</v>
      </c>
      <c r="S154">
        <v>26825.4</v>
      </c>
      <c r="T154">
        <v>2912351</v>
      </c>
      <c r="U154">
        <v>2263912.4</v>
      </c>
      <c r="V154">
        <v>7909143.7999999998</v>
      </c>
      <c r="W154">
        <v>131479.79999999999</v>
      </c>
      <c r="Y154">
        <v>1.892753508989699</v>
      </c>
      <c r="Z154">
        <v>0.57720879542175685</v>
      </c>
      <c r="AA154">
        <v>0.57398639841703702</v>
      </c>
      <c r="AB154">
        <v>3.5641913257946731</v>
      </c>
      <c r="AC154">
        <v>0.53373220319044778</v>
      </c>
      <c r="AD154">
        <v>3.9127626775996762</v>
      </c>
      <c r="AE154">
        <v>0.36660833961796008</v>
      </c>
      <c r="AF154">
        <v>0.58404462562175463</v>
      </c>
      <c r="AG154">
        <v>0.80869012788170946</v>
      </c>
      <c r="AH154">
        <v>4.1253112927777691</v>
      </c>
      <c r="AI154">
        <v>0.66520866816863422</v>
      </c>
      <c r="AK154">
        <v>1.892753508989699</v>
      </c>
      <c r="AL154">
        <v>0.30376858041854571</v>
      </c>
      <c r="AM154">
        <v>0.29983111841138449</v>
      </c>
      <c r="AN154">
        <v>3.5641913257946731</v>
      </c>
      <c r="AO154">
        <v>0.28671261278796012</v>
      </c>
      <c r="AP154">
        <v>3.9127626775996762</v>
      </c>
      <c r="AQ154">
        <v>0.27320859542815012</v>
      </c>
      <c r="AR154">
        <v>0.34051210323814302</v>
      </c>
      <c r="AS154">
        <v>0.29354446023935449</v>
      </c>
      <c r="AT154">
        <v>4.1253112927777691</v>
      </c>
      <c r="AU154">
        <v>0.34654375080717731</v>
      </c>
      <c r="AW154">
        <v>0.25222423140658062</v>
      </c>
      <c r="AY154">
        <v>1</v>
      </c>
    </row>
    <row r="155" spans="1:51" x14ac:dyDescent="0.3">
      <c r="A155">
        <v>12</v>
      </c>
      <c r="B155" t="s">
        <v>204</v>
      </c>
      <c r="C155" t="s">
        <v>205</v>
      </c>
      <c r="D155" t="s">
        <v>206</v>
      </c>
      <c r="F155" s="7">
        <v>0</v>
      </c>
      <c r="G155" s="7">
        <v>0</v>
      </c>
      <c r="H155" s="3">
        <v>0</v>
      </c>
      <c r="I155">
        <f t="shared" si="4"/>
        <v>0</v>
      </c>
      <c r="J155">
        <f t="shared" si="5"/>
        <v>1</v>
      </c>
      <c r="K155">
        <v>3</v>
      </c>
      <c r="L155">
        <v>0</v>
      </c>
      <c r="M155">
        <v>7301203.7999999998</v>
      </c>
      <c r="N155">
        <v>2205179.2000000002</v>
      </c>
      <c r="O155">
        <v>2204791.7999999998</v>
      </c>
      <c r="P155">
        <v>8213772.5999999996</v>
      </c>
      <c r="Q155">
        <v>853058.8</v>
      </c>
      <c r="R155">
        <v>19778838.399999999</v>
      </c>
      <c r="S155">
        <v>1290438.6000000001</v>
      </c>
      <c r="T155">
        <v>9385951</v>
      </c>
      <c r="U155">
        <v>4869280</v>
      </c>
      <c r="V155">
        <v>8593867.5999999996</v>
      </c>
      <c r="W155">
        <v>2069843</v>
      </c>
      <c r="Y155">
        <v>5.5182222061906936</v>
      </c>
      <c r="Z155">
        <v>1.969679648580495</v>
      </c>
      <c r="AA155">
        <v>1.964140542596579</v>
      </c>
      <c r="AB155">
        <v>5.4236718379950606</v>
      </c>
      <c r="AC155">
        <v>1.255586022604257</v>
      </c>
      <c r="AD155">
        <v>11.00145386480726</v>
      </c>
      <c r="AE155">
        <v>1.6169373140204699</v>
      </c>
      <c r="AF155">
        <v>5.6930129923624921</v>
      </c>
      <c r="AG155">
        <v>3.1237973827985122</v>
      </c>
      <c r="AH155">
        <v>4.9050364927970804</v>
      </c>
      <c r="AI155">
        <v>3.0799241934320891</v>
      </c>
      <c r="AK155">
        <v>5.5182222061906936</v>
      </c>
      <c r="AL155">
        <v>0.72725163740105925</v>
      </c>
      <c r="AM155">
        <v>0.72566371397115292</v>
      </c>
      <c r="AN155">
        <v>5.4236718379950606</v>
      </c>
      <c r="AO155">
        <v>0.53477510839584286</v>
      </c>
      <c r="AP155">
        <v>11.00145386480726</v>
      </c>
      <c r="AQ155">
        <v>0.64781384158413857</v>
      </c>
      <c r="AR155">
        <v>3.9036080953897909</v>
      </c>
      <c r="AS155">
        <v>0.6147783733787946</v>
      </c>
      <c r="AT155">
        <v>4.9050364927970804</v>
      </c>
      <c r="AU155">
        <v>1.5885756080038851</v>
      </c>
      <c r="AW155">
        <v>0.30326664680615067</v>
      </c>
      <c r="AY155">
        <v>1</v>
      </c>
    </row>
    <row r="156" spans="1:51" x14ac:dyDescent="0.3">
      <c r="A156">
        <v>12</v>
      </c>
      <c r="B156" t="s">
        <v>207</v>
      </c>
      <c r="C156" t="s">
        <v>205</v>
      </c>
      <c r="D156" t="s">
        <v>206</v>
      </c>
      <c r="F156" s="7">
        <v>0</v>
      </c>
      <c r="G156" s="7">
        <v>1</v>
      </c>
      <c r="H156" s="3">
        <v>0</v>
      </c>
      <c r="I156">
        <f t="shared" si="4"/>
        <v>0</v>
      </c>
      <c r="J156">
        <f t="shared" si="5"/>
        <v>1</v>
      </c>
      <c r="K156">
        <v>3</v>
      </c>
      <c r="L156">
        <v>0</v>
      </c>
      <c r="M156">
        <v>442474.6</v>
      </c>
      <c r="N156">
        <v>2512735</v>
      </c>
      <c r="O156">
        <v>2570383</v>
      </c>
      <c r="P156">
        <v>1415030</v>
      </c>
      <c r="Q156">
        <v>1875687.6</v>
      </c>
      <c r="R156">
        <v>629964.6</v>
      </c>
      <c r="S156">
        <v>2881445.4</v>
      </c>
      <c r="T156">
        <v>3016530.6</v>
      </c>
      <c r="U156">
        <v>3491747.6</v>
      </c>
      <c r="V156">
        <v>2673065.6</v>
      </c>
      <c r="W156">
        <v>6828229.7999999998</v>
      </c>
      <c r="Y156">
        <v>0.69897584217833353</v>
      </c>
      <c r="Z156">
        <v>2.622306421189569</v>
      </c>
      <c r="AA156">
        <v>2.6367419521207922</v>
      </c>
      <c r="AB156">
        <v>1.764029261202086</v>
      </c>
      <c r="AC156">
        <v>2.7663685614126741</v>
      </c>
      <c r="AD156">
        <v>0.96130705960094931</v>
      </c>
      <c r="AE156">
        <v>2.1755171302938829</v>
      </c>
      <c r="AF156">
        <v>0.93416195380268618</v>
      </c>
      <c r="AG156">
        <v>2.2374284273711971</v>
      </c>
      <c r="AH156">
        <v>3.3524133423808959</v>
      </c>
      <c r="AI156">
        <v>6.1141688875271942</v>
      </c>
      <c r="AK156">
        <v>0.69897584217833353</v>
      </c>
      <c r="AL156">
        <v>1.085511656780727</v>
      </c>
      <c r="AM156">
        <v>1.1053712100139821</v>
      </c>
      <c r="AN156">
        <v>1.764029261202086</v>
      </c>
      <c r="AO156">
        <v>1.2178488844074311</v>
      </c>
      <c r="AP156">
        <v>0.96130705960094931</v>
      </c>
      <c r="AQ156">
        <v>1.01384844064014</v>
      </c>
      <c r="AR156">
        <v>0.58651512340875345</v>
      </c>
      <c r="AS156">
        <v>0.5651494535850361</v>
      </c>
      <c r="AT156">
        <v>3.3524133423808959</v>
      </c>
      <c r="AU156">
        <v>4.3990057893912304</v>
      </c>
      <c r="AW156">
        <v>0.32610107879154382</v>
      </c>
      <c r="AY156">
        <v>1</v>
      </c>
    </row>
    <row r="157" spans="1:51" x14ac:dyDescent="0.3">
      <c r="A157">
        <v>12</v>
      </c>
      <c r="B157" t="s">
        <v>208</v>
      </c>
      <c r="C157" t="s">
        <v>205</v>
      </c>
      <c r="D157" t="s">
        <v>206</v>
      </c>
      <c r="F157" s="7">
        <v>0</v>
      </c>
      <c r="G157" s="7">
        <v>1</v>
      </c>
      <c r="H157" s="3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7092958</v>
      </c>
      <c r="O157">
        <v>7264417.7999999998</v>
      </c>
      <c r="P157">
        <v>910521</v>
      </c>
      <c r="Q157">
        <v>7348578.7999999998</v>
      </c>
      <c r="R157">
        <v>838831.6</v>
      </c>
      <c r="S157">
        <v>8878657</v>
      </c>
      <c r="T157">
        <v>3125131.4</v>
      </c>
      <c r="U157">
        <v>3640970.8</v>
      </c>
      <c r="V157">
        <v>1858875.6</v>
      </c>
      <c r="W157">
        <v>13487861</v>
      </c>
      <c r="Y157">
        <v>0.82848567840410392</v>
      </c>
      <c r="Z157">
        <v>5.8245263447868636</v>
      </c>
      <c r="AA157">
        <v>5.9459275792236443</v>
      </c>
      <c r="AB157">
        <v>1.02365637299954</v>
      </c>
      <c r="AC157">
        <v>6.9473168760014232</v>
      </c>
      <c r="AD157">
        <v>1.2095227634068579</v>
      </c>
      <c r="AE157">
        <v>5.9831633718335073</v>
      </c>
      <c r="AF157">
        <v>1.050626336608548</v>
      </c>
      <c r="AG157">
        <v>2.3506025511538611</v>
      </c>
      <c r="AH157">
        <v>3.051550074410625</v>
      </c>
      <c r="AI157">
        <v>13.987256445223469</v>
      </c>
      <c r="AK157">
        <v>0.82848567840410392</v>
      </c>
      <c r="AL157">
        <v>2.996582766610663</v>
      </c>
      <c r="AM157">
        <v>3.1028575498261488</v>
      </c>
      <c r="AN157">
        <v>1.02365637299954</v>
      </c>
      <c r="AO157">
        <v>3.9565628292039041</v>
      </c>
      <c r="AP157">
        <v>1.2095227634068579</v>
      </c>
      <c r="AQ157">
        <v>3.126611736824271</v>
      </c>
      <c r="AR157">
        <v>0.64022362120449539</v>
      </c>
      <c r="AS157">
        <v>0.60751385500188915</v>
      </c>
      <c r="AT157">
        <v>3.051550074410625</v>
      </c>
      <c r="AU157">
        <v>11.189700270188039</v>
      </c>
      <c r="AW157">
        <v>0.30958794619655228</v>
      </c>
      <c r="AY157">
        <v>1</v>
      </c>
    </row>
    <row r="158" spans="1:51" x14ac:dyDescent="0.3">
      <c r="A158">
        <v>12</v>
      </c>
      <c r="B158" t="s">
        <v>209</v>
      </c>
      <c r="C158" t="s">
        <v>205</v>
      </c>
      <c r="D158" t="s">
        <v>206</v>
      </c>
      <c r="F158" s="7">
        <v>0</v>
      </c>
      <c r="G158" s="7">
        <v>0</v>
      </c>
      <c r="H158" s="3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2250769.7999999998</v>
      </c>
      <c r="O158">
        <v>2253644.7999999998</v>
      </c>
      <c r="P158">
        <v>10277063.199999999</v>
      </c>
      <c r="Q158">
        <v>1035119.2</v>
      </c>
      <c r="R158">
        <v>15865753</v>
      </c>
      <c r="S158">
        <v>1445638.2</v>
      </c>
      <c r="T158">
        <v>9444111</v>
      </c>
      <c r="U158">
        <v>4907112.5999999996</v>
      </c>
      <c r="V158">
        <v>10692161.6</v>
      </c>
      <c r="W158">
        <v>2437908.2000000002</v>
      </c>
      <c r="Y158">
        <v>5.7493442108039741</v>
      </c>
      <c r="Z158">
        <v>1.993373838206753</v>
      </c>
      <c r="AA158">
        <v>1.9964378686156119</v>
      </c>
      <c r="AB158">
        <v>7.6330107824061999</v>
      </c>
      <c r="AC158">
        <v>1.365952914598165</v>
      </c>
      <c r="AD158">
        <v>11.315698281012009</v>
      </c>
      <c r="AE158">
        <v>1.6922404386103149</v>
      </c>
      <c r="AF158">
        <v>5.7670037728152241</v>
      </c>
      <c r="AG158">
        <v>3.1820171535597179</v>
      </c>
      <c r="AH158">
        <v>5.6354173079831522</v>
      </c>
      <c r="AI158">
        <v>3.22087976943003</v>
      </c>
      <c r="AK158">
        <v>5.7493442108039741</v>
      </c>
      <c r="AL158">
        <v>0.74484760061604904</v>
      </c>
      <c r="AM158">
        <v>0.74780174536863342</v>
      </c>
      <c r="AN158">
        <v>7.6330107824061999</v>
      </c>
      <c r="AO158">
        <v>0.57127248460310509</v>
      </c>
      <c r="AP158">
        <v>11.315698281012009</v>
      </c>
      <c r="AQ158">
        <v>0.72587414741283285</v>
      </c>
      <c r="AR158">
        <v>3.9583560660132209</v>
      </c>
      <c r="AS158">
        <v>0.62062611415749414</v>
      </c>
      <c r="AT158">
        <v>5.6354173079831522</v>
      </c>
      <c r="AU158">
        <v>1.722263360000216</v>
      </c>
      <c r="AW158">
        <v>0.30603523199679328</v>
      </c>
      <c r="AY158">
        <v>1</v>
      </c>
    </row>
    <row r="159" spans="1:51" x14ac:dyDescent="0.3">
      <c r="A159">
        <v>12</v>
      </c>
      <c r="B159" t="s">
        <v>210</v>
      </c>
      <c r="C159" t="s">
        <v>205</v>
      </c>
      <c r="D159" t="s">
        <v>206</v>
      </c>
      <c r="F159" s="7">
        <v>0</v>
      </c>
      <c r="G159" s="7">
        <v>1</v>
      </c>
      <c r="H159" s="3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2224850.4</v>
      </c>
      <c r="O159">
        <v>2233913.6</v>
      </c>
      <c r="P159">
        <v>14509706.199999999</v>
      </c>
      <c r="Q159">
        <v>695220</v>
      </c>
      <c r="R159">
        <v>9623035</v>
      </c>
      <c r="S159">
        <v>1125657.2</v>
      </c>
      <c r="T159">
        <v>9388318.8000000007</v>
      </c>
      <c r="U159">
        <v>4863463.4000000004</v>
      </c>
      <c r="V159">
        <v>9349243.1999999993</v>
      </c>
      <c r="W159">
        <v>2027564</v>
      </c>
      <c r="Y159">
        <v>5.9512103569926698</v>
      </c>
      <c r="Z159">
        <v>1.9510206558159551</v>
      </c>
      <c r="AA159">
        <v>1.9487941590137781</v>
      </c>
      <c r="AB159">
        <v>10.52009819840314</v>
      </c>
      <c r="AC159">
        <v>1.244485746591818</v>
      </c>
      <c r="AD159">
        <v>7.5305662588099951</v>
      </c>
      <c r="AE159">
        <v>1.467315215570852</v>
      </c>
      <c r="AF159">
        <v>5.6851373778306877</v>
      </c>
      <c r="AG159">
        <v>3.10900896055391</v>
      </c>
      <c r="AH159">
        <v>5.2290184640209194</v>
      </c>
      <c r="AI159">
        <v>2.867609412001912</v>
      </c>
      <c r="AK159">
        <v>5.9512103569926698</v>
      </c>
      <c r="AL159">
        <v>0.73135811220854519</v>
      </c>
      <c r="AM159">
        <v>0.7318595275632106</v>
      </c>
      <c r="AN159">
        <v>10.52009819840314</v>
      </c>
      <c r="AO159">
        <v>0.57095092920353641</v>
      </c>
      <c r="AP159">
        <v>7.5305662588099951</v>
      </c>
      <c r="AQ159">
        <v>0.61593948777299379</v>
      </c>
      <c r="AR159">
        <v>3.8947356738150121</v>
      </c>
      <c r="AS159">
        <v>0.60746122758137067</v>
      </c>
      <c r="AT159">
        <v>5.2290184640209194</v>
      </c>
      <c r="AU159">
        <v>1.491458789212629</v>
      </c>
      <c r="AW159">
        <v>0.30477728880941868</v>
      </c>
      <c r="AY159">
        <v>1</v>
      </c>
    </row>
    <row r="160" spans="1:51" x14ac:dyDescent="0.3">
      <c r="A160">
        <v>12</v>
      </c>
      <c r="B160" t="s">
        <v>211</v>
      </c>
      <c r="C160" t="s">
        <v>205</v>
      </c>
      <c r="D160" t="s">
        <v>206</v>
      </c>
      <c r="F160" s="7">
        <v>0</v>
      </c>
      <c r="G160" s="7">
        <v>0</v>
      </c>
      <c r="H160" s="3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6873117.2000000002</v>
      </c>
      <c r="O160">
        <v>6868949.7999999998</v>
      </c>
      <c r="P160">
        <v>463118.8</v>
      </c>
      <c r="Q160">
        <v>7723951.7999999998</v>
      </c>
      <c r="R160">
        <v>99494</v>
      </c>
      <c r="S160">
        <v>7968587.7999999998</v>
      </c>
      <c r="T160">
        <v>3012197.6</v>
      </c>
      <c r="U160">
        <v>3602995</v>
      </c>
      <c r="V160">
        <v>160465.20000000001</v>
      </c>
      <c r="W160">
        <v>10817141.199999999</v>
      </c>
      <c r="Y160">
        <v>0.43820244099479172</v>
      </c>
      <c r="Z160">
        <v>5.5866801846073937</v>
      </c>
      <c r="AA160">
        <v>5.5756597656058151</v>
      </c>
      <c r="AB160">
        <v>0.70235626880312341</v>
      </c>
      <c r="AC160">
        <v>6.8410151959862562</v>
      </c>
      <c r="AD160">
        <v>0.26750100118806591</v>
      </c>
      <c r="AE160">
        <v>5.6798017271677974</v>
      </c>
      <c r="AF160">
        <v>0.92499070217600088</v>
      </c>
      <c r="AG160">
        <v>2.3245594562147738</v>
      </c>
      <c r="AH160">
        <v>0.54822632300201801</v>
      </c>
      <c r="AI160">
        <v>13.0504895877908</v>
      </c>
      <c r="AK160">
        <v>0.43820244099479172</v>
      </c>
      <c r="AL160">
        <v>2.6610602076048959</v>
      </c>
      <c r="AM160">
        <v>2.6548294508247641</v>
      </c>
      <c r="AN160">
        <v>0.70235626880312341</v>
      </c>
      <c r="AO160">
        <v>3.5784856719954399</v>
      </c>
      <c r="AP160">
        <v>0.26750100118806591</v>
      </c>
      <c r="AQ160">
        <v>3.0711135727935468</v>
      </c>
      <c r="AR160">
        <v>0.58039484578184786</v>
      </c>
      <c r="AS160">
        <v>0.59882897136267277</v>
      </c>
      <c r="AT160">
        <v>0.54822632300201801</v>
      </c>
      <c r="AU160">
        <v>10.76993258978473</v>
      </c>
      <c r="AW160">
        <v>0.30203834022395321</v>
      </c>
      <c r="AY160">
        <v>1</v>
      </c>
    </row>
    <row r="161" spans="1:51" x14ac:dyDescent="0.3">
      <c r="A161">
        <v>12</v>
      </c>
      <c r="B161" t="s">
        <v>212</v>
      </c>
      <c r="C161" t="s">
        <v>205</v>
      </c>
      <c r="D161" t="s">
        <v>206</v>
      </c>
      <c r="F161" s="7">
        <v>0</v>
      </c>
      <c r="G161" s="7">
        <v>0</v>
      </c>
      <c r="H161" s="3">
        <v>0</v>
      </c>
      <c r="I161">
        <f t="shared" si="4"/>
        <v>0</v>
      </c>
      <c r="J161">
        <f t="shared" si="5"/>
        <v>1</v>
      </c>
      <c r="K161">
        <v>3</v>
      </c>
      <c r="L161">
        <v>0</v>
      </c>
      <c r="M161">
        <v>521878.2</v>
      </c>
      <c r="N161">
        <v>2647418.4</v>
      </c>
      <c r="O161">
        <v>2849923.6</v>
      </c>
      <c r="P161">
        <v>1662851.2</v>
      </c>
      <c r="Q161">
        <v>2290632.6</v>
      </c>
      <c r="R161">
        <v>296466.59999999998</v>
      </c>
      <c r="S161">
        <v>2467745.6</v>
      </c>
      <c r="T161">
        <v>3129437</v>
      </c>
      <c r="U161">
        <v>3532176.8</v>
      </c>
      <c r="V161">
        <v>1262862</v>
      </c>
      <c r="W161">
        <v>4363452</v>
      </c>
      <c r="Y161">
        <v>0.72681363738374782</v>
      </c>
      <c r="Z161">
        <v>2.516081017896068</v>
      </c>
      <c r="AA161">
        <v>2.6551861286163332</v>
      </c>
      <c r="AB161">
        <v>1.9416008641943341</v>
      </c>
      <c r="AC161">
        <v>3.0093303663947149</v>
      </c>
      <c r="AD161">
        <v>0.5415133067988791</v>
      </c>
      <c r="AE161">
        <v>1.894038158433978</v>
      </c>
      <c r="AF161">
        <v>1.050135597400367</v>
      </c>
      <c r="AG161">
        <v>2.2684743411955419</v>
      </c>
      <c r="AH161">
        <v>2.636565235187299</v>
      </c>
      <c r="AI161">
        <v>5.2842373300460164</v>
      </c>
      <c r="AK161">
        <v>0.72681363738374782</v>
      </c>
      <c r="AL161">
        <v>1.0699342628358861</v>
      </c>
      <c r="AM161">
        <v>1.1982911781873551</v>
      </c>
      <c r="AN161">
        <v>1.9416008641943341</v>
      </c>
      <c r="AO161">
        <v>1.574121519393521</v>
      </c>
      <c r="AP161">
        <v>0.5415133067988791</v>
      </c>
      <c r="AQ161">
        <v>0.9423225115984678</v>
      </c>
      <c r="AR161">
        <v>0.63631509421393273</v>
      </c>
      <c r="AS161">
        <v>0.57137568340403955</v>
      </c>
      <c r="AT161">
        <v>2.636565235187299</v>
      </c>
      <c r="AU161">
        <v>3.814948258607183</v>
      </c>
      <c r="AW161">
        <v>0.30358329041628168</v>
      </c>
      <c r="AY161">
        <v>1</v>
      </c>
    </row>
    <row r="162" spans="1:51" x14ac:dyDescent="0.3">
      <c r="A162">
        <v>12</v>
      </c>
      <c r="B162" t="s">
        <v>213</v>
      </c>
      <c r="C162" t="s">
        <v>205</v>
      </c>
      <c r="D162" t="s">
        <v>206</v>
      </c>
      <c r="F162" s="7">
        <v>0</v>
      </c>
      <c r="G162" s="7">
        <v>1</v>
      </c>
      <c r="H162" s="3">
        <v>0</v>
      </c>
      <c r="I162">
        <f t="shared" si="4"/>
        <v>0</v>
      </c>
      <c r="J162">
        <f t="shared" si="5"/>
        <v>1</v>
      </c>
      <c r="K162">
        <v>3</v>
      </c>
      <c r="L162">
        <v>0</v>
      </c>
      <c r="M162">
        <v>8551058.5999999996</v>
      </c>
      <c r="N162">
        <v>2240817</v>
      </c>
      <c r="O162">
        <v>2249375</v>
      </c>
      <c r="P162">
        <v>18313333.399999999</v>
      </c>
      <c r="Q162">
        <v>858432.4</v>
      </c>
      <c r="R162">
        <v>9876058.5999999996</v>
      </c>
      <c r="S162">
        <v>1364324.4</v>
      </c>
      <c r="T162">
        <v>9453028.1999999993</v>
      </c>
      <c r="U162">
        <v>4905973.2</v>
      </c>
      <c r="V162">
        <v>10764021.800000001</v>
      </c>
      <c r="W162">
        <v>2131120.7999999998</v>
      </c>
      <c r="Y162">
        <v>6.3840425922069697</v>
      </c>
      <c r="Z162">
        <v>1.9849401370505799</v>
      </c>
      <c r="AA162">
        <v>1.978971936739981</v>
      </c>
      <c r="AB162">
        <v>12.07681836279226</v>
      </c>
      <c r="AC162">
        <v>1.2422672826040071</v>
      </c>
      <c r="AD162">
        <v>7.3952775954036039</v>
      </c>
      <c r="AE162">
        <v>1.671352485462557</v>
      </c>
      <c r="AF162">
        <v>5.6956632857793013</v>
      </c>
      <c r="AG162">
        <v>3.1246838671038861</v>
      </c>
      <c r="AH162">
        <v>5.2542971898103126</v>
      </c>
      <c r="AI162">
        <v>2.9626138292020192</v>
      </c>
      <c r="AK162">
        <v>6.3840425922069697</v>
      </c>
      <c r="AL162">
        <v>0.75734992903890086</v>
      </c>
      <c r="AM162">
        <v>0.7541268841712736</v>
      </c>
      <c r="AN162">
        <v>12.07681836279226</v>
      </c>
      <c r="AO162">
        <v>0.56581209201249294</v>
      </c>
      <c r="AP162">
        <v>7.3952775954036039</v>
      </c>
      <c r="AQ162">
        <v>0.70782051363494247</v>
      </c>
      <c r="AR162">
        <v>3.90183576339623</v>
      </c>
      <c r="AS162">
        <v>0.61182996159186587</v>
      </c>
      <c r="AT162">
        <v>5.2542971898103126</v>
      </c>
      <c r="AU162">
        <v>1.574719221820124</v>
      </c>
      <c r="AW162">
        <v>0.31135367640526962</v>
      </c>
      <c r="AY162">
        <v>1</v>
      </c>
    </row>
    <row r="163" spans="1:51" x14ac:dyDescent="0.3">
      <c r="F163" s="7"/>
      <c r="G163" s="7"/>
      <c r="H163" s="3"/>
    </row>
    <row r="164" spans="1:51" x14ac:dyDescent="0.3">
      <c r="F164" s="7"/>
      <c r="G164" s="7"/>
      <c r="H164" s="3"/>
    </row>
    <row r="165" spans="1:51" x14ac:dyDescent="0.3">
      <c r="F165" s="7"/>
      <c r="G165" s="7"/>
      <c r="H165" s="3"/>
    </row>
    <row r="166" spans="1:51" x14ac:dyDescent="0.3">
      <c r="F166" s="7"/>
      <c r="G166" s="7"/>
      <c r="H166" s="3"/>
    </row>
    <row r="167" spans="1:51" x14ac:dyDescent="0.3">
      <c r="F167" s="7"/>
      <c r="G167" s="7"/>
      <c r="H167" s="3"/>
    </row>
    <row r="168" spans="1:51" x14ac:dyDescent="0.3">
      <c r="F168" s="7"/>
      <c r="G168" s="7"/>
      <c r="H168" s="3"/>
    </row>
    <row r="169" spans="1:51" x14ac:dyDescent="0.3">
      <c r="F169" s="7"/>
      <c r="G169" s="7"/>
      <c r="H169" s="3"/>
    </row>
    <row r="170" spans="1:51" x14ac:dyDescent="0.3">
      <c r="F170" s="7"/>
      <c r="G170" s="7"/>
      <c r="H170" s="3"/>
    </row>
    <row r="171" spans="1:51" x14ac:dyDescent="0.3">
      <c r="F171" s="7"/>
      <c r="G171" s="7"/>
      <c r="H171" s="3"/>
    </row>
    <row r="172" spans="1:51" x14ac:dyDescent="0.3">
      <c r="F172" s="7"/>
      <c r="G172" s="7"/>
      <c r="H172" s="3"/>
    </row>
    <row r="173" spans="1:51" x14ac:dyDescent="0.3">
      <c r="F173" s="7"/>
      <c r="G173" s="7"/>
      <c r="H173" s="3"/>
    </row>
    <row r="174" spans="1:51" x14ac:dyDescent="0.3">
      <c r="F174" s="7"/>
      <c r="G174" s="7"/>
      <c r="H174" s="3"/>
    </row>
    <row r="175" spans="1:51" x14ac:dyDescent="0.3">
      <c r="F175" s="7"/>
      <c r="G175" s="7"/>
      <c r="H175" s="3"/>
    </row>
    <row r="176" spans="1:51" x14ac:dyDescent="0.3">
      <c r="F176" s="7"/>
      <c r="G176" s="7"/>
      <c r="H176" s="3"/>
    </row>
    <row r="177" spans="6:8" x14ac:dyDescent="0.3">
      <c r="F177" s="7"/>
      <c r="G177" s="7"/>
      <c r="H177" s="3"/>
    </row>
    <row r="178" spans="6:8" x14ac:dyDescent="0.3">
      <c r="F178" s="7"/>
      <c r="G178" s="7"/>
      <c r="H178" s="3"/>
    </row>
    <row r="179" spans="6:8" x14ac:dyDescent="0.3">
      <c r="F179" s="7"/>
      <c r="G179" s="7"/>
      <c r="H179" s="3"/>
    </row>
    <row r="180" spans="6:8" x14ac:dyDescent="0.3">
      <c r="F180" s="7"/>
      <c r="G180" s="7"/>
      <c r="H180" s="3"/>
    </row>
    <row r="181" spans="6:8" x14ac:dyDescent="0.3">
      <c r="F181" s="7"/>
      <c r="G181" s="7"/>
      <c r="H181" s="3"/>
    </row>
    <row r="182" spans="6:8" x14ac:dyDescent="0.3">
      <c r="F182" s="7"/>
      <c r="G182" s="7"/>
      <c r="H182" s="3"/>
    </row>
    <row r="183" spans="6:8" x14ac:dyDescent="0.3">
      <c r="F183" s="7"/>
      <c r="G183" s="7"/>
      <c r="H183" s="3"/>
    </row>
    <row r="184" spans="6:8" x14ac:dyDescent="0.3">
      <c r="F184" s="7"/>
      <c r="G184" s="7"/>
      <c r="H184" s="3"/>
    </row>
    <row r="185" spans="6:8" x14ac:dyDescent="0.3">
      <c r="F185" s="7"/>
      <c r="G185" s="7"/>
      <c r="H185" s="3"/>
    </row>
    <row r="186" spans="6:8" x14ac:dyDescent="0.3">
      <c r="F186" s="7"/>
      <c r="G186" s="7"/>
      <c r="H186" s="3"/>
    </row>
    <row r="187" spans="6:8" x14ac:dyDescent="0.3">
      <c r="F187" s="7"/>
      <c r="G187" s="7"/>
      <c r="H187" s="3"/>
    </row>
    <row r="188" spans="6:8" x14ac:dyDescent="0.3">
      <c r="F188" s="7"/>
      <c r="G188" s="7"/>
      <c r="H188" s="3"/>
    </row>
    <row r="189" spans="6:8" x14ac:dyDescent="0.3">
      <c r="F189" s="7"/>
      <c r="G189" s="7"/>
      <c r="H189" s="3"/>
    </row>
    <row r="190" spans="6:8" x14ac:dyDescent="0.3">
      <c r="F190" s="7"/>
      <c r="G190" s="7"/>
      <c r="H190" s="3"/>
    </row>
    <row r="191" spans="6:8" x14ac:dyDescent="0.3">
      <c r="F191" s="7"/>
      <c r="G191" s="7"/>
      <c r="H191" s="3"/>
    </row>
    <row r="192" spans="6:8" x14ac:dyDescent="0.3">
      <c r="F192" s="7"/>
      <c r="G192" s="7"/>
      <c r="H192" s="3"/>
    </row>
    <row r="193" spans="6:8" x14ac:dyDescent="0.3">
      <c r="F193" s="7"/>
      <c r="G193" s="7"/>
      <c r="H193" s="3"/>
    </row>
    <row r="194" spans="6:8" x14ac:dyDescent="0.3">
      <c r="F194" s="7"/>
      <c r="G194" s="7"/>
      <c r="H194" s="3"/>
    </row>
    <row r="195" spans="6:8" x14ac:dyDescent="0.3">
      <c r="F195" s="7"/>
      <c r="G195" s="7"/>
      <c r="H195" s="3"/>
    </row>
    <row r="196" spans="6:8" x14ac:dyDescent="0.3">
      <c r="F196" s="7"/>
      <c r="G196" s="7"/>
      <c r="H196" s="3"/>
    </row>
    <row r="197" spans="6:8" x14ac:dyDescent="0.3">
      <c r="F197" s="7"/>
      <c r="G197" s="7"/>
      <c r="H197" s="3"/>
    </row>
    <row r="198" spans="6:8" x14ac:dyDescent="0.3">
      <c r="F198" s="7"/>
      <c r="G198" s="7"/>
      <c r="H198" s="3"/>
    </row>
    <row r="199" spans="6:8" x14ac:dyDescent="0.3">
      <c r="F199" s="7"/>
      <c r="G199" s="7"/>
      <c r="H199" s="3"/>
    </row>
    <row r="200" spans="6:8" x14ac:dyDescent="0.3">
      <c r="F200" s="7"/>
      <c r="G200" s="7"/>
      <c r="H200" s="3"/>
    </row>
    <row r="201" spans="6:8" x14ac:dyDescent="0.3">
      <c r="F201" s="7"/>
      <c r="G201" s="7"/>
      <c r="H201" s="3"/>
    </row>
    <row r="202" spans="6:8" x14ac:dyDescent="0.3">
      <c r="F202" s="7"/>
      <c r="G202" s="7"/>
      <c r="H202" s="3"/>
    </row>
    <row r="203" spans="6:8" x14ac:dyDescent="0.3">
      <c r="F203" s="7"/>
      <c r="G203" s="7"/>
      <c r="H203" s="3"/>
    </row>
    <row r="204" spans="6:8" x14ac:dyDescent="0.3">
      <c r="F204" s="7"/>
      <c r="G204" s="7"/>
      <c r="H204" s="3"/>
    </row>
    <row r="205" spans="6:8" x14ac:dyDescent="0.3">
      <c r="F205" s="7"/>
      <c r="G205" s="7"/>
      <c r="H205" s="3"/>
    </row>
    <row r="206" spans="6:8" x14ac:dyDescent="0.3">
      <c r="F206" s="7"/>
      <c r="G206" s="7"/>
      <c r="H206" s="3"/>
    </row>
    <row r="207" spans="6:8" x14ac:dyDescent="0.3">
      <c r="F207" s="7"/>
      <c r="G207" s="7"/>
      <c r="H207" s="3"/>
    </row>
    <row r="208" spans="6:8" x14ac:dyDescent="0.3">
      <c r="F208" s="7"/>
      <c r="G208" s="7"/>
      <c r="H208" s="3"/>
    </row>
    <row r="209" spans="6:8" x14ac:dyDescent="0.3">
      <c r="F209" s="7"/>
      <c r="G209" s="7"/>
      <c r="H209" s="3"/>
    </row>
    <row r="210" spans="6:8" x14ac:dyDescent="0.3">
      <c r="F210" s="7"/>
      <c r="G210" s="7"/>
      <c r="H210" s="3"/>
    </row>
    <row r="211" spans="6:8" x14ac:dyDescent="0.3">
      <c r="F211" s="7"/>
      <c r="G211" s="7"/>
      <c r="H211" s="3"/>
    </row>
    <row r="212" spans="6:8" x14ac:dyDescent="0.3">
      <c r="F212" s="7"/>
      <c r="G212" s="7"/>
      <c r="H212" s="3"/>
    </row>
    <row r="213" spans="6:8" x14ac:dyDescent="0.3">
      <c r="F213" s="7"/>
      <c r="G213" s="7"/>
      <c r="H213" s="3"/>
    </row>
    <row r="214" spans="6:8" x14ac:dyDescent="0.3">
      <c r="F214" s="7"/>
      <c r="G214" s="7"/>
      <c r="H214" s="3"/>
    </row>
    <row r="215" spans="6:8" x14ac:dyDescent="0.3">
      <c r="F215" s="7"/>
      <c r="G215" s="7"/>
      <c r="H215" s="3"/>
    </row>
    <row r="216" spans="6:8" x14ac:dyDescent="0.3">
      <c r="F216" s="7"/>
      <c r="G216" s="7"/>
      <c r="H216" s="3"/>
    </row>
    <row r="217" spans="6:8" x14ac:dyDescent="0.3">
      <c r="F217" s="7"/>
      <c r="G217" s="7"/>
      <c r="H217" s="3"/>
    </row>
    <row r="218" spans="6:8" x14ac:dyDescent="0.3">
      <c r="F218" s="7"/>
      <c r="G218" s="7"/>
      <c r="H218" s="3"/>
    </row>
    <row r="219" spans="6:8" x14ac:dyDescent="0.3">
      <c r="F219" s="7"/>
      <c r="G219" s="7"/>
      <c r="H219" s="3"/>
    </row>
    <row r="220" spans="6:8" x14ac:dyDescent="0.3">
      <c r="F220" s="7"/>
      <c r="G220" s="7"/>
      <c r="H220" s="3"/>
    </row>
    <row r="221" spans="6:8" x14ac:dyDescent="0.3">
      <c r="F221" s="7"/>
      <c r="G221" s="7"/>
      <c r="H221" s="3"/>
    </row>
    <row r="222" spans="6:8" x14ac:dyDescent="0.3">
      <c r="F222" s="7"/>
      <c r="G222" s="7"/>
      <c r="H222" s="3"/>
    </row>
    <row r="223" spans="6:8" x14ac:dyDescent="0.3">
      <c r="F223" s="7"/>
      <c r="G223" s="7"/>
      <c r="H223" s="3"/>
    </row>
    <row r="224" spans="6:8" x14ac:dyDescent="0.3">
      <c r="F224" s="7"/>
      <c r="G224" s="7"/>
      <c r="H224" s="3"/>
    </row>
    <row r="225" spans="6:8" x14ac:dyDescent="0.3">
      <c r="F225" s="7"/>
      <c r="G225" s="7"/>
      <c r="H225" s="3"/>
    </row>
    <row r="226" spans="6:8" x14ac:dyDescent="0.3">
      <c r="F226" s="7"/>
      <c r="G226" s="7"/>
      <c r="H226" s="3"/>
    </row>
    <row r="227" spans="6:8" x14ac:dyDescent="0.3">
      <c r="F227" s="7"/>
      <c r="G227" s="7"/>
      <c r="H227" s="3"/>
    </row>
    <row r="228" spans="6:8" x14ac:dyDescent="0.3">
      <c r="F228" s="7"/>
      <c r="G228" s="7"/>
      <c r="H228" s="3"/>
    </row>
    <row r="229" spans="6:8" x14ac:dyDescent="0.3">
      <c r="F229" s="7"/>
      <c r="G229" s="7"/>
      <c r="H229" s="3"/>
    </row>
    <row r="230" spans="6:8" x14ac:dyDescent="0.3">
      <c r="F230" s="7"/>
      <c r="G230" s="7"/>
      <c r="H230" s="3"/>
    </row>
    <row r="231" spans="6:8" x14ac:dyDescent="0.3">
      <c r="F231" s="7"/>
      <c r="G231" s="7"/>
      <c r="H231" s="3"/>
    </row>
    <row r="232" spans="6:8" x14ac:dyDescent="0.3">
      <c r="F232" s="7"/>
      <c r="G232" s="7"/>
      <c r="H232" s="3"/>
    </row>
    <row r="233" spans="6:8" x14ac:dyDescent="0.3">
      <c r="F233" s="7"/>
      <c r="G233" s="7"/>
      <c r="H233" s="3"/>
    </row>
    <row r="234" spans="6:8" x14ac:dyDescent="0.3">
      <c r="F234" s="7"/>
      <c r="G234" s="7"/>
      <c r="H234" s="3"/>
    </row>
    <row r="235" spans="6:8" x14ac:dyDescent="0.3">
      <c r="F235" s="7"/>
      <c r="G235" s="7"/>
      <c r="H235" s="3"/>
    </row>
    <row r="236" spans="6:8" x14ac:dyDescent="0.3">
      <c r="F236" s="7"/>
      <c r="G236" s="7"/>
      <c r="H236" s="3"/>
    </row>
    <row r="237" spans="6:8" x14ac:dyDescent="0.3">
      <c r="F237" s="7"/>
      <c r="G237" s="7"/>
      <c r="H237" s="3"/>
    </row>
    <row r="238" spans="6:8" x14ac:dyDescent="0.3">
      <c r="F238" s="7"/>
      <c r="G238" s="7"/>
      <c r="H238" s="3"/>
    </row>
    <row r="239" spans="6:8" x14ac:dyDescent="0.3">
      <c r="F239" s="7"/>
      <c r="G239" s="7"/>
      <c r="H239" s="3"/>
    </row>
    <row r="240" spans="6:8" x14ac:dyDescent="0.3">
      <c r="F240" s="7"/>
      <c r="G240" s="7"/>
      <c r="H240" s="3"/>
    </row>
    <row r="241" spans="6:8" x14ac:dyDescent="0.3">
      <c r="F241" s="7"/>
      <c r="G241" s="7"/>
      <c r="H241" s="3"/>
    </row>
    <row r="242" spans="6:8" x14ac:dyDescent="0.3">
      <c r="F242" s="7"/>
      <c r="G242" s="7"/>
      <c r="H242" s="3"/>
    </row>
    <row r="243" spans="6:8" x14ac:dyDescent="0.3">
      <c r="F243" s="7"/>
      <c r="G243" s="7"/>
      <c r="H243" s="3"/>
    </row>
    <row r="244" spans="6:8" x14ac:dyDescent="0.3">
      <c r="F244" s="7"/>
      <c r="G244" s="7"/>
      <c r="H244" s="3"/>
    </row>
    <row r="245" spans="6:8" x14ac:dyDescent="0.3">
      <c r="F245" s="7"/>
      <c r="G245" s="7"/>
      <c r="H245" s="3"/>
    </row>
    <row r="246" spans="6:8" x14ac:dyDescent="0.3">
      <c r="F246" s="7"/>
      <c r="G246" s="7"/>
      <c r="H246" s="3"/>
    </row>
    <row r="247" spans="6:8" x14ac:dyDescent="0.3">
      <c r="F247" s="7"/>
      <c r="G247" s="7"/>
      <c r="H247" s="3"/>
    </row>
    <row r="248" spans="6:8" x14ac:dyDescent="0.3">
      <c r="F248" s="7"/>
      <c r="G248" s="7"/>
      <c r="H248" s="3"/>
    </row>
    <row r="249" spans="6:8" x14ac:dyDescent="0.3">
      <c r="F249" s="7"/>
      <c r="G249" s="7"/>
      <c r="H249" s="3"/>
    </row>
    <row r="250" spans="6:8" x14ac:dyDescent="0.3">
      <c r="F250" s="7"/>
      <c r="G250" s="7"/>
      <c r="H250" s="3"/>
    </row>
    <row r="251" spans="6:8" x14ac:dyDescent="0.3">
      <c r="F251" s="7"/>
      <c r="G251" s="7"/>
      <c r="H251" s="3"/>
    </row>
    <row r="252" spans="6:8" x14ac:dyDescent="0.3">
      <c r="F252" s="7"/>
      <c r="G252" s="7"/>
      <c r="H252" s="3"/>
    </row>
    <row r="253" spans="6:8" x14ac:dyDescent="0.3">
      <c r="F253" s="7"/>
      <c r="G253" s="7"/>
      <c r="H253" s="3"/>
    </row>
    <row r="254" spans="6:8" x14ac:dyDescent="0.3">
      <c r="F254" s="7"/>
      <c r="G254" s="7"/>
      <c r="H254" s="3"/>
    </row>
    <row r="255" spans="6:8" x14ac:dyDescent="0.3">
      <c r="F255" s="7"/>
      <c r="G255" s="7"/>
      <c r="H255" s="3"/>
    </row>
    <row r="256" spans="6:8" x14ac:dyDescent="0.3">
      <c r="F256" s="7"/>
      <c r="G256" s="7"/>
      <c r="H256" s="3"/>
    </row>
    <row r="257" spans="6:8" x14ac:dyDescent="0.3">
      <c r="F257" s="7"/>
      <c r="G257" s="7"/>
      <c r="H257" s="3"/>
    </row>
    <row r="258" spans="6:8" x14ac:dyDescent="0.3">
      <c r="F258" s="7"/>
      <c r="G258" s="7"/>
      <c r="H258" s="3"/>
    </row>
    <row r="259" spans="6:8" x14ac:dyDescent="0.3">
      <c r="F259" s="7"/>
      <c r="G259" s="7"/>
      <c r="H259" s="3"/>
    </row>
    <row r="260" spans="6:8" x14ac:dyDescent="0.3">
      <c r="F260" s="7"/>
      <c r="G260" s="7"/>
      <c r="H260" s="3"/>
    </row>
    <row r="261" spans="6:8" x14ac:dyDescent="0.3">
      <c r="F261" s="7"/>
      <c r="G261" s="7"/>
      <c r="H261" s="3"/>
    </row>
    <row r="262" spans="6:8" x14ac:dyDescent="0.3">
      <c r="F262" s="7"/>
      <c r="G262" s="7"/>
      <c r="H262" s="3"/>
    </row>
    <row r="263" spans="6:8" x14ac:dyDescent="0.3">
      <c r="F263" s="7"/>
      <c r="G263" s="7"/>
      <c r="H263" s="3"/>
    </row>
    <row r="264" spans="6:8" x14ac:dyDescent="0.3">
      <c r="F264" s="7"/>
      <c r="G264" s="7"/>
      <c r="H264" s="3"/>
    </row>
    <row r="265" spans="6:8" x14ac:dyDescent="0.3">
      <c r="F265" s="7"/>
      <c r="G265" s="7"/>
      <c r="H265" s="3"/>
    </row>
    <row r="266" spans="6:8" x14ac:dyDescent="0.3">
      <c r="F266" s="7"/>
      <c r="G266" s="7"/>
      <c r="H266" s="3"/>
    </row>
    <row r="267" spans="6:8" x14ac:dyDescent="0.3">
      <c r="F267" s="7"/>
      <c r="G267" s="7"/>
      <c r="H267" s="3"/>
    </row>
    <row r="268" spans="6:8" x14ac:dyDescent="0.3">
      <c r="F268" s="7"/>
      <c r="G268" s="7"/>
      <c r="H268" s="3"/>
    </row>
    <row r="269" spans="6:8" x14ac:dyDescent="0.3">
      <c r="F269" s="7"/>
      <c r="G269" s="7"/>
      <c r="H269" s="3"/>
    </row>
    <row r="270" spans="6:8" x14ac:dyDescent="0.3">
      <c r="F270" s="7"/>
      <c r="G270" s="7"/>
      <c r="H270" s="3"/>
    </row>
    <row r="271" spans="6:8" x14ac:dyDescent="0.3">
      <c r="F271" s="7"/>
      <c r="G271" s="7"/>
      <c r="H271" s="3"/>
    </row>
    <row r="272" spans="6:8" x14ac:dyDescent="0.3">
      <c r="F272" s="7"/>
      <c r="G272" s="7"/>
      <c r="H272" s="3"/>
    </row>
    <row r="273" spans="6:8" x14ac:dyDescent="0.3">
      <c r="F273" s="7"/>
      <c r="G273" s="7"/>
      <c r="H273" s="3"/>
    </row>
    <row r="274" spans="6:8" x14ac:dyDescent="0.3">
      <c r="F274" s="7"/>
      <c r="G274" s="7"/>
      <c r="H274" s="3"/>
    </row>
    <row r="275" spans="6:8" x14ac:dyDescent="0.3">
      <c r="F275" s="7"/>
      <c r="G275" s="7"/>
      <c r="H275" s="3"/>
    </row>
    <row r="276" spans="6:8" x14ac:dyDescent="0.3">
      <c r="F276" s="7"/>
      <c r="G276" s="7"/>
      <c r="H276" s="3"/>
    </row>
    <row r="277" spans="6:8" x14ac:dyDescent="0.3">
      <c r="F277" s="7"/>
      <c r="G277" s="7"/>
      <c r="H277" s="3"/>
    </row>
    <row r="278" spans="6:8" x14ac:dyDescent="0.3">
      <c r="F278" s="7"/>
      <c r="G278" s="7"/>
      <c r="H278" s="3"/>
    </row>
    <row r="279" spans="6:8" x14ac:dyDescent="0.3">
      <c r="F279" s="7"/>
      <c r="G279" s="7"/>
      <c r="H279" s="3"/>
    </row>
    <row r="280" spans="6:8" x14ac:dyDescent="0.3">
      <c r="F280" s="7"/>
      <c r="G280" s="7"/>
      <c r="H280" s="3"/>
    </row>
    <row r="281" spans="6:8" x14ac:dyDescent="0.3">
      <c r="F281" s="7"/>
      <c r="G281" s="7"/>
      <c r="H281" s="3"/>
    </row>
    <row r="282" spans="6:8" x14ac:dyDescent="0.3">
      <c r="F282" s="7"/>
      <c r="G282" s="7"/>
      <c r="H282" s="3"/>
    </row>
    <row r="283" spans="6:8" x14ac:dyDescent="0.3">
      <c r="F283" s="7"/>
      <c r="G283" s="7"/>
      <c r="H283" s="3"/>
    </row>
    <row r="284" spans="6:8" x14ac:dyDescent="0.3">
      <c r="F284" s="7"/>
      <c r="G284" s="7"/>
      <c r="H284" s="3"/>
    </row>
    <row r="285" spans="6:8" x14ac:dyDescent="0.3">
      <c r="F285" s="7"/>
      <c r="G285" s="7"/>
      <c r="H285" s="3"/>
    </row>
    <row r="286" spans="6:8" x14ac:dyDescent="0.3">
      <c r="F286" s="7"/>
      <c r="G286" s="7"/>
      <c r="H286" s="3"/>
    </row>
    <row r="287" spans="6:8" x14ac:dyDescent="0.3">
      <c r="F287" s="7"/>
      <c r="G287" s="7"/>
      <c r="H287" s="3"/>
    </row>
    <row r="288" spans="6:8" x14ac:dyDescent="0.3">
      <c r="F288" s="7"/>
      <c r="G288" s="7"/>
      <c r="H288" s="3"/>
    </row>
    <row r="289" spans="6:8" x14ac:dyDescent="0.3">
      <c r="F289" s="7"/>
      <c r="G289" s="7"/>
      <c r="H289" s="3"/>
    </row>
    <row r="290" spans="6:8" x14ac:dyDescent="0.3">
      <c r="F290" s="7"/>
      <c r="G290" s="7"/>
      <c r="H290" s="3"/>
    </row>
    <row r="291" spans="6:8" x14ac:dyDescent="0.3">
      <c r="F291" s="7"/>
      <c r="G291" s="7"/>
      <c r="H291" s="3"/>
    </row>
    <row r="292" spans="6:8" x14ac:dyDescent="0.3">
      <c r="F292" s="7"/>
      <c r="G292" s="7"/>
      <c r="H292" s="3"/>
    </row>
    <row r="293" spans="6:8" x14ac:dyDescent="0.3">
      <c r="F293" s="7"/>
      <c r="G293" s="7"/>
      <c r="H293" s="3"/>
    </row>
    <row r="294" spans="6:8" x14ac:dyDescent="0.3">
      <c r="F294" s="7"/>
      <c r="G294" s="7"/>
      <c r="H294" s="3"/>
    </row>
    <row r="295" spans="6:8" x14ac:dyDescent="0.3">
      <c r="F295" s="7"/>
      <c r="G295" s="7"/>
      <c r="H295" s="3"/>
    </row>
    <row r="296" spans="6:8" x14ac:dyDescent="0.3">
      <c r="F296" s="7"/>
      <c r="G296" s="7"/>
      <c r="H296" s="3"/>
    </row>
    <row r="297" spans="6:8" x14ac:dyDescent="0.3">
      <c r="F297" s="7"/>
      <c r="G297" s="7"/>
      <c r="H297" s="3"/>
    </row>
    <row r="298" spans="6:8" x14ac:dyDescent="0.3">
      <c r="F298" s="7"/>
      <c r="G298" s="7"/>
      <c r="H298" s="3"/>
    </row>
    <row r="299" spans="6:8" x14ac:dyDescent="0.3">
      <c r="F299" s="7"/>
      <c r="G299" s="7"/>
      <c r="H299" s="3"/>
    </row>
    <row r="300" spans="6:8" x14ac:dyDescent="0.3">
      <c r="F300" s="7"/>
      <c r="G300" s="7"/>
      <c r="H300" s="3"/>
    </row>
    <row r="301" spans="6:8" x14ac:dyDescent="0.3">
      <c r="F301" s="7"/>
      <c r="G301" s="7"/>
      <c r="H301" s="3"/>
    </row>
    <row r="302" spans="6:8" x14ac:dyDescent="0.3">
      <c r="F302" s="7"/>
      <c r="G302" s="7"/>
      <c r="H302" s="3"/>
    </row>
    <row r="303" spans="6:8" x14ac:dyDescent="0.3">
      <c r="F303" s="7"/>
      <c r="G303" s="7"/>
      <c r="H303" s="3"/>
    </row>
    <row r="304" spans="6:8" x14ac:dyDescent="0.3">
      <c r="F304" s="7"/>
      <c r="G304" s="7"/>
      <c r="H304" s="3"/>
    </row>
    <row r="305" spans="6:8" x14ac:dyDescent="0.3">
      <c r="F305" s="7"/>
      <c r="G305" s="7"/>
      <c r="H305" s="3"/>
    </row>
    <row r="306" spans="6:8" x14ac:dyDescent="0.3">
      <c r="F306" s="7"/>
      <c r="G306" s="7"/>
      <c r="H306" s="3"/>
    </row>
    <row r="307" spans="6:8" x14ac:dyDescent="0.3">
      <c r="F307" s="7"/>
      <c r="G307" s="7"/>
      <c r="H307" s="3"/>
    </row>
    <row r="308" spans="6:8" x14ac:dyDescent="0.3">
      <c r="F308" s="7"/>
      <c r="G308" s="7"/>
      <c r="H308" s="3"/>
    </row>
    <row r="309" spans="6:8" x14ac:dyDescent="0.3">
      <c r="F309" s="7"/>
      <c r="G309" s="7"/>
      <c r="H309" s="3"/>
    </row>
    <row r="310" spans="6:8" x14ac:dyDescent="0.3">
      <c r="F310" s="7"/>
      <c r="G310" s="7"/>
      <c r="H310" s="3"/>
    </row>
    <row r="311" spans="6:8" x14ac:dyDescent="0.3">
      <c r="F311" s="7"/>
      <c r="G311" s="7"/>
      <c r="H311" s="3"/>
    </row>
    <row r="312" spans="6:8" x14ac:dyDescent="0.3">
      <c r="F312" s="7"/>
      <c r="G312" s="7"/>
      <c r="H312" s="3"/>
    </row>
    <row r="313" spans="6:8" x14ac:dyDescent="0.3">
      <c r="F313" s="7"/>
      <c r="G313" s="7"/>
      <c r="H313" s="3"/>
    </row>
    <row r="314" spans="6:8" x14ac:dyDescent="0.3">
      <c r="F314" s="7"/>
      <c r="G314" s="7"/>
      <c r="H314" s="3"/>
    </row>
    <row r="315" spans="6:8" x14ac:dyDescent="0.3">
      <c r="F315" s="7"/>
      <c r="G315" s="7"/>
      <c r="H315" s="3"/>
    </row>
    <row r="316" spans="6:8" x14ac:dyDescent="0.3">
      <c r="F316" s="7"/>
      <c r="G316" s="7"/>
      <c r="H316" s="3"/>
    </row>
    <row r="317" spans="6:8" x14ac:dyDescent="0.3">
      <c r="F317" s="7"/>
      <c r="G317" s="7"/>
      <c r="H317" s="3"/>
    </row>
    <row r="318" spans="6:8" x14ac:dyDescent="0.3">
      <c r="F318" s="7"/>
      <c r="G318" s="7"/>
      <c r="H318" s="3"/>
    </row>
    <row r="319" spans="6:8" x14ac:dyDescent="0.3">
      <c r="F319" s="7"/>
      <c r="G319" s="7"/>
      <c r="H319" s="3"/>
    </row>
    <row r="320" spans="6:8" x14ac:dyDescent="0.3">
      <c r="F320" s="7"/>
      <c r="G320" s="7"/>
      <c r="H320" s="3"/>
    </row>
    <row r="321" spans="6:8" x14ac:dyDescent="0.3">
      <c r="F321" s="7"/>
      <c r="G321" s="7"/>
      <c r="H321" s="3"/>
    </row>
    <row r="322" spans="6:8" x14ac:dyDescent="0.3">
      <c r="F322" s="7"/>
      <c r="G322" s="7"/>
      <c r="H322" s="3"/>
    </row>
    <row r="323" spans="6:8" x14ac:dyDescent="0.3">
      <c r="F323" s="7"/>
      <c r="G323" s="7"/>
      <c r="H323" s="3"/>
    </row>
    <row r="324" spans="6:8" x14ac:dyDescent="0.3">
      <c r="F324" s="7"/>
      <c r="G324" s="7"/>
      <c r="H324" s="3"/>
    </row>
    <row r="325" spans="6:8" x14ac:dyDescent="0.3">
      <c r="F325" s="7"/>
      <c r="G325" s="7"/>
      <c r="H325" s="3"/>
    </row>
    <row r="326" spans="6:8" x14ac:dyDescent="0.3">
      <c r="F326" s="7"/>
      <c r="G326" s="7"/>
      <c r="H326" s="3"/>
    </row>
    <row r="327" spans="6:8" x14ac:dyDescent="0.3">
      <c r="F327" s="7"/>
      <c r="G327" s="7"/>
      <c r="H327" s="3"/>
    </row>
    <row r="328" spans="6:8" x14ac:dyDescent="0.3">
      <c r="F328" s="7"/>
      <c r="G328" s="7"/>
      <c r="H328" s="3"/>
    </row>
    <row r="329" spans="6:8" x14ac:dyDescent="0.3">
      <c r="F329" s="7"/>
      <c r="G329" s="7"/>
      <c r="H329" s="3"/>
    </row>
    <row r="330" spans="6:8" x14ac:dyDescent="0.3">
      <c r="F330" s="7"/>
      <c r="G330" s="7"/>
      <c r="H330" s="3"/>
    </row>
    <row r="331" spans="6:8" x14ac:dyDescent="0.3">
      <c r="F331" s="7"/>
      <c r="G331" s="7"/>
      <c r="H331" s="3"/>
    </row>
    <row r="332" spans="6:8" x14ac:dyDescent="0.3">
      <c r="F332" s="7"/>
      <c r="G332" s="7"/>
      <c r="H332" s="3"/>
    </row>
    <row r="333" spans="6:8" x14ac:dyDescent="0.3">
      <c r="F333" s="7"/>
      <c r="G333" s="7"/>
      <c r="H333" s="3"/>
    </row>
    <row r="334" spans="6:8" x14ac:dyDescent="0.3">
      <c r="F334" s="7"/>
      <c r="G334" s="7"/>
      <c r="H334" s="3"/>
    </row>
    <row r="335" spans="6:8" x14ac:dyDescent="0.3">
      <c r="F335" s="7"/>
      <c r="G335" s="7"/>
      <c r="H335" s="3"/>
    </row>
    <row r="336" spans="6:8" x14ac:dyDescent="0.3">
      <c r="F336" s="7"/>
      <c r="G336" s="7"/>
      <c r="H336" s="3"/>
    </row>
    <row r="337" spans="6:8" x14ac:dyDescent="0.3">
      <c r="F337" s="7"/>
      <c r="G337" s="7"/>
      <c r="H337" s="3"/>
    </row>
    <row r="338" spans="6:8" x14ac:dyDescent="0.3">
      <c r="F338" s="7"/>
      <c r="G338" s="7"/>
      <c r="H338" s="3"/>
    </row>
    <row r="339" spans="6:8" x14ac:dyDescent="0.3">
      <c r="F339" s="7"/>
      <c r="G339" s="7"/>
      <c r="H339" s="3"/>
    </row>
    <row r="340" spans="6:8" x14ac:dyDescent="0.3">
      <c r="F340" s="7"/>
      <c r="G340" s="7"/>
      <c r="H340" s="3"/>
    </row>
    <row r="341" spans="6:8" x14ac:dyDescent="0.3">
      <c r="F341" s="7"/>
      <c r="G341" s="7"/>
      <c r="H341" s="3"/>
    </row>
    <row r="342" spans="6:8" x14ac:dyDescent="0.3">
      <c r="F342" s="7"/>
      <c r="G342" s="7"/>
      <c r="H342" s="3"/>
    </row>
    <row r="343" spans="6:8" x14ac:dyDescent="0.3">
      <c r="F343" s="7"/>
      <c r="G343" s="7"/>
      <c r="H343" s="3"/>
    </row>
    <row r="344" spans="6:8" x14ac:dyDescent="0.3">
      <c r="F344" s="7"/>
      <c r="G344" s="7"/>
      <c r="H344" s="3"/>
    </row>
    <row r="345" spans="6:8" x14ac:dyDescent="0.3">
      <c r="F345" s="7"/>
      <c r="G345" s="7"/>
      <c r="H345" s="3"/>
    </row>
    <row r="346" spans="6:8" x14ac:dyDescent="0.3">
      <c r="F346" s="7"/>
      <c r="G346" s="7"/>
      <c r="H346" s="3"/>
    </row>
    <row r="347" spans="6:8" x14ac:dyDescent="0.3">
      <c r="F347" s="7"/>
      <c r="G347" s="7"/>
      <c r="H347" s="3"/>
    </row>
    <row r="348" spans="6:8" x14ac:dyDescent="0.3">
      <c r="F348" s="7"/>
      <c r="G348" s="7"/>
      <c r="H348" s="3"/>
    </row>
    <row r="349" spans="6:8" x14ac:dyDescent="0.3">
      <c r="F349" s="7"/>
      <c r="G349" s="7"/>
      <c r="H349" s="3"/>
    </row>
    <row r="350" spans="6:8" x14ac:dyDescent="0.3">
      <c r="F350" s="7"/>
      <c r="G350" s="7"/>
      <c r="H350" s="3"/>
    </row>
    <row r="351" spans="6:8" x14ac:dyDescent="0.3">
      <c r="F351" s="7"/>
      <c r="G351" s="7"/>
      <c r="H351" s="3"/>
    </row>
    <row r="352" spans="6:8" x14ac:dyDescent="0.3">
      <c r="F352" s="7"/>
      <c r="G352" s="7"/>
      <c r="H352" s="3"/>
    </row>
    <row r="353" spans="6:8" x14ac:dyDescent="0.3">
      <c r="F353" s="7"/>
      <c r="G353" s="7"/>
      <c r="H353" s="3"/>
    </row>
    <row r="354" spans="6:8" x14ac:dyDescent="0.3">
      <c r="F354" s="7"/>
      <c r="G354" s="7"/>
      <c r="H354" s="3"/>
    </row>
    <row r="355" spans="6:8" x14ac:dyDescent="0.3">
      <c r="F355" s="7"/>
      <c r="G355" s="7"/>
      <c r="H355" s="3"/>
    </row>
    <row r="356" spans="6:8" x14ac:dyDescent="0.3">
      <c r="F356" s="7"/>
      <c r="G356" s="7"/>
      <c r="H356" s="3"/>
    </row>
    <row r="357" spans="6:8" x14ac:dyDescent="0.3">
      <c r="F357" s="7"/>
      <c r="G357" s="7"/>
      <c r="H357" s="3"/>
    </row>
    <row r="358" spans="6:8" x14ac:dyDescent="0.3">
      <c r="F358" s="7"/>
      <c r="G358" s="7"/>
      <c r="H358" s="3"/>
    </row>
    <row r="359" spans="6:8" x14ac:dyDescent="0.3">
      <c r="F359" s="7"/>
      <c r="G359" s="7"/>
      <c r="H359" s="3"/>
    </row>
    <row r="360" spans="6:8" x14ac:dyDescent="0.3">
      <c r="F360" s="7"/>
      <c r="G360" s="7"/>
      <c r="H360" s="3"/>
    </row>
    <row r="361" spans="6:8" x14ac:dyDescent="0.3">
      <c r="F361" s="7"/>
      <c r="G361" s="7"/>
      <c r="H361" s="3"/>
    </row>
    <row r="362" spans="6:8" x14ac:dyDescent="0.3">
      <c r="F362" s="7"/>
      <c r="G362" s="7"/>
      <c r="H362" s="3"/>
    </row>
    <row r="363" spans="6:8" x14ac:dyDescent="0.3">
      <c r="F363" s="7"/>
      <c r="G363" s="7"/>
      <c r="H363" s="3"/>
    </row>
    <row r="364" spans="6:8" x14ac:dyDescent="0.3">
      <c r="F364" s="7"/>
      <c r="G364" s="7"/>
      <c r="H364" s="3"/>
    </row>
    <row r="365" spans="6:8" x14ac:dyDescent="0.3">
      <c r="F365" s="7"/>
      <c r="G365" s="7"/>
      <c r="H365" s="3"/>
    </row>
    <row r="366" spans="6:8" x14ac:dyDescent="0.3">
      <c r="F366" s="7"/>
      <c r="G366" s="7"/>
      <c r="H366" s="3"/>
    </row>
    <row r="367" spans="6:8" x14ac:dyDescent="0.3">
      <c r="F367" s="7"/>
      <c r="G367" s="7"/>
      <c r="H367" s="3"/>
    </row>
    <row r="368" spans="6:8" x14ac:dyDescent="0.3">
      <c r="F368" s="7"/>
      <c r="G368" s="7"/>
      <c r="H368" s="3"/>
    </row>
    <row r="369" spans="1:47" x14ac:dyDescent="0.3">
      <c r="F369" s="7"/>
      <c r="G369" s="7"/>
      <c r="H369" s="3"/>
    </row>
    <row r="370" spans="1:47" x14ac:dyDescent="0.3">
      <c r="F370" s="7"/>
      <c r="G370" s="7"/>
      <c r="H370" s="3"/>
    </row>
    <row r="371" spans="1:47" x14ac:dyDescent="0.3">
      <c r="F371" s="7"/>
      <c r="G371" s="7"/>
      <c r="H371" s="3"/>
    </row>
    <row r="372" spans="1:47" x14ac:dyDescent="0.3">
      <c r="F372" s="7"/>
      <c r="G372" s="7"/>
      <c r="H372" s="3"/>
    </row>
    <row r="373" spans="1:47" x14ac:dyDescent="0.3">
      <c r="F373" s="7"/>
      <c r="G373" s="7"/>
      <c r="H373" s="3"/>
    </row>
    <row r="374" spans="1:47" x14ac:dyDescent="0.3">
      <c r="F374" s="7"/>
      <c r="G374" s="7"/>
      <c r="H374" s="3"/>
    </row>
    <row r="375" spans="1:47" x14ac:dyDescent="0.3">
      <c r="F375" s="7"/>
      <c r="G375" s="7"/>
      <c r="H375" s="3"/>
    </row>
    <row r="376" spans="1:47" x14ac:dyDescent="0.3">
      <c r="F376" s="7"/>
      <c r="G376" s="7"/>
      <c r="H376" s="3"/>
    </row>
    <row r="377" spans="1:47" x14ac:dyDescent="0.3">
      <c r="F377" s="7"/>
      <c r="G377" s="7"/>
      <c r="H377" s="3"/>
    </row>
    <row r="378" spans="1:47" x14ac:dyDescent="0.3">
      <c r="F378" s="7"/>
      <c r="G378" s="7"/>
      <c r="H378" s="3"/>
    </row>
    <row r="382" spans="1:47" x14ac:dyDescent="0.3">
      <c r="M382" s="11" t="s">
        <v>0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Y382" s="11" t="s">
        <v>217</v>
      </c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K382" s="11" t="s">
        <v>2</v>
      </c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</row>
    <row r="383" spans="1:47" x14ac:dyDescent="0.3">
      <c r="F383" s="7" t="s">
        <v>219</v>
      </c>
      <c r="G383" s="7" t="s">
        <v>220</v>
      </c>
      <c r="H383" t="s">
        <v>214</v>
      </c>
      <c r="I383" t="s">
        <v>221</v>
      </c>
      <c r="J383" t="s">
        <v>222</v>
      </c>
      <c r="K383" t="s">
        <v>223</v>
      </c>
      <c r="L383" t="s">
        <v>224</v>
      </c>
      <c r="M383" s="10" t="s">
        <v>4</v>
      </c>
      <c r="N383" s="10" t="s">
        <v>5</v>
      </c>
      <c r="O383" s="10" t="s">
        <v>6</v>
      </c>
      <c r="P383" s="10" t="s">
        <v>7</v>
      </c>
      <c r="Q383" s="10" t="s">
        <v>8</v>
      </c>
      <c r="R383" s="10" t="s">
        <v>11</v>
      </c>
      <c r="S383" s="10" t="s">
        <v>12</v>
      </c>
      <c r="T383" s="10" t="s">
        <v>13</v>
      </c>
      <c r="U383" s="10" t="s">
        <v>14</v>
      </c>
      <c r="V383" s="10" t="s">
        <v>15</v>
      </c>
      <c r="W383" s="10" t="s">
        <v>16</v>
      </c>
      <c r="Y383" s="10" t="s">
        <v>4</v>
      </c>
      <c r="Z383" s="10" t="s">
        <v>5</v>
      </c>
      <c r="AA383" s="10" t="s">
        <v>6</v>
      </c>
      <c r="AB383" s="10" t="s">
        <v>7</v>
      </c>
      <c r="AC383" s="10" t="s">
        <v>8</v>
      </c>
      <c r="AD383" s="10" t="s">
        <v>11</v>
      </c>
      <c r="AE383" s="10" t="s">
        <v>12</v>
      </c>
      <c r="AF383" s="10" t="s">
        <v>13</v>
      </c>
      <c r="AG383" s="10" t="s">
        <v>14</v>
      </c>
      <c r="AH383" s="10" t="s">
        <v>15</v>
      </c>
      <c r="AI383" s="10" t="s">
        <v>16</v>
      </c>
      <c r="AK383" s="10" t="s">
        <v>4</v>
      </c>
      <c r="AL383" s="10" t="s">
        <v>5</v>
      </c>
      <c r="AM383" s="10" t="s">
        <v>6</v>
      </c>
      <c r="AN383" s="10" t="s">
        <v>7</v>
      </c>
      <c r="AO383" s="10" t="s">
        <v>8</v>
      </c>
      <c r="AP383" s="10" t="s">
        <v>11</v>
      </c>
      <c r="AQ383" s="10" t="s">
        <v>12</v>
      </c>
      <c r="AR383" s="10" t="s">
        <v>13</v>
      </c>
      <c r="AS383" s="10" t="s">
        <v>14</v>
      </c>
      <c r="AT383" s="10" t="s">
        <v>15</v>
      </c>
      <c r="AU383" s="10" t="s">
        <v>16</v>
      </c>
    </row>
    <row r="384" spans="1:47" x14ac:dyDescent="0.3">
      <c r="A384">
        <v>21</v>
      </c>
      <c r="B384" t="s">
        <v>18</v>
      </c>
      <c r="C384" t="s">
        <v>19</v>
      </c>
      <c r="D384" t="s">
        <v>20</v>
      </c>
      <c r="F384" s="7">
        <v>0</v>
      </c>
      <c r="G384" s="7">
        <v>0</v>
      </c>
      <c r="H384" s="3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984737.8</v>
      </c>
      <c r="N384">
        <f>IF($AY3 &gt; 0, N3, M3)</f>
        <v>10022863.4</v>
      </c>
      <c r="O384">
        <f>IF($AY3 &gt; 0, O3, M3)</f>
        <v>10082711.199999999</v>
      </c>
      <c r="P384">
        <f>IF($AY3 &gt; 0, P3, P3)</f>
        <v>1004122.8</v>
      </c>
      <c r="Q384">
        <f>IF($AY3 &gt; 0, Q3, P3)</f>
        <v>5817876.7999999998</v>
      </c>
      <c r="R384">
        <f>IF($AY3 &gt; 0, R3, R3)</f>
        <v>881239.4</v>
      </c>
      <c r="S384">
        <f>IF($AY3 &gt; 0, S3, R3)</f>
        <v>10274494</v>
      </c>
      <c r="T384">
        <f>IF($AY3 &gt; 0, T3, T3)</f>
        <v>4185627.2</v>
      </c>
      <c r="U384">
        <f>IF($AY3 &gt; 0, U3, T3)</f>
        <v>4336446.8</v>
      </c>
      <c r="V384">
        <f>IF($AY3 &gt; 0, V3, V3)</f>
        <v>1396199.2</v>
      </c>
      <c r="W384">
        <f>IF($AY3 &gt; 0, W3, V3)</f>
        <v>8664971.5999999996</v>
      </c>
      <c r="Y384">
        <f>IF($AY3 &gt; 0, Y3, Y3)</f>
        <v>1.371865545783657</v>
      </c>
      <c r="Z384">
        <f>IF($AY3 &gt; 0, Z3, Y3)</f>
        <v>7.3616698622121479</v>
      </c>
      <c r="AA384">
        <f>IF($AY3 &gt; 0, AA3, Y3)</f>
        <v>7.3149721455643881</v>
      </c>
      <c r="AB384">
        <f>IF($AY3 &gt; 0, AB3, AB3)</f>
        <v>1.607515723194229</v>
      </c>
      <c r="AC384">
        <f>IF($AY3 &gt; 0, AC3, AB3)</f>
        <v>5.2482227500062439</v>
      </c>
      <c r="AD384">
        <f>IF($AY3 &gt; 0, AD3, AD3)</f>
        <v>1.090254262799863</v>
      </c>
      <c r="AE384">
        <f>IF($AY3 &gt; 0, AE3, AD3)</f>
        <v>8.1007790300296616</v>
      </c>
      <c r="AF384">
        <f>IF($AY3 &gt; 0, AF3, AF3)</f>
        <v>1.5241145187756051</v>
      </c>
      <c r="AG384">
        <f>IF($AY3 &gt; 0, AG3, AF3)</f>
        <v>2.7269406535662708</v>
      </c>
      <c r="AH384">
        <f>IF($AY3 &gt; 0, AH3, AH3)</f>
        <v>2.958229601394851</v>
      </c>
      <c r="AI384">
        <f>IF($AY3 &gt; 0, AI3, AH3)</f>
        <v>14.57607608536491</v>
      </c>
      <c r="AK384">
        <f>IF($AY3 &gt; 0, AK3, AK3)</f>
        <v>1.371865545783657</v>
      </c>
      <c r="AL384">
        <f>IF($AY3 &gt; 0, AL3, AK3)</f>
        <v>2.5448768859729172</v>
      </c>
      <c r="AM384">
        <f>IF($AY3 &gt; 0, AM3, AK3)</f>
        <v>2.549264932365622</v>
      </c>
      <c r="AN384">
        <f>IF($AY3 &gt; 0, AN3, AN3)</f>
        <v>1.607515723194229</v>
      </c>
      <c r="AO384">
        <f>IF($AY3 &gt; 0, AO3, AN3)</f>
        <v>1.883196123607922</v>
      </c>
      <c r="AP384">
        <f>IF($AY3 &gt; 0, AP3, AP3)</f>
        <v>1.090254262799863</v>
      </c>
      <c r="AQ384">
        <f>IF($AY3 &gt; 0, AQ3, AP3)</f>
        <v>2.9239905918249862</v>
      </c>
      <c r="AR384">
        <f>IF($AY3 &gt; 0, AR3, AR3)</f>
        <v>0.97509710196172816</v>
      </c>
      <c r="AS384">
        <f>IF($AY3 &gt; 0, AS3, AR3)</f>
        <v>0.64183103158138688</v>
      </c>
      <c r="AT384">
        <f>IF($AY3 &gt; 0, AT3, AT3)</f>
        <v>2.958229601394851</v>
      </c>
      <c r="AU384">
        <f>IF($AY3 &gt; 0, AU3, AT3)</f>
        <v>11.772233658388719</v>
      </c>
    </row>
    <row r="385" spans="1:47" x14ac:dyDescent="0.3">
      <c r="A385">
        <v>21</v>
      </c>
      <c r="B385" t="s">
        <v>21</v>
      </c>
      <c r="C385" t="s">
        <v>19</v>
      </c>
      <c r="D385" t="s">
        <v>20</v>
      </c>
      <c r="F385" s="7">
        <v>0</v>
      </c>
      <c r="G385" s="7">
        <v>1</v>
      </c>
      <c r="H385" s="3">
        <v>0</v>
      </c>
      <c r="I385">
        <f t="shared" ref="I385:J400" si="6">I4</f>
        <v>0</v>
      </c>
      <c r="J385">
        <f t="shared" si="6"/>
        <v>1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4768147.5999999996</v>
      </c>
      <c r="O385">
        <f t="shared" ref="O385:O448" si="9">IF($AY4 &gt; 0, O4, M4)</f>
        <v>4743320.2</v>
      </c>
      <c r="P385">
        <f t="shared" ref="P385:P448" si="10">IF($AY4 &gt; 0, P4, P4)</f>
        <v>14747945.4</v>
      </c>
      <c r="Q385">
        <f t="shared" ref="Q385:Q448" si="11">IF($AY4 &gt; 0, Q4, P4)</f>
        <v>1555096.6</v>
      </c>
      <c r="R385">
        <f t="shared" ref="R385:R448" si="12">IF($AY4 &gt; 0, R4, R4)</f>
        <v>16571915</v>
      </c>
      <c r="S385">
        <f t="shared" ref="S385:S448" si="13">IF($AY4 &gt; 0, S4, R4)</f>
        <v>3159799.4</v>
      </c>
      <c r="T385">
        <f t="shared" ref="T385:T448" si="14">IF($AY4 &gt; 0, T4, T4)</f>
        <v>4907318.2</v>
      </c>
      <c r="U385">
        <f t="shared" ref="U385:U448" si="15">IF($AY4 &gt; 0, U4, T4)</f>
        <v>3939126.4</v>
      </c>
      <c r="V385">
        <f t="shared" ref="V385:V448" si="16">IF($AY4 &gt; 0, V4, V4)</f>
        <v>21091677.399999999</v>
      </c>
      <c r="W385">
        <f t="shared" ref="W385:W448" si="17">IF($AY4 &gt; 0, W4, V4)</f>
        <v>2550318.6</v>
      </c>
      <c r="Y385">
        <f t="shared" ref="Y385:Y448" si="18">IF($AY4 &gt; 0, Y4, Y4)</f>
        <v>8.3853129845927477</v>
      </c>
      <c r="Z385">
        <f t="shared" ref="Z385:Z448" si="19">IF($AY4 &gt; 0, Z4, Y4)</f>
        <v>3.8032575646066111</v>
      </c>
      <c r="AA385">
        <f t="shared" ref="AA385:AA448" si="20">IF($AY4 &gt; 0, AA4, Y4)</f>
        <v>3.7796305642114021</v>
      </c>
      <c r="AB385">
        <f t="shared" ref="AB385:AB448" si="21">IF($AY4 &gt; 0, AB4, AB4)</f>
        <v>7.9825206500012431</v>
      </c>
      <c r="AC385">
        <f t="shared" ref="AC385:AC448" si="22">IF($AY4 &gt; 0, AC4, AB4)</f>
        <v>2.201966765586985</v>
      </c>
      <c r="AD385">
        <f t="shared" ref="AD385:AD448" si="23">IF($AY4 &gt; 0, AD4, AD4)</f>
        <v>11.33787458079169</v>
      </c>
      <c r="AE385">
        <f t="shared" ref="AE385:AE448" si="24">IF($AY4 &gt; 0, AE4, AD4)</f>
        <v>3.3661470956401902</v>
      </c>
      <c r="AF385">
        <f t="shared" ref="AF385:AF448" si="25">IF($AY4 &gt; 0, AF4, AF4)</f>
        <v>2.1943270763615148</v>
      </c>
      <c r="AG385">
        <f t="shared" ref="AG385:AG448" si="26">IF($AY4 &gt; 0, AG4, AF4)</f>
        <v>2.3247524692094879</v>
      </c>
      <c r="AH385">
        <f t="shared" ref="AH385:AH448" si="27">IF($AY4 &gt; 0, AH4, AH4)</f>
        <v>7.951091266609728</v>
      </c>
      <c r="AI385">
        <f t="shared" ref="AI385:AI448" si="28">IF($AY4 &gt; 0, AI4, AH4)</f>
        <v>5.5401984097436072</v>
      </c>
      <c r="AK385">
        <f t="shared" ref="AK385:AK448" si="29">IF($AY4 &gt; 0, AK4, AK4)</f>
        <v>8.3853129845927477</v>
      </c>
      <c r="AL385">
        <f t="shared" ref="AL385:AL448" si="30">IF($AY4 &gt; 0, AL4, AK4)</f>
        <v>1.646166047197767</v>
      </c>
      <c r="AM385">
        <f t="shared" ref="AM385:AM448" si="31">IF($AY4 &gt; 0, AM4, AK4)</f>
        <v>1.628709727607202</v>
      </c>
      <c r="AN385">
        <f t="shared" ref="AN385:AN448" si="32">IF($AY4 &gt; 0, AN4, AN4)</f>
        <v>7.9825206500012431</v>
      </c>
      <c r="AO385">
        <f t="shared" ref="AO385:AO448" si="33">IF($AY4 &gt; 0, AO4, AN4)</f>
        <v>0.97883885038318108</v>
      </c>
      <c r="AP385">
        <f t="shared" ref="AP385:AP448" si="34">IF($AY4 &gt; 0, AP4, AP4)</f>
        <v>11.33787458079169</v>
      </c>
      <c r="AQ385">
        <f t="shared" ref="AQ385:AQ448" si="35">IF($AY4 &gt; 0, AQ4, AP4)</f>
        <v>1.2861934142420071</v>
      </c>
      <c r="AR385">
        <f t="shared" ref="AR385:AR448" si="36">IF($AY4 &gt; 0, AR4, AR4)</f>
        <v>1.2434554775711151</v>
      </c>
      <c r="AS385">
        <f t="shared" ref="AS385:AS448" si="37">IF($AY4 &gt; 0, AS4, AR4)</f>
        <v>0.63097686200635505</v>
      </c>
      <c r="AT385">
        <f t="shared" ref="AT385:AT448" si="38">IF($AY4 &gt; 0, AT4, AT4)</f>
        <v>7.951091266609728</v>
      </c>
      <c r="AU385">
        <f t="shared" ref="AU385:AU448" si="39">IF($AY4 &gt; 0, AU4, AT4)</f>
        <v>3.943318069167435</v>
      </c>
    </row>
    <row r="386" spans="1:47" x14ac:dyDescent="0.3">
      <c r="A386">
        <v>21</v>
      </c>
      <c r="B386" t="s">
        <v>22</v>
      </c>
      <c r="C386" t="s">
        <v>19</v>
      </c>
      <c r="D386" t="s">
        <v>20</v>
      </c>
      <c r="F386" s="7">
        <v>0</v>
      </c>
      <c r="G386" s="7">
        <v>1</v>
      </c>
      <c r="H386" s="3">
        <v>0</v>
      </c>
      <c r="I386">
        <f t="shared" si="6"/>
        <v>0</v>
      </c>
      <c r="J386">
        <f t="shared" si="6"/>
        <v>1</v>
      </c>
      <c r="K386">
        <v>4</v>
      </c>
      <c r="L386">
        <v>0</v>
      </c>
      <c r="M386">
        <f t="shared" si="7"/>
        <v>4329316.4000000004</v>
      </c>
      <c r="N386">
        <f t="shared" si="8"/>
        <v>5708330.4000000004</v>
      </c>
      <c r="O386">
        <f t="shared" si="9"/>
        <v>5876682.4000000004</v>
      </c>
      <c r="P386">
        <f t="shared" si="10"/>
        <v>1278792.2</v>
      </c>
      <c r="Q386">
        <f t="shared" si="11"/>
        <v>2762314.2</v>
      </c>
      <c r="R386">
        <f t="shared" si="12"/>
        <v>616378.19999999995</v>
      </c>
      <c r="S386">
        <f t="shared" si="13"/>
        <v>2267205</v>
      </c>
      <c r="T386">
        <f t="shared" si="14"/>
        <v>4215981.4000000004</v>
      </c>
      <c r="U386">
        <f t="shared" si="15"/>
        <v>3916185.8</v>
      </c>
      <c r="V386">
        <f t="shared" si="16"/>
        <v>2636300</v>
      </c>
      <c r="W386">
        <f t="shared" si="17"/>
        <v>3949562.8</v>
      </c>
      <c r="Y386">
        <f t="shared" si="18"/>
        <v>3.828655961796176</v>
      </c>
      <c r="Z386">
        <f t="shared" si="19"/>
        <v>4.4432907190057449</v>
      </c>
      <c r="AA386">
        <f t="shared" si="20"/>
        <v>4.5239025023649448</v>
      </c>
      <c r="AB386">
        <f t="shared" si="21"/>
        <v>2.3397782895946881</v>
      </c>
      <c r="AC386">
        <f t="shared" si="22"/>
        <v>2.714683988422621</v>
      </c>
      <c r="AD386">
        <f t="shared" si="23"/>
        <v>1.726516963983886</v>
      </c>
      <c r="AE386">
        <f t="shared" si="24"/>
        <v>2.9614979039411988</v>
      </c>
      <c r="AF386">
        <f t="shared" si="25"/>
        <v>1.5807120505487551</v>
      </c>
      <c r="AG386">
        <f t="shared" si="26"/>
        <v>2.2169169667176898</v>
      </c>
      <c r="AH386">
        <f t="shared" si="27"/>
        <v>3.668314809398725</v>
      </c>
      <c r="AI386">
        <f t="shared" si="28"/>
        <v>7.5135419702040966</v>
      </c>
      <c r="AK386">
        <f t="shared" si="29"/>
        <v>3.828655961796176</v>
      </c>
      <c r="AL386">
        <f t="shared" si="30"/>
        <v>1.5569136271835311</v>
      </c>
      <c r="AM386">
        <f t="shared" si="31"/>
        <v>1.638305972982198</v>
      </c>
      <c r="AN386">
        <f t="shared" si="32"/>
        <v>2.3397782895946881</v>
      </c>
      <c r="AO386">
        <f t="shared" si="33"/>
        <v>1.235776852385607</v>
      </c>
      <c r="AP386">
        <f t="shared" si="34"/>
        <v>1.726516963983886</v>
      </c>
      <c r="AQ386">
        <f t="shared" si="35"/>
        <v>1.1493316369946109</v>
      </c>
      <c r="AR386">
        <f t="shared" si="36"/>
        <v>1.0567209487431679</v>
      </c>
      <c r="AS386">
        <f t="shared" si="37"/>
        <v>0.56853996699210252</v>
      </c>
      <c r="AT386">
        <f t="shared" si="38"/>
        <v>3.668314809398725</v>
      </c>
      <c r="AU386">
        <f t="shared" si="39"/>
        <v>5.5275729479966689</v>
      </c>
    </row>
    <row r="387" spans="1:47" x14ac:dyDescent="0.3">
      <c r="A387">
        <v>21</v>
      </c>
      <c r="B387" t="s">
        <v>23</v>
      </c>
      <c r="C387" t="s">
        <v>19</v>
      </c>
      <c r="D387" t="s">
        <v>20</v>
      </c>
      <c r="F387" s="7">
        <v>0</v>
      </c>
      <c r="G387" s="7">
        <v>0</v>
      </c>
      <c r="H387" s="3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2327862</v>
      </c>
      <c r="O387">
        <f t="shared" si="9"/>
        <v>2333566.4</v>
      </c>
      <c r="P387">
        <f t="shared" si="10"/>
        <v>1475770.8</v>
      </c>
      <c r="Q387">
        <f t="shared" si="11"/>
        <v>639802.80000000005</v>
      </c>
      <c r="R387">
        <f t="shared" si="12"/>
        <v>1030299.8</v>
      </c>
      <c r="S387">
        <f t="shared" si="13"/>
        <v>781966.2</v>
      </c>
      <c r="T387">
        <f t="shared" si="14"/>
        <v>4594408.8</v>
      </c>
      <c r="U387">
        <f t="shared" si="15"/>
        <v>3608168.8</v>
      </c>
      <c r="V387">
        <f t="shared" si="16"/>
        <v>8246724.5999999996</v>
      </c>
      <c r="W387">
        <f t="shared" si="17"/>
        <v>1026269.8</v>
      </c>
      <c r="Y387">
        <f t="shared" si="18"/>
        <v>4.3051407293882216</v>
      </c>
      <c r="Z387">
        <f t="shared" si="19"/>
        <v>2.2448574927519069</v>
      </c>
      <c r="AA387">
        <f t="shared" si="20"/>
        <v>2.2267145413788971</v>
      </c>
      <c r="AB387">
        <f t="shared" si="21"/>
        <v>2.570054528606124</v>
      </c>
      <c r="AC387">
        <f t="shared" si="22"/>
        <v>1.329627793986583</v>
      </c>
      <c r="AD387">
        <f t="shared" si="23"/>
        <v>2.8279425699962299</v>
      </c>
      <c r="AE387">
        <f t="shared" si="24"/>
        <v>1.922627424821258</v>
      </c>
      <c r="AF387">
        <f t="shared" si="25"/>
        <v>1.8526587278232911</v>
      </c>
      <c r="AG387">
        <f t="shared" si="26"/>
        <v>1.9668248630710881</v>
      </c>
      <c r="AH387">
        <f t="shared" si="27"/>
        <v>5.3781421782216059</v>
      </c>
      <c r="AI387">
        <f t="shared" si="28"/>
        <v>3.0659769427729771</v>
      </c>
      <c r="AK387">
        <f t="shared" si="29"/>
        <v>4.3051407293882216</v>
      </c>
      <c r="AL387">
        <f t="shared" si="30"/>
        <v>0.87471072617918255</v>
      </c>
      <c r="AM387">
        <f t="shared" si="31"/>
        <v>0.87191543378867209</v>
      </c>
      <c r="AN387">
        <f t="shared" si="32"/>
        <v>2.570054528606124</v>
      </c>
      <c r="AO387">
        <f t="shared" si="33"/>
        <v>0.63183793218340722</v>
      </c>
      <c r="AP387">
        <f t="shared" si="34"/>
        <v>2.8279425699962299</v>
      </c>
      <c r="AQ387">
        <f t="shared" si="35"/>
        <v>0.74748457759851594</v>
      </c>
      <c r="AR387">
        <f t="shared" si="36"/>
        <v>1.07301487083314</v>
      </c>
      <c r="AS387">
        <f t="shared" si="37"/>
        <v>0.53986057523870845</v>
      </c>
      <c r="AT387">
        <f t="shared" si="38"/>
        <v>5.3781421782216059</v>
      </c>
      <c r="AU387">
        <f t="shared" si="39"/>
        <v>1.910186011367478</v>
      </c>
    </row>
    <row r="388" spans="1:47" x14ac:dyDescent="0.3">
      <c r="A388">
        <v>21</v>
      </c>
      <c r="B388" t="s">
        <v>24</v>
      </c>
      <c r="C388" t="s">
        <v>19</v>
      </c>
      <c r="D388" t="s">
        <v>20</v>
      </c>
      <c r="F388" s="7">
        <v>0</v>
      </c>
      <c r="G388" s="7">
        <v>1</v>
      </c>
      <c r="H388" s="3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8211267.7999999998</v>
      </c>
      <c r="O388">
        <f t="shared" si="9"/>
        <v>8385658.4000000004</v>
      </c>
      <c r="P388">
        <f t="shared" si="10"/>
        <v>3405256</v>
      </c>
      <c r="Q388">
        <f t="shared" si="11"/>
        <v>5392684.4000000004</v>
      </c>
      <c r="R388">
        <f t="shared" si="12"/>
        <v>1465331.4</v>
      </c>
      <c r="S388">
        <f t="shared" si="13"/>
        <v>11978384</v>
      </c>
      <c r="T388">
        <f t="shared" si="14"/>
        <v>4677209.5999999996</v>
      </c>
      <c r="U388">
        <f t="shared" si="15"/>
        <v>4016900.4</v>
      </c>
      <c r="V388">
        <f t="shared" si="16"/>
        <v>7657925.2000000002</v>
      </c>
      <c r="W388">
        <f t="shared" si="17"/>
        <v>7117200.4000000004</v>
      </c>
      <c r="Y388">
        <f t="shared" si="18"/>
        <v>1.745998588623479</v>
      </c>
      <c r="Z388">
        <f t="shared" si="19"/>
        <v>6.7369938235962774</v>
      </c>
      <c r="AA388">
        <f t="shared" si="20"/>
        <v>6.8520818875520488</v>
      </c>
      <c r="AB388">
        <f t="shared" si="21"/>
        <v>3.1992729973979288</v>
      </c>
      <c r="AC388">
        <f t="shared" si="22"/>
        <v>4.8323710231925361</v>
      </c>
      <c r="AD388">
        <f t="shared" si="23"/>
        <v>2.892981030000374</v>
      </c>
      <c r="AE388">
        <f t="shared" si="24"/>
        <v>10.556205437984319</v>
      </c>
      <c r="AF388">
        <f t="shared" si="25"/>
        <v>2.0297542882035491</v>
      </c>
      <c r="AG388">
        <f t="shared" si="26"/>
        <v>2.5032137821544889</v>
      </c>
      <c r="AH388">
        <f t="shared" si="27"/>
        <v>5.2049517270061187</v>
      </c>
      <c r="AI388">
        <f t="shared" si="28"/>
        <v>9.8846657634712756</v>
      </c>
      <c r="AK388">
        <f t="shared" si="29"/>
        <v>1.745998588623479</v>
      </c>
      <c r="AL388">
        <f t="shared" si="30"/>
        <v>4.2834748519933781</v>
      </c>
      <c r="AM388">
        <f t="shared" si="31"/>
        <v>4.4000099075958126</v>
      </c>
      <c r="AN388">
        <f t="shared" si="32"/>
        <v>3.1992729973979288</v>
      </c>
      <c r="AO388">
        <f t="shared" si="33"/>
        <v>3.0720110869966448</v>
      </c>
      <c r="AP388">
        <f t="shared" si="34"/>
        <v>2.892981030000374</v>
      </c>
      <c r="AQ388">
        <f t="shared" si="35"/>
        <v>7.730213014408946</v>
      </c>
      <c r="AR388">
        <f t="shared" si="36"/>
        <v>1.109715382009745</v>
      </c>
      <c r="AS388">
        <f t="shared" si="37"/>
        <v>0.77787959835259246</v>
      </c>
      <c r="AT388">
        <f t="shared" si="38"/>
        <v>5.2049517270061187</v>
      </c>
      <c r="AU388">
        <f t="shared" si="39"/>
        <v>8.2927166930167004</v>
      </c>
    </row>
    <row r="389" spans="1:47" x14ac:dyDescent="0.3">
      <c r="A389">
        <v>21</v>
      </c>
      <c r="B389" t="s">
        <v>25</v>
      </c>
      <c r="C389" t="s">
        <v>19</v>
      </c>
      <c r="D389" t="s">
        <v>20</v>
      </c>
      <c r="F389" s="7">
        <v>0</v>
      </c>
      <c r="G389" s="7">
        <v>0</v>
      </c>
      <c r="H389" s="3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4932159</v>
      </c>
      <c r="O389">
        <f t="shared" si="9"/>
        <v>5277290.8</v>
      </c>
      <c r="P389">
        <f t="shared" si="10"/>
        <v>5594837.2000000002</v>
      </c>
      <c r="Q389">
        <f t="shared" si="11"/>
        <v>1744670</v>
      </c>
      <c r="R389">
        <f t="shared" si="12"/>
        <v>4114032.2</v>
      </c>
      <c r="S389">
        <f t="shared" si="13"/>
        <v>4301307.4000000004</v>
      </c>
      <c r="T389">
        <f t="shared" si="14"/>
        <v>4018927.8</v>
      </c>
      <c r="U389">
        <f t="shared" si="15"/>
        <v>4004214.4</v>
      </c>
      <c r="V389">
        <f t="shared" si="16"/>
        <v>24198068.199999999</v>
      </c>
      <c r="W389">
        <f t="shared" si="17"/>
        <v>2695408.4</v>
      </c>
      <c r="Y389">
        <f t="shared" si="18"/>
        <v>5.2910014783963559</v>
      </c>
      <c r="Z389">
        <f t="shared" si="19"/>
        <v>4.2471253887633793</v>
      </c>
      <c r="AA389">
        <f t="shared" si="20"/>
        <v>4.4392391110421157</v>
      </c>
      <c r="AB389">
        <f t="shared" si="21"/>
        <v>6.9649183743982572</v>
      </c>
      <c r="AC389">
        <f t="shared" si="22"/>
        <v>2.550881217647111</v>
      </c>
      <c r="AD389">
        <f t="shared" si="23"/>
        <v>6.292093955213204</v>
      </c>
      <c r="AE389">
        <f t="shared" si="24"/>
        <v>4.1369935586000786</v>
      </c>
      <c r="AF389">
        <f t="shared" si="25"/>
        <v>1.5069673505728129</v>
      </c>
      <c r="AG389">
        <f t="shared" si="26"/>
        <v>2.529447287891526</v>
      </c>
      <c r="AH389">
        <f t="shared" si="27"/>
        <v>8.443171339598484</v>
      </c>
      <c r="AI389">
        <f t="shared" si="28"/>
        <v>6.5814193752594292</v>
      </c>
      <c r="AK389">
        <f t="shared" si="29"/>
        <v>5.2910014783963559</v>
      </c>
      <c r="AL389">
        <f t="shared" si="30"/>
        <v>1.6044603035552429</v>
      </c>
      <c r="AM389">
        <f t="shared" si="31"/>
        <v>1.802669058204629</v>
      </c>
      <c r="AN389">
        <f t="shared" si="32"/>
        <v>6.9649183743982572</v>
      </c>
      <c r="AO389">
        <f t="shared" si="33"/>
        <v>1.048642413620837</v>
      </c>
      <c r="AP389">
        <f t="shared" si="34"/>
        <v>6.292093955213204</v>
      </c>
      <c r="AQ389">
        <f t="shared" si="35"/>
        <v>1.614074858790264</v>
      </c>
      <c r="AR389">
        <f t="shared" si="36"/>
        <v>1.004748235177249</v>
      </c>
      <c r="AS389">
        <f t="shared" si="37"/>
        <v>0.62829524958506222</v>
      </c>
      <c r="AT389">
        <f t="shared" si="38"/>
        <v>8.443171339598484</v>
      </c>
      <c r="AU389">
        <f t="shared" si="39"/>
        <v>4.9306730620330201</v>
      </c>
    </row>
    <row r="390" spans="1:47" x14ac:dyDescent="0.3">
      <c r="A390">
        <v>21</v>
      </c>
      <c r="B390" t="s">
        <v>26</v>
      </c>
      <c r="C390" t="s">
        <v>19</v>
      </c>
      <c r="D390" t="s">
        <v>20</v>
      </c>
      <c r="F390" s="7">
        <v>0</v>
      </c>
      <c r="G390" s="7">
        <v>0</v>
      </c>
      <c r="H390" s="3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>
        <f t="shared" si="7"/>
        <v>2186441.2000000002</v>
      </c>
      <c r="N390">
        <f t="shared" si="8"/>
        <v>4570545.2</v>
      </c>
      <c r="O390">
        <f t="shared" si="9"/>
        <v>4339608.5999999996</v>
      </c>
      <c r="P390">
        <f t="shared" si="10"/>
        <v>1589889</v>
      </c>
      <c r="Q390">
        <f t="shared" si="11"/>
        <v>2689294.8</v>
      </c>
      <c r="R390">
        <f t="shared" si="12"/>
        <v>616867</v>
      </c>
      <c r="S390">
        <f t="shared" si="13"/>
        <v>2147966.7999999998</v>
      </c>
      <c r="T390">
        <f t="shared" si="14"/>
        <v>4560935.4000000004</v>
      </c>
      <c r="U390">
        <f t="shared" si="15"/>
        <v>3691327.6</v>
      </c>
      <c r="V390">
        <f t="shared" si="16"/>
        <v>575641.80000000005</v>
      </c>
      <c r="W390">
        <f t="shared" si="17"/>
        <v>2539553.2000000002</v>
      </c>
      <c r="Y390">
        <f t="shared" si="18"/>
        <v>2.1583616274059749</v>
      </c>
      <c r="Z390">
        <f t="shared" si="19"/>
        <v>3.9812016531941481</v>
      </c>
      <c r="AA390">
        <f t="shared" si="20"/>
        <v>3.8367980420240202</v>
      </c>
      <c r="AB390">
        <f t="shared" si="21"/>
        <v>2.0238635920046359</v>
      </c>
      <c r="AC390">
        <f t="shared" si="22"/>
        <v>2.9633647755836141</v>
      </c>
      <c r="AD390">
        <f t="shared" si="23"/>
        <v>1.6820758899906649</v>
      </c>
      <c r="AE390">
        <f t="shared" si="24"/>
        <v>3.1078366771922452</v>
      </c>
      <c r="AF390">
        <f t="shared" si="25"/>
        <v>1.853701166633982</v>
      </c>
      <c r="AG390">
        <f t="shared" si="26"/>
        <v>2.0354692695313128</v>
      </c>
      <c r="AH390">
        <f t="shared" si="27"/>
        <v>2.9026718026143499</v>
      </c>
      <c r="AI390">
        <f t="shared" si="28"/>
        <v>5.0440308159682896</v>
      </c>
      <c r="AK390">
        <f t="shared" si="29"/>
        <v>2.1583616274059749</v>
      </c>
      <c r="AL390">
        <f t="shared" si="30"/>
        <v>1.9623006657697259</v>
      </c>
      <c r="AM390">
        <f t="shared" si="31"/>
        <v>1.8304167020251041</v>
      </c>
      <c r="AN390">
        <f t="shared" si="32"/>
        <v>2.0238635920046359</v>
      </c>
      <c r="AO390">
        <f t="shared" si="33"/>
        <v>1.4115784065914341</v>
      </c>
      <c r="AP390">
        <f t="shared" si="34"/>
        <v>1.6820758899906649</v>
      </c>
      <c r="AQ390">
        <f t="shared" si="35"/>
        <v>1.405772071587853</v>
      </c>
      <c r="AR390">
        <f t="shared" si="36"/>
        <v>1.087151012045797</v>
      </c>
      <c r="AS390">
        <f t="shared" si="37"/>
        <v>0.60014934520004315</v>
      </c>
      <c r="AT390">
        <f t="shared" si="38"/>
        <v>2.9026718026143499</v>
      </c>
      <c r="AU390">
        <f t="shared" si="39"/>
        <v>3.622853692807257</v>
      </c>
    </row>
    <row r="391" spans="1:47" x14ac:dyDescent="0.3">
      <c r="A391">
        <v>21</v>
      </c>
      <c r="B391" t="s">
        <v>27</v>
      </c>
      <c r="C391" t="s">
        <v>19</v>
      </c>
      <c r="D391" t="s">
        <v>20</v>
      </c>
      <c r="F391" s="7">
        <v>0</v>
      </c>
      <c r="G391" s="7">
        <v>1</v>
      </c>
      <c r="H391" s="3">
        <v>0</v>
      </c>
      <c r="I391">
        <f t="shared" si="6"/>
        <v>0</v>
      </c>
      <c r="J391">
        <f t="shared" si="6"/>
        <v>1</v>
      </c>
      <c r="K391">
        <v>4</v>
      </c>
      <c r="L391">
        <v>0</v>
      </c>
      <c r="M391">
        <f t="shared" si="7"/>
        <v>1359597.6</v>
      </c>
      <c r="N391">
        <f t="shared" si="8"/>
        <v>3167304.6</v>
      </c>
      <c r="O391">
        <f t="shared" si="9"/>
        <v>3404874</v>
      </c>
      <c r="P391">
        <f t="shared" si="10"/>
        <v>602084</v>
      </c>
      <c r="Q391">
        <f t="shared" si="11"/>
        <v>1300983.6000000001</v>
      </c>
      <c r="R391">
        <f t="shared" si="12"/>
        <v>362702.6</v>
      </c>
      <c r="S391">
        <f t="shared" si="13"/>
        <v>1474098.6</v>
      </c>
      <c r="T391">
        <f t="shared" si="14"/>
        <v>3787607.6</v>
      </c>
      <c r="U391">
        <f t="shared" si="15"/>
        <v>3761598.4</v>
      </c>
      <c r="V391">
        <f t="shared" si="16"/>
        <v>230918.39999999999</v>
      </c>
      <c r="W391">
        <f t="shared" si="17"/>
        <v>2099069.6</v>
      </c>
      <c r="Y391">
        <f t="shared" si="18"/>
        <v>1.650413250201382</v>
      </c>
      <c r="Z391">
        <f t="shared" si="19"/>
        <v>2.958620946400333</v>
      </c>
      <c r="AA391">
        <f t="shared" si="20"/>
        <v>3.106823352980427</v>
      </c>
      <c r="AB391">
        <f t="shared" si="21"/>
        <v>1.3091880222025789</v>
      </c>
      <c r="AC391">
        <f t="shared" si="22"/>
        <v>2.033639943017624</v>
      </c>
      <c r="AD391">
        <f t="shared" si="23"/>
        <v>1.7599425997934299</v>
      </c>
      <c r="AE391">
        <f t="shared" si="24"/>
        <v>2.587982779555023</v>
      </c>
      <c r="AF391">
        <f t="shared" si="25"/>
        <v>1.216635976650287</v>
      </c>
      <c r="AG391">
        <f t="shared" si="26"/>
        <v>2.1878350301296452</v>
      </c>
      <c r="AH391">
        <f t="shared" si="27"/>
        <v>1.5905149184050971</v>
      </c>
      <c r="AI391">
        <f t="shared" si="28"/>
        <v>4.9674127032631077</v>
      </c>
      <c r="AK391">
        <f t="shared" si="29"/>
        <v>1.650413250201382</v>
      </c>
      <c r="AL391">
        <f t="shared" si="30"/>
        <v>1.062223675998393</v>
      </c>
      <c r="AM391">
        <f t="shared" si="31"/>
        <v>1.2209280819748529</v>
      </c>
      <c r="AN391">
        <f t="shared" si="32"/>
        <v>1.3091880222025789</v>
      </c>
      <c r="AO391">
        <f t="shared" si="33"/>
        <v>0.77097515040659348</v>
      </c>
      <c r="AP391">
        <f t="shared" si="34"/>
        <v>1.7599425997934299</v>
      </c>
      <c r="AQ391">
        <f t="shared" si="35"/>
        <v>0.84869093080051239</v>
      </c>
      <c r="AR391">
        <f t="shared" si="36"/>
        <v>0.7880801608669572</v>
      </c>
      <c r="AS391">
        <f t="shared" si="37"/>
        <v>0.56963751740986479</v>
      </c>
      <c r="AT391">
        <f t="shared" si="38"/>
        <v>1.5905149184050971</v>
      </c>
      <c r="AU391">
        <f t="shared" si="39"/>
        <v>3.388165322830901</v>
      </c>
    </row>
    <row r="392" spans="1:47" x14ac:dyDescent="0.3">
      <c r="A392">
        <v>21</v>
      </c>
      <c r="B392" t="s">
        <v>28</v>
      </c>
      <c r="C392" t="s">
        <v>19</v>
      </c>
      <c r="D392" t="s">
        <v>20</v>
      </c>
      <c r="F392" s="7">
        <v>0</v>
      </c>
      <c r="G392" s="7">
        <v>1</v>
      </c>
      <c r="H392" s="3">
        <v>0</v>
      </c>
      <c r="I392">
        <f t="shared" si="6"/>
        <v>0</v>
      </c>
      <c r="J392">
        <f t="shared" si="6"/>
        <v>1</v>
      </c>
      <c r="K392">
        <v>4</v>
      </c>
      <c r="L392">
        <v>0</v>
      </c>
      <c r="M392">
        <f t="shared" si="7"/>
        <v>6171416.2000000002</v>
      </c>
      <c r="N392">
        <f t="shared" si="8"/>
        <v>6805158.4000000004</v>
      </c>
      <c r="O392">
        <f t="shared" si="9"/>
        <v>6857539.4000000004</v>
      </c>
      <c r="P392">
        <f t="shared" si="10"/>
        <v>8419143.5999999996</v>
      </c>
      <c r="Q392">
        <f t="shared" si="11"/>
        <v>2905263.6</v>
      </c>
      <c r="R392">
        <f t="shared" si="12"/>
        <v>9256532.1999999993</v>
      </c>
      <c r="S392">
        <f t="shared" si="13"/>
        <v>6328932</v>
      </c>
      <c r="T392">
        <f t="shared" si="14"/>
        <v>4215910.2</v>
      </c>
      <c r="U392">
        <f t="shared" si="15"/>
        <v>4184912</v>
      </c>
      <c r="V392">
        <f t="shared" si="16"/>
        <v>19259379.600000001</v>
      </c>
      <c r="W392">
        <f t="shared" si="17"/>
        <v>3812327.2</v>
      </c>
      <c r="Y392">
        <f t="shared" si="18"/>
        <v>6.5145960593828933</v>
      </c>
      <c r="Z392">
        <f t="shared" si="19"/>
        <v>5.4953547633718696</v>
      </c>
      <c r="AA392">
        <f t="shared" si="20"/>
        <v>5.4963909070240344</v>
      </c>
      <c r="AB392">
        <f t="shared" si="21"/>
        <v>10.051684918999671</v>
      </c>
      <c r="AC392">
        <f t="shared" si="22"/>
        <v>3.3562829126080032</v>
      </c>
      <c r="AD392">
        <f t="shared" si="23"/>
        <v>9.2313233244116422</v>
      </c>
      <c r="AE392">
        <f t="shared" si="24"/>
        <v>5.8270503188367</v>
      </c>
      <c r="AF392">
        <f t="shared" si="25"/>
        <v>1.6626729771611279</v>
      </c>
      <c r="AG392">
        <f t="shared" si="26"/>
        <v>2.7369826912414279</v>
      </c>
      <c r="AH392">
        <f t="shared" si="27"/>
        <v>10.64112575000618</v>
      </c>
      <c r="AI392">
        <f t="shared" si="28"/>
        <v>8.6416806893888864</v>
      </c>
      <c r="AK392">
        <f t="shared" si="29"/>
        <v>6.5145960593828933</v>
      </c>
      <c r="AL392">
        <f t="shared" si="30"/>
        <v>2.270572908793111</v>
      </c>
      <c r="AM392">
        <f t="shared" si="31"/>
        <v>2.2902200391865342</v>
      </c>
      <c r="AN392">
        <f t="shared" si="32"/>
        <v>10.051684918999671</v>
      </c>
      <c r="AO392">
        <f t="shared" si="33"/>
        <v>1.5883352892007681</v>
      </c>
      <c r="AP392">
        <f t="shared" si="34"/>
        <v>9.2313233244116422</v>
      </c>
      <c r="AQ392">
        <f t="shared" si="35"/>
        <v>2.3235059678321699</v>
      </c>
      <c r="AR392">
        <f t="shared" si="36"/>
        <v>1.056042246764991</v>
      </c>
      <c r="AS392">
        <f t="shared" si="37"/>
        <v>0.6510023555601947</v>
      </c>
      <c r="AT392">
        <f t="shared" si="38"/>
        <v>10.64112575000618</v>
      </c>
      <c r="AU392">
        <f t="shared" si="39"/>
        <v>6.7449299822212199</v>
      </c>
    </row>
    <row r="393" spans="1:47" x14ac:dyDescent="0.3">
      <c r="A393">
        <v>21</v>
      </c>
      <c r="B393" t="s">
        <v>29</v>
      </c>
      <c r="C393" t="s">
        <v>19</v>
      </c>
      <c r="D393" t="s">
        <v>20</v>
      </c>
      <c r="F393" s="7">
        <v>0</v>
      </c>
      <c r="G393" s="7">
        <v>0</v>
      </c>
      <c r="H393" s="3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>
        <f t="shared" si="7"/>
        <v>6077126.4000000004</v>
      </c>
      <c r="N393">
        <f t="shared" si="8"/>
        <v>6523186.2000000002</v>
      </c>
      <c r="O393">
        <f t="shared" si="9"/>
        <v>6683859.2000000002</v>
      </c>
      <c r="P393">
        <f t="shared" si="10"/>
        <v>14297375.6</v>
      </c>
      <c r="Q393">
        <f t="shared" si="11"/>
        <v>2766018.8</v>
      </c>
      <c r="R393">
        <f t="shared" si="12"/>
        <v>9345182.5999999996</v>
      </c>
      <c r="S393">
        <f t="shared" si="13"/>
        <v>7992747.4000000004</v>
      </c>
      <c r="T393">
        <f t="shared" si="14"/>
        <v>4852422.4000000004</v>
      </c>
      <c r="U393">
        <f t="shared" si="15"/>
        <v>3966619.4</v>
      </c>
      <c r="V393">
        <f t="shared" si="16"/>
        <v>31495538.800000001</v>
      </c>
      <c r="W393">
        <f t="shared" si="17"/>
        <v>3691529.6</v>
      </c>
      <c r="Y393">
        <f t="shared" si="18"/>
        <v>6.1149931791936982</v>
      </c>
      <c r="Z393">
        <f t="shared" si="19"/>
        <v>5.2643429044052024</v>
      </c>
      <c r="AA393">
        <f t="shared" si="20"/>
        <v>5.3412260987795888</v>
      </c>
      <c r="AB393">
        <f t="shared" si="21"/>
        <v>12.623190893605351</v>
      </c>
      <c r="AC393">
        <f t="shared" si="22"/>
        <v>3.3510143795982001</v>
      </c>
      <c r="AD393">
        <f t="shared" si="23"/>
        <v>10.21535429179203</v>
      </c>
      <c r="AE393">
        <f t="shared" si="24"/>
        <v>6.7976655208389278</v>
      </c>
      <c r="AF393">
        <f t="shared" si="25"/>
        <v>2.24621086360421</v>
      </c>
      <c r="AG393">
        <f t="shared" si="26"/>
        <v>2.4651818728190849</v>
      </c>
      <c r="AH393">
        <f t="shared" si="27"/>
        <v>11.2255332886125</v>
      </c>
      <c r="AI393">
        <f t="shared" si="28"/>
        <v>8.0396502943593084</v>
      </c>
      <c r="AK393">
        <f t="shared" si="29"/>
        <v>6.1149931791936982</v>
      </c>
      <c r="AL393">
        <f t="shared" si="30"/>
        <v>2.621938515407964</v>
      </c>
      <c r="AM393">
        <f t="shared" si="31"/>
        <v>2.6974126777960921</v>
      </c>
      <c r="AN393">
        <f t="shared" si="32"/>
        <v>12.623190893605351</v>
      </c>
      <c r="AO393">
        <f t="shared" si="33"/>
        <v>1.7806580112024679</v>
      </c>
      <c r="AP393">
        <f t="shared" si="34"/>
        <v>10.21535429179203</v>
      </c>
      <c r="AQ393">
        <f t="shared" si="35"/>
        <v>3.925472252606415</v>
      </c>
      <c r="AR393">
        <f t="shared" si="36"/>
        <v>1.2590690026176159</v>
      </c>
      <c r="AS393">
        <f t="shared" si="37"/>
        <v>0.63015220101224256</v>
      </c>
      <c r="AT393">
        <f t="shared" si="38"/>
        <v>11.2255332886125</v>
      </c>
      <c r="AU393">
        <f t="shared" si="39"/>
        <v>6.3221945607801899</v>
      </c>
    </row>
    <row r="394" spans="1:47" x14ac:dyDescent="0.3">
      <c r="A394">
        <v>21</v>
      </c>
      <c r="B394" t="s">
        <v>30</v>
      </c>
      <c r="C394" t="s">
        <v>19</v>
      </c>
      <c r="D394" t="s">
        <v>20</v>
      </c>
      <c r="F394" s="7">
        <v>0</v>
      </c>
      <c r="G394" s="7">
        <v>0</v>
      </c>
      <c r="H394" s="3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3525196.8</v>
      </c>
      <c r="O394">
        <f t="shared" si="9"/>
        <v>3542716.8</v>
      </c>
      <c r="P394">
        <f t="shared" si="10"/>
        <v>4791875</v>
      </c>
      <c r="Q394">
        <f t="shared" si="11"/>
        <v>1227249</v>
      </c>
      <c r="R394">
        <f t="shared" si="12"/>
        <v>3330299.8</v>
      </c>
      <c r="S394">
        <f t="shared" si="13"/>
        <v>1129757.3999999999</v>
      </c>
      <c r="T394">
        <f t="shared" si="14"/>
        <v>4221177.5999999996</v>
      </c>
      <c r="U394">
        <f t="shared" si="15"/>
        <v>3820898.8</v>
      </c>
      <c r="V394">
        <f t="shared" si="16"/>
        <v>5883243.7999999998</v>
      </c>
      <c r="W394">
        <f t="shared" si="17"/>
        <v>2247583.4</v>
      </c>
      <c r="Y394">
        <f t="shared" si="18"/>
        <v>4.0645884803845549</v>
      </c>
      <c r="Z394">
        <f t="shared" si="19"/>
        <v>3.0854348990367719</v>
      </c>
      <c r="AA394">
        <f t="shared" si="20"/>
        <v>3.0809417999931612</v>
      </c>
      <c r="AB394">
        <f t="shared" si="21"/>
        <v>3.125943288201233</v>
      </c>
      <c r="AC394">
        <f t="shared" si="22"/>
        <v>1.753664275392657</v>
      </c>
      <c r="AD394">
        <f t="shared" si="23"/>
        <v>3.0631603482179339</v>
      </c>
      <c r="AE394">
        <f t="shared" si="24"/>
        <v>2.3240295772091479</v>
      </c>
      <c r="AF394">
        <f t="shared" si="25"/>
        <v>1.6403527827700599</v>
      </c>
      <c r="AG394">
        <f t="shared" si="26"/>
        <v>2.2280405089724811</v>
      </c>
      <c r="AH394">
        <f t="shared" si="27"/>
        <v>4.403506841009948</v>
      </c>
      <c r="AI394">
        <f t="shared" si="28"/>
        <v>4.2895956472144459</v>
      </c>
      <c r="AK394">
        <f t="shared" si="29"/>
        <v>4.0645884803845549</v>
      </c>
      <c r="AL394">
        <f t="shared" si="30"/>
        <v>1.19052803539671</v>
      </c>
      <c r="AM394">
        <f t="shared" si="31"/>
        <v>1.1977567186113449</v>
      </c>
      <c r="AN394">
        <f t="shared" si="32"/>
        <v>3.125943288201233</v>
      </c>
      <c r="AO394">
        <f t="shared" si="33"/>
        <v>0.77954667237936515</v>
      </c>
      <c r="AP394">
        <f t="shared" si="34"/>
        <v>3.0631603482179339</v>
      </c>
      <c r="AQ394">
        <f t="shared" si="35"/>
        <v>0.83620562839787449</v>
      </c>
      <c r="AR394">
        <f t="shared" si="36"/>
        <v>1.0916917691822161</v>
      </c>
      <c r="AS394">
        <f t="shared" si="37"/>
        <v>0.59449439820600669</v>
      </c>
      <c r="AT394">
        <f t="shared" si="38"/>
        <v>4.403506841009948</v>
      </c>
      <c r="AU394">
        <f t="shared" si="39"/>
        <v>2.6821505653904749</v>
      </c>
    </row>
    <row r="395" spans="1:47" x14ac:dyDescent="0.3">
      <c r="A395">
        <v>21</v>
      </c>
      <c r="B395" t="s">
        <v>31</v>
      </c>
      <c r="C395" t="s">
        <v>19</v>
      </c>
      <c r="D395" t="s">
        <v>20</v>
      </c>
      <c r="F395" s="7">
        <v>0</v>
      </c>
      <c r="G395" s="7">
        <v>1</v>
      </c>
      <c r="H395" s="3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5681416.4000000004</v>
      </c>
      <c r="O395">
        <f t="shared" si="9"/>
        <v>5716200.7999999998</v>
      </c>
      <c r="P395">
        <f t="shared" si="10"/>
        <v>3424600.8</v>
      </c>
      <c r="Q395">
        <f t="shared" si="11"/>
        <v>3042341.4</v>
      </c>
      <c r="R395">
        <f t="shared" si="12"/>
        <v>2642237</v>
      </c>
      <c r="S395">
        <f t="shared" si="13"/>
        <v>2579986.7999999998</v>
      </c>
      <c r="T395">
        <f t="shared" si="14"/>
        <v>4575869</v>
      </c>
      <c r="U395">
        <f t="shared" si="15"/>
        <v>3750440.2</v>
      </c>
      <c r="V395">
        <f t="shared" si="16"/>
        <v>7388502.4000000004</v>
      </c>
      <c r="W395">
        <f t="shared" si="17"/>
        <v>4680236.4000000004</v>
      </c>
      <c r="Y395">
        <f t="shared" si="18"/>
        <v>1.9127117983996871</v>
      </c>
      <c r="Z395">
        <f t="shared" si="19"/>
        <v>4.7608887273818246</v>
      </c>
      <c r="AA395">
        <f t="shared" si="20"/>
        <v>4.7306703048641792</v>
      </c>
      <c r="AB395">
        <f t="shared" si="21"/>
        <v>3.1142022179963531</v>
      </c>
      <c r="AC395">
        <f t="shared" si="22"/>
        <v>3.0985967031621842</v>
      </c>
      <c r="AD395">
        <f t="shared" si="23"/>
        <v>3.349249165982473</v>
      </c>
      <c r="AE395">
        <f t="shared" si="24"/>
        <v>3.409203715564217</v>
      </c>
      <c r="AF395">
        <f t="shared" si="25"/>
        <v>1.858801947976463</v>
      </c>
      <c r="AG395">
        <f t="shared" si="26"/>
        <v>2.1302449715672989</v>
      </c>
      <c r="AH395">
        <f t="shared" si="27"/>
        <v>4.9357865429949017</v>
      </c>
      <c r="AI395">
        <f t="shared" si="28"/>
        <v>7.1900989536661646</v>
      </c>
      <c r="AK395">
        <f t="shared" si="29"/>
        <v>1.9127117983996871</v>
      </c>
      <c r="AL395">
        <f t="shared" si="30"/>
        <v>2.2804257138050161</v>
      </c>
      <c r="AM395">
        <f t="shared" si="31"/>
        <v>2.2775786200072621</v>
      </c>
      <c r="AN395">
        <f t="shared" si="32"/>
        <v>3.1142022179963531</v>
      </c>
      <c r="AO395">
        <f t="shared" si="33"/>
        <v>1.501202533399919</v>
      </c>
      <c r="AP395">
        <f t="shared" si="34"/>
        <v>3.349249165982473</v>
      </c>
      <c r="AQ395">
        <f t="shared" si="35"/>
        <v>1.4923651995952241</v>
      </c>
      <c r="AR395">
        <f t="shared" si="36"/>
        <v>1.0765884193708191</v>
      </c>
      <c r="AS395">
        <f t="shared" si="37"/>
        <v>0.60571621462004255</v>
      </c>
      <c r="AT395">
        <f t="shared" si="38"/>
        <v>4.9357865429949017</v>
      </c>
      <c r="AU395">
        <f t="shared" si="39"/>
        <v>5.4135304288123738</v>
      </c>
    </row>
    <row r="396" spans="1:47" x14ac:dyDescent="0.3">
      <c r="A396">
        <v>21</v>
      </c>
      <c r="B396" t="s">
        <v>32</v>
      </c>
      <c r="C396" t="s">
        <v>19</v>
      </c>
      <c r="D396" t="s">
        <v>20</v>
      </c>
      <c r="F396" s="7">
        <v>0</v>
      </c>
      <c r="G396" s="7">
        <v>0</v>
      </c>
      <c r="H396" s="3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4956663</v>
      </c>
      <c r="O396">
        <f t="shared" si="9"/>
        <v>4946696.5999999996</v>
      </c>
      <c r="P396">
        <f t="shared" si="10"/>
        <v>18218009.600000001</v>
      </c>
      <c r="Q396">
        <f t="shared" si="11"/>
        <v>1879359.4</v>
      </c>
      <c r="R396">
        <f t="shared" si="12"/>
        <v>17723012.199999999</v>
      </c>
      <c r="S396">
        <f t="shared" si="13"/>
        <v>2634966.7999999998</v>
      </c>
      <c r="T396">
        <f t="shared" si="14"/>
        <v>4731131.5999999996</v>
      </c>
      <c r="U396">
        <f t="shared" si="15"/>
        <v>3896406.6</v>
      </c>
      <c r="V396">
        <f t="shared" si="16"/>
        <v>26229788.399999999</v>
      </c>
      <c r="W396">
        <f t="shared" si="17"/>
        <v>2303932</v>
      </c>
      <c r="Y396">
        <f t="shared" si="18"/>
        <v>10.45097025480354</v>
      </c>
      <c r="Z396">
        <f t="shared" si="19"/>
        <v>4.1558674317435358</v>
      </c>
      <c r="AA396">
        <f t="shared" si="20"/>
        <v>4.1392927835695454</v>
      </c>
      <c r="AB396">
        <f t="shared" si="21"/>
        <v>11.2256593482045</v>
      </c>
      <c r="AC396">
        <f t="shared" si="22"/>
        <v>2.45893694239785</v>
      </c>
      <c r="AD396">
        <f t="shared" si="23"/>
        <v>14.37439649540465</v>
      </c>
      <c r="AE396">
        <f t="shared" si="24"/>
        <v>3.4165343588218091</v>
      </c>
      <c r="AF396">
        <f t="shared" si="25"/>
        <v>2.1013031546375709</v>
      </c>
      <c r="AG396">
        <f t="shared" si="26"/>
        <v>2.3911654933937831</v>
      </c>
      <c r="AH396">
        <f t="shared" si="27"/>
        <v>11.96196870759595</v>
      </c>
      <c r="AI396">
        <f t="shared" si="28"/>
        <v>5.3582710998132823</v>
      </c>
      <c r="AK396">
        <f t="shared" si="29"/>
        <v>10.45097025480354</v>
      </c>
      <c r="AL396">
        <f t="shared" si="30"/>
        <v>1.832786726567428</v>
      </c>
      <c r="AM396">
        <f t="shared" si="31"/>
        <v>1.824097263801377</v>
      </c>
      <c r="AN396">
        <f t="shared" si="32"/>
        <v>11.2256593482045</v>
      </c>
      <c r="AO396">
        <f t="shared" si="33"/>
        <v>1.154609910998261</v>
      </c>
      <c r="AP396">
        <f t="shared" si="34"/>
        <v>14.37439649540465</v>
      </c>
      <c r="AQ396">
        <f t="shared" si="35"/>
        <v>1.423356654215604</v>
      </c>
      <c r="AR396">
        <f t="shared" si="36"/>
        <v>1.150393931823783</v>
      </c>
      <c r="AS396">
        <f t="shared" si="37"/>
        <v>0.68909673239104452</v>
      </c>
      <c r="AT396">
        <f t="shared" si="38"/>
        <v>11.96196870759595</v>
      </c>
      <c r="AU396">
        <f t="shared" si="39"/>
        <v>3.917118695226963</v>
      </c>
    </row>
    <row r="397" spans="1:47" x14ac:dyDescent="0.3">
      <c r="A397">
        <v>21</v>
      </c>
      <c r="B397" t="s">
        <v>33</v>
      </c>
      <c r="C397" t="s">
        <v>19</v>
      </c>
      <c r="D397" t="s">
        <v>20</v>
      </c>
      <c r="F397" s="7">
        <v>0</v>
      </c>
      <c r="G397" s="7">
        <v>1</v>
      </c>
      <c r="H397" s="3">
        <v>0</v>
      </c>
      <c r="I397">
        <f t="shared" si="6"/>
        <v>0</v>
      </c>
      <c r="J397">
        <f t="shared" si="6"/>
        <v>1</v>
      </c>
      <c r="K397">
        <v>4</v>
      </c>
      <c r="L397">
        <v>0</v>
      </c>
      <c r="M397">
        <f t="shared" si="7"/>
        <v>4086782.6</v>
      </c>
      <c r="N397">
        <f t="shared" si="8"/>
        <v>8396950.8000000007</v>
      </c>
      <c r="O397">
        <f t="shared" si="9"/>
        <v>9072850.5999999996</v>
      </c>
      <c r="P397">
        <f t="shared" si="10"/>
        <v>3127021.2</v>
      </c>
      <c r="Q397">
        <f t="shared" si="11"/>
        <v>3011644.8</v>
      </c>
      <c r="R397">
        <f t="shared" si="12"/>
        <v>3627884.8</v>
      </c>
      <c r="S397">
        <f t="shared" si="13"/>
        <v>6840819.7999999998</v>
      </c>
      <c r="T397">
        <f t="shared" si="14"/>
        <v>4001025.4</v>
      </c>
      <c r="U397">
        <f t="shared" si="15"/>
        <v>4105374</v>
      </c>
      <c r="V397">
        <f t="shared" si="16"/>
        <v>15964690.4</v>
      </c>
      <c r="W397">
        <f t="shared" si="17"/>
        <v>4317869.4000000004</v>
      </c>
      <c r="Y397">
        <f t="shared" si="18"/>
        <v>4.4390055509982629</v>
      </c>
      <c r="Z397">
        <f t="shared" si="19"/>
        <v>6.7243578864028679</v>
      </c>
      <c r="AA397">
        <f t="shared" si="20"/>
        <v>7.079800704016816</v>
      </c>
      <c r="AB397">
        <f t="shared" si="21"/>
        <v>4.1721198601939253</v>
      </c>
      <c r="AC397">
        <f t="shared" si="22"/>
        <v>3.6182557169639038</v>
      </c>
      <c r="AD397">
        <f t="shared" si="23"/>
        <v>5.1547001075814478</v>
      </c>
      <c r="AE397">
        <f t="shared" si="24"/>
        <v>6.1073857924086044</v>
      </c>
      <c r="AF397">
        <f t="shared" si="25"/>
        <v>1.4913043438224121</v>
      </c>
      <c r="AG397">
        <f t="shared" si="26"/>
        <v>2.6628234198084102</v>
      </c>
      <c r="AH397">
        <f t="shared" si="27"/>
        <v>6.8338560923933986</v>
      </c>
      <c r="AI397">
        <f t="shared" si="28"/>
        <v>10.16716714564245</v>
      </c>
      <c r="AK397">
        <f t="shared" si="29"/>
        <v>4.4390055509982629</v>
      </c>
      <c r="AL397">
        <f t="shared" si="30"/>
        <v>2.5583764257840809</v>
      </c>
      <c r="AM397">
        <f t="shared" si="31"/>
        <v>2.9358364042011091</v>
      </c>
      <c r="AN397">
        <f t="shared" si="32"/>
        <v>4.1721198601939253</v>
      </c>
      <c r="AO397">
        <f t="shared" si="33"/>
        <v>1.530600520590087</v>
      </c>
      <c r="AP397">
        <f t="shared" si="34"/>
        <v>5.1547001075814478</v>
      </c>
      <c r="AQ397">
        <f t="shared" si="35"/>
        <v>2.1539793555857609</v>
      </c>
      <c r="AR397">
        <f t="shared" si="36"/>
        <v>1.003793796000537</v>
      </c>
      <c r="AS397">
        <f t="shared" si="37"/>
        <v>0.66429546660510819</v>
      </c>
      <c r="AT397">
        <f t="shared" si="38"/>
        <v>6.8338560923933986</v>
      </c>
      <c r="AU397">
        <f t="shared" si="39"/>
        <v>8.2573940334259532</v>
      </c>
    </row>
    <row r="398" spans="1:47" x14ac:dyDescent="0.3">
      <c r="A398">
        <v>21</v>
      </c>
      <c r="B398" t="s">
        <v>34</v>
      </c>
      <c r="C398" t="s">
        <v>19</v>
      </c>
      <c r="D398" t="s">
        <v>20</v>
      </c>
      <c r="F398" s="7">
        <v>0</v>
      </c>
      <c r="G398" s="7">
        <v>1</v>
      </c>
      <c r="H398" s="3">
        <v>0</v>
      </c>
      <c r="I398">
        <f t="shared" si="6"/>
        <v>0</v>
      </c>
      <c r="J398">
        <f t="shared" si="6"/>
        <v>1</v>
      </c>
      <c r="K398">
        <v>4</v>
      </c>
      <c r="L398">
        <v>0</v>
      </c>
      <c r="M398">
        <f t="shared" si="7"/>
        <v>7112853</v>
      </c>
      <c r="N398">
        <f t="shared" si="8"/>
        <v>2746243.4</v>
      </c>
      <c r="O398">
        <f t="shared" si="9"/>
        <v>2747191.6</v>
      </c>
      <c r="P398">
        <f t="shared" si="10"/>
        <v>8723892</v>
      </c>
      <c r="Q398">
        <f t="shared" si="11"/>
        <v>708396.6</v>
      </c>
      <c r="R398">
        <f t="shared" si="12"/>
        <v>6128639</v>
      </c>
      <c r="S398">
        <f t="shared" si="13"/>
        <v>783665.4</v>
      </c>
      <c r="T398">
        <f t="shared" si="14"/>
        <v>4576948.2</v>
      </c>
      <c r="U398">
        <f t="shared" si="15"/>
        <v>3606709.8</v>
      </c>
      <c r="V398">
        <f t="shared" si="16"/>
        <v>5662981.7999999998</v>
      </c>
      <c r="W398">
        <f t="shared" si="17"/>
        <v>1139695.8</v>
      </c>
      <c r="Y398">
        <f t="shared" si="18"/>
        <v>5.9886686897953041</v>
      </c>
      <c r="Z398">
        <f t="shared" si="19"/>
        <v>2.5857897356152528</v>
      </c>
      <c r="AA398">
        <f t="shared" si="20"/>
        <v>2.5643880272284152</v>
      </c>
      <c r="AB398">
        <f t="shared" si="21"/>
        <v>4.6316629145934716</v>
      </c>
      <c r="AC398">
        <f t="shared" si="22"/>
        <v>1.3071354023821189</v>
      </c>
      <c r="AD398">
        <f t="shared" si="23"/>
        <v>4.3273795805871487</v>
      </c>
      <c r="AE398">
        <f t="shared" si="24"/>
        <v>1.984821832634043</v>
      </c>
      <c r="AF398">
        <f t="shared" si="25"/>
        <v>1.876531615969725</v>
      </c>
      <c r="AG398">
        <f t="shared" si="26"/>
        <v>1.999528189527336</v>
      </c>
      <c r="AH398">
        <f t="shared" si="27"/>
        <v>4.5048450400005091</v>
      </c>
      <c r="AI398">
        <f t="shared" si="28"/>
        <v>2.9993149652145799</v>
      </c>
      <c r="AK398">
        <f t="shared" si="29"/>
        <v>5.9886686897953041</v>
      </c>
      <c r="AL398">
        <f t="shared" si="30"/>
        <v>1.0736192691838371</v>
      </c>
      <c r="AM398">
        <f t="shared" si="31"/>
        <v>1.0627783878007899</v>
      </c>
      <c r="AN398">
        <f t="shared" si="32"/>
        <v>4.6316629145934716</v>
      </c>
      <c r="AO398">
        <f t="shared" si="33"/>
        <v>0.62938220938085576</v>
      </c>
      <c r="AP398">
        <f t="shared" si="34"/>
        <v>4.3273795805871487</v>
      </c>
      <c r="AQ398">
        <f t="shared" si="35"/>
        <v>0.75997273359680551</v>
      </c>
      <c r="AR398">
        <f t="shared" si="36"/>
        <v>1.1061279749730599</v>
      </c>
      <c r="AS398">
        <f t="shared" si="37"/>
        <v>0.58398874480044471</v>
      </c>
      <c r="AT398">
        <f t="shared" si="38"/>
        <v>4.5048450400005091</v>
      </c>
      <c r="AU398">
        <f t="shared" si="39"/>
        <v>1.8290251086000351</v>
      </c>
    </row>
    <row r="399" spans="1:47" x14ac:dyDescent="0.3">
      <c r="A399">
        <v>21</v>
      </c>
      <c r="B399" t="s">
        <v>35</v>
      </c>
      <c r="C399" t="s">
        <v>19</v>
      </c>
      <c r="D399" t="s">
        <v>20</v>
      </c>
      <c r="F399" s="7">
        <v>0</v>
      </c>
      <c r="G399" s="7">
        <v>0</v>
      </c>
      <c r="H399" s="3">
        <v>1</v>
      </c>
      <c r="I399">
        <f t="shared" si="6"/>
        <v>0</v>
      </c>
      <c r="J399">
        <f t="shared" si="6"/>
        <v>1</v>
      </c>
      <c r="K399">
        <v>4</v>
      </c>
      <c r="L399">
        <v>4</v>
      </c>
      <c r="M399">
        <f t="shared" si="7"/>
        <v>492450</v>
      </c>
      <c r="N399">
        <f t="shared" si="8"/>
        <v>7435345.5999999996</v>
      </c>
      <c r="O399">
        <f t="shared" si="9"/>
        <v>7499038</v>
      </c>
      <c r="P399">
        <f t="shared" si="10"/>
        <v>264522.40000000002</v>
      </c>
      <c r="Q399">
        <f t="shared" si="11"/>
        <v>4031802.4</v>
      </c>
      <c r="R399">
        <f t="shared" si="12"/>
        <v>253435.8</v>
      </c>
      <c r="S399">
        <f t="shared" si="13"/>
        <v>4447089.2</v>
      </c>
      <c r="T399">
        <f t="shared" si="14"/>
        <v>3780204.6</v>
      </c>
      <c r="U399">
        <f t="shared" si="15"/>
        <v>3884984.4</v>
      </c>
      <c r="V399">
        <f t="shared" si="16"/>
        <v>6495.2</v>
      </c>
      <c r="W399">
        <f t="shared" si="17"/>
        <v>5616552.4000000004</v>
      </c>
      <c r="Y399">
        <f t="shared" si="18"/>
        <v>0.64339787062490361</v>
      </c>
      <c r="Z399">
        <f t="shared" si="19"/>
        <v>6.1564673291519281</v>
      </c>
      <c r="AA399">
        <f t="shared" si="20"/>
        <v>6.1549702658783643</v>
      </c>
      <c r="AB399">
        <f t="shared" si="21"/>
        <v>0.49780697500100363</v>
      </c>
      <c r="AC399">
        <f t="shared" si="22"/>
        <v>4.042952708801022</v>
      </c>
      <c r="AD399">
        <f t="shared" si="23"/>
        <v>1.1861672768020071</v>
      </c>
      <c r="AE399">
        <f t="shared" si="24"/>
        <v>4.7535574079491196</v>
      </c>
      <c r="AF399">
        <f t="shared" si="25"/>
        <v>1.2118877856060859</v>
      </c>
      <c r="AG399">
        <f t="shared" si="26"/>
        <v>2.322022740810644</v>
      </c>
      <c r="AH399">
        <f t="shared" si="27"/>
        <v>3.3740477997343941E-2</v>
      </c>
      <c r="AI399">
        <f t="shared" si="28"/>
        <v>10.37070599120343</v>
      </c>
      <c r="AK399">
        <f t="shared" si="29"/>
        <v>0.64339787062490361</v>
      </c>
      <c r="AL399">
        <f t="shared" si="30"/>
        <v>2.5678783181821929</v>
      </c>
      <c r="AM399">
        <f t="shared" si="31"/>
        <v>2.593745845998638</v>
      </c>
      <c r="AN399">
        <f t="shared" si="32"/>
        <v>0.49780697500100363</v>
      </c>
      <c r="AO399">
        <f t="shared" si="33"/>
        <v>1.741025536198868</v>
      </c>
      <c r="AP399">
        <f t="shared" si="34"/>
        <v>1.1861672768020071</v>
      </c>
      <c r="AQ399">
        <f t="shared" si="35"/>
        <v>1.9375769079895691</v>
      </c>
      <c r="AR399">
        <f t="shared" si="36"/>
        <v>0.79128102920949461</v>
      </c>
      <c r="AS399">
        <f t="shared" si="37"/>
        <v>0.61890311605529857</v>
      </c>
      <c r="AT399">
        <f t="shared" si="38"/>
        <v>3.3740477997343941E-2</v>
      </c>
      <c r="AU399">
        <f t="shared" si="39"/>
        <v>8.3462473839870661</v>
      </c>
    </row>
    <row r="400" spans="1:47" x14ac:dyDescent="0.3">
      <c r="A400">
        <v>22</v>
      </c>
      <c r="B400" t="s">
        <v>36</v>
      </c>
      <c r="C400" t="s">
        <v>37</v>
      </c>
      <c r="D400" t="s">
        <v>38</v>
      </c>
      <c r="F400" s="7">
        <v>0</v>
      </c>
      <c r="G400" s="7">
        <v>0</v>
      </c>
      <c r="H400" s="3">
        <v>0</v>
      </c>
      <c r="I400">
        <f t="shared" si="6"/>
        <v>0</v>
      </c>
      <c r="J400">
        <f t="shared" si="6"/>
        <v>1</v>
      </c>
      <c r="K400">
        <v>3</v>
      </c>
      <c r="L400">
        <v>0</v>
      </c>
      <c r="M400">
        <f t="shared" si="7"/>
        <v>6218015.5999999996</v>
      </c>
      <c r="N400">
        <f t="shared" si="8"/>
        <v>2023825.2</v>
      </c>
      <c r="O400">
        <f t="shared" si="9"/>
        <v>2050973.4</v>
      </c>
      <c r="P400">
        <f t="shared" si="10"/>
        <v>14902021.800000001</v>
      </c>
      <c r="Q400">
        <f t="shared" si="11"/>
        <v>1047875</v>
      </c>
      <c r="R400">
        <f t="shared" si="12"/>
        <v>15785104.199999999</v>
      </c>
      <c r="S400">
        <f t="shared" si="13"/>
        <v>1498358.4</v>
      </c>
      <c r="T400">
        <f t="shared" si="14"/>
        <v>4656903.2</v>
      </c>
      <c r="U400">
        <f t="shared" si="15"/>
        <v>4045584.4</v>
      </c>
      <c r="V400">
        <f t="shared" si="16"/>
        <v>15292114.800000001</v>
      </c>
      <c r="W400">
        <f t="shared" si="17"/>
        <v>2250255.4</v>
      </c>
      <c r="Y400">
        <f t="shared" si="18"/>
        <v>5.6175818871939551</v>
      </c>
      <c r="Z400">
        <f t="shared" si="19"/>
        <v>1.921075872832444</v>
      </c>
      <c r="AA400">
        <f t="shared" si="20"/>
        <v>1.932050775585231</v>
      </c>
      <c r="AB400">
        <f t="shared" si="21"/>
        <v>15.090376014600039</v>
      </c>
      <c r="AC400">
        <f t="shared" si="22"/>
        <v>1.659220825618831</v>
      </c>
      <c r="AD400">
        <f t="shared" si="23"/>
        <v>11.911601949005849</v>
      </c>
      <c r="AE400">
        <f t="shared" si="24"/>
        <v>1.6832071901531891</v>
      </c>
      <c r="AF400">
        <f t="shared" si="25"/>
        <v>2.280906761763617</v>
      </c>
      <c r="AG400">
        <f t="shared" si="26"/>
        <v>2.5654198582051322</v>
      </c>
      <c r="AH400">
        <f t="shared" si="27"/>
        <v>7.9992575424024839</v>
      </c>
      <c r="AI400">
        <f t="shared" si="28"/>
        <v>3.5528840234153898</v>
      </c>
      <c r="AK400">
        <f t="shared" si="29"/>
        <v>5.6175818871939551</v>
      </c>
      <c r="AL400">
        <f t="shared" si="30"/>
        <v>0.7994292568066157</v>
      </c>
      <c r="AM400">
        <f t="shared" si="31"/>
        <v>0.81371634479146449</v>
      </c>
      <c r="AN400">
        <f t="shared" si="32"/>
        <v>15.090376014600039</v>
      </c>
      <c r="AO400">
        <f t="shared" si="33"/>
        <v>0.75647047599777584</v>
      </c>
      <c r="AP400">
        <f t="shared" si="34"/>
        <v>11.911601949005849</v>
      </c>
      <c r="AQ400">
        <f t="shared" si="35"/>
        <v>0.8422154613770545</v>
      </c>
      <c r="AR400">
        <f t="shared" si="36"/>
        <v>1.183351993176621</v>
      </c>
      <c r="AS400">
        <f t="shared" si="37"/>
        <v>0.58539356938563292</v>
      </c>
      <c r="AT400">
        <f t="shared" si="38"/>
        <v>7.9992575424024839</v>
      </c>
      <c r="AU400">
        <f t="shared" si="39"/>
        <v>1.924169786612038</v>
      </c>
    </row>
    <row r="401" spans="1:47" x14ac:dyDescent="0.3">
      <c r="A401">
        <v>22</v>
      </c>
      <c r="B401" t="s">
        <v>39</v>
      </c>
      <c r="C401" t="s">
        <v>37</v>
      </c>
      <c r="D401" t="s">
        <v>38</v>
      </c>
      <c r="F401" s="7">
        <v>0</v>
      </c>
      <c r="G401" s="7">
        <v>1</v>
      </c>
      <c r="H401" s="3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10584724</v>
      </c>
      <c r="O401">
        <f t="shared" si="9"/>
        <v>10562189.800000001</v>
      </c>
      <c r="P401">
        <f t="shared" si="10"/>
        <v>531781.6</v>
      </c>
      <c r="Q401">
        <f t="shared" si="11"/>
        <v>11250010.199999999</v>
      </c>
      <c r="R401">
        <f t="shared" si="12"/>
        <v>425951</v>
      </c>
      <c r="S401">
        <f t="shared" si="13"/>
        <v>16252444.199999999</v>
      </c>
      <c r="T401">
        <f t="shared" si="14"/>
        <v>4641178.5999999996</v>
      </c>
      <c r="U401">
        <f t="shared" si="15"/>
        <v>4318672.2</v>
      </c>
      <c r="V401">
        <f t="shared" si="16"/>
        <v>2057883</v>
      </c>
      <c r="W401">
        <f t="shared" si="17"/>
        <v>21356422</v>
      </c>
      <c r="Y401">
        <f t="shared" si="18"/>
        <v>0.89216858580475678</v>
      </c>
      <c r="Z401">
        <f t="shared" si="19"/>
        <v>7.9231275779777208</v>
      </c>
      <c r="AA401">
        <f t="shared" si="20"/>
        <v>7.8822658410063013</v>
      </c>
      <c r="AB401">
        <f t="shared" si="21"/>
        <v>0.98109290699940177</v>
      </c>
      <c r="AC401">
        <f t="shared" si="22"/>
        <v>10.33577997999382</v>
      </c>
      <c r="AD401">
        <f t="shared" si="23"/>
        <v>0.57538598420796916</v>
      </c>
      <c r="AE401">
        <f t="shared" si="24"/>
        <v>12.4606167497579</v>
      </c>
      <c r="AF401">
        <f t="shared" si="25"/>
        <v>2.2631393956136892</v>
      </c>
      <c r="AG401">
        <f t="shared" si="26"/>
        <v>2.7580866762436931</v>
      </c>
      <c r="AH401">
        <f t="shared" si="27"/>
        <v>3.37720133002149</v>
      </c>
      <c r="AI401">
        <f t="shared" si="28"/>
        <v>20.589141067001041</v>
      </c>
      <c r="AK401">
        <f t="shared" si="29"/>
        <v>0.89216858580475678</v>
      </c>
      <c r="AL401">
        <f t="shared" si="30"/>
        <v>3.807680078200065</v>
      </c>
      <c r="AM401">
        <f t="shared" si="31"/>
        <v>3.7738010331639091</v>
      </c>
      <c r="AN401">
        <f t="shared" si="32"/>
        <v>0.98109290699940177</v>
      </c>
      <c r="AO401">
        <f t="shared" si="33"/>
        <v>5.0095263748022258</v>
      </c>
      <c r="AP401">
        <f t="shared" si="34"/>
        <v>0.57538598420796916</v>
      </c>
      <c r="AQ401">
        <f t="shared" si="35"/>
        <v>6.1740752518177029</v>
      </c>
      <c r="AR401">
        <f t="shared" si="36"/>
        <v>1.181116468808614</v>
      </c>
      <c r="AS401">
        <f t="shared" si="37"/>
        <v>0.68233685420127588</v>
      </c>
      <c r="AT401">
        <f t="shared" si="38"/>
        <v>3.37720133002149</v>
      </c>
      <c r="AU401">
        <f t="shared" si="39"/>
        <v>16.146299704012929</v>
      </c>
    </row>
    <row r="402" spans="1:47" x14ac:dyDescent="0.3">
      <c r="A402">
        <v>22</v>
      </c>
      <c r="B402" t="s">
        <v>40</v>
      </c>
      <c r="C402" t="s">
        <v>37</v>
      </c>
      <c r="D402" t="s">
        <v>38</v>
      </c>
      <c r="F402" s="7">
        <v>0</v>
      </c>
      <c r="G402" s="7">
        <v>1</v>
      </c>
      <c r="H402" s="3">
        <v>0</v>
      </c>
      <c r="I402">
        <f t="shared" si="40"/>
        <v>0</v>
      </c>
      <c r="J402">
        <f t="shared" si="40"/>
        <v>1</v>
      </c>
      <c r="K402">
        <v>3</v>
      </c>
      <c r="L402">
        <v>0</v>
      </c>
      <c r="M402">
        <f t="shared" si="7"/>
        <v>4386124.8</v>
      </c>
      <c r="N402">
        <f t="shared" si="8"/>
        <v>2953382.2</v>
      </c>
      <c r="O402">
        <f t="shared" si="9"/>
        <v>3018854.3999999999</v>
      </c>
      <c r="P402">
        <f t="shared" si="10"/>
        <v>2573293.2000000002</v>
      </c>
      <c r="Q402">
        <f t="shared" si="11"/>
        <v>1570631</v>
      </c>
      <c r="R402">
        <f t="shared" si="12"/>
        <v>7628471.2000000002</v>
      </c>
      <c r="S402">
        <f t="shared" si="13"/>
        <v>2641644.6</v>
      </c>
      <c r="T402">
        <f t="shared" si="14"/>
        <v>4391893.8</v>
      </c>
      <c r="U402">
        <f t="shared" si="15"/>
        <v>3935569.8</v>
      </c>
      <c r="V402">
        <f t="shared" si="16"/>
        <v>7755154.4000000004</v>
      </c>
      <c r="W402">
        <f t="shared" si="17"/>
        <v>5968810.5999999996</v>
      </c>
      <c r="Y402">
        <f t="shared" si="18"/>
        <v>3.794481852778699</v>
      </c>
      <c r="Z402">
        <f t="shared" si="19"/>
        <v>2.5381297488464041</v>
      </c>
      <c r="AA402">
        <f t="shared" si="20"/>
        <v>2.5615287698805331</v>
      </c>
      <c r="AB402">
        <f t="shared" si="21"/>
        <v>3.3510496179980689</v>
      </c>
      <c r="AC402">
        <f t="shared" si="22"/>
        <v>1.975204401224619</v>
      </c>
      <c r="AD402">
        <f t="shared" si="23"/>
        <v>6.5826911246054802</v>
      </c>
      <c r="AE402">
        <f t="shared" si="24"/>
        <v>2.3251188130350782</v>
      </c>
      <c r="AF402">
        <f t="shared" si="25"/>
        <v>2.1139266665908512</v>
      </c>
      <c r="AG402">
        <f t="shared" si="26"/>
        <v>2.4855748114059679</v>
      </c>
      <c r="AH402">
        <f t="shared" si="27"/>
        <v>5.090311671386007</v>
      </c>
      <c r="AI402">
        <f t="shared" si="28"/>
        <v>5.6626620388007716</v>
      </c>
      <c r="AK402">
        <f t="shared" si="29"/>
        <v>3.794481852778699</v>
      </c>
      <c r="AL402">
        <f t="shared" si="30"/>
        <v>1.074580994830467</v>
      </c>
      <c r="AM402">
        <f t="shared" si="31"/>
        <v>1.1026675126282499</v>
      </c>
      <c r="AN402">
        <f t="shared" si="32"/>
        <v>3.3510496179980689</v>
      </c>
      <c r="AO402">
        <f t="shared" si="33"/>
        <v>0.90242136620800006</v>
      </c>
      <c r="AP402">
        <f t="shared" si="34"/>
        <v>6.5826911246054802</v>
      </c>
      <c r="AQ402">
        <f t="shared" si="35"/>
        <v>1.2316048830165529</v>
      </c>
      <c r="AR402">
        <f t="shared" si="36"/>
        <v>1.204127251601312</v>
      </c>
      <c r="AS402">
        <f t="shared" si="37"/>
        <v>0.53223258556099606</v>
      </c>
      <c r="AT402">
        <f t="shared" si="38"/>
        <v>5.090311671386007</v>
      </c>
      <c r="AU402">
        <f t="shared" si="39"/>
        <v>3.3521887897863052</v>
      </c>
    </row>
    <row r="403" spans="1:47" x14ac:dyDescent="0.3">
      <c r="A403">
        <v>22</v>
      </c>
      <c r="B403" t="s">
        <v>41</v>
      </c>
      <c r="C403" t="s">
        <v>37</v>
      </c>
      <c r="D403" t="s">
        <v>38</v>
      </c>
      <c r="F403" s="7">
        <v>0</v>
      </c>
      <c r="G403" s="7">
        <v>0</v>
      </c>
      <c r="H403" s="3">
        <v>0</v>
      </c>
      <c r="I403">
        <f t="shared" si="40"/>
        <v>0</v>
      </c>
      <c r="J403">
        <f t="shared" si="40"/>
        <v>1</v>
      </c>
      <c r="K403">
        <v>3</v>
      </c>
      <c r="L403">
        <v>0</v>
      </c>
      <c r="M403">
        <f t="shared" si="7"/>
        <v>1288357.8</v>
      </c>
      <c r="N403">
        <f t="shared" si="8"/>
        <v>5320058.5999999996</v>
      </c>
      <c r="O403">
        <f t="shared" si="9"/>
        <v>5695100.7999999998</v>
      </c>
      <c r="P403">
        <f t="shared" si="10"/>
        <v>8049014.7999999998</v>
      </c>
      <c r="Q403">
        <f t="shared" si="11"/>
        <v>4599516.4000000004</v>
      </c>
      <c r="R403">
        <f t="shared" si="12"/>
        <v>2096160</v>
      </c>
      <c r="S403">
        <f t="shared" si="13"/>
        <v>7026087.5999999996</v>
      </c>
      <c r="T403">
        <f t="shared" si="14"/>
        <v>4381979.4000000004</v>
      </c>
      <c r="U403">
        <f t="shared" si="15"/>
        <v>4040090.4</v>
      </c>
      <c r="V403">
        <f t="shared" si="16"/>
        <v>3344334.4</v>
      </c>
      <c r="W403">
        <f t="shared" si="17"/>
        <v>5872072.7999999998</v>
      </c>
      <c r="Y403">
        <f t="shared" si="18"/>
        <v>1.445537967397831</v>
      </c>
      <c r="Z403">
        <f t="shared" si="19"/>
        <v>4.3606929179863076</v>
      </c>
      <c r="AA403">
        <f t="shared" si="20"/>
        <v>4.4918979687732641</v>
      </c>
      <c r="AB403">
        <f t="shared" si="21"/>
        <v>3.4821474546042741</v>
      </c>
      <c r="AC403">
        <f t="shared" si="22"/>
        <v>4.7352273318159863</v>
      </c>
      <c r="AD403">
        <f t="shared" si="23"/>
        <v>2.1735031197778878</v>
      </c>
      <c r="AE403">
        <f t="shared" si="24"/>
        <v>5.6201024070032872</v>
      </c>
      <c r="AF403">
        <f t="shared" si="25"/>
        <v>2.1156589821679521</v>
      </c>
      <c r="AG403">
        <f t="shared" si="26"/>
        <v>2.5624369639554061</v>
      </c>
      <c r="AH403">
        <f t="shared" si="27"/>
        <v>4.1502917225938294</v>
      </c>
      <c r="AI403">
        <f t="shared" si="28"/>
        <v>8.531593541009352</v>
      </c>
      <c r="AK403">
        <f t="shared" si="29"/>
        <v>1.445537967397831</v>
      </c>
      <c r="AL403">
        <f t="shared" si="30"/>
        <v>2.1000688459840609</v>
      </c>
      <c r="AM403">
        <f t="shared" si="31"/>
        <v>2.2563889257959091</v>
      </c>
      <c r="AN403">
        <f t="shared" si="32"/>
        <v>3.4821474546042741</v>
      </c>
      <c r="AO403">
        <f t="shared" si="33"/>
        <v>2.280094120197464</v>
      </c>
      <c r="AP403">
        <f t="shared" si="34"/>
        <v>2.1735031197778878</v>
      </c>
      <c r="AQ403">
        <f t="shared" si="35"/>
        <v>2.7527442501741461</v>
      </c>
      <c r="AR403">
        <f t="shared" si="36"/>
        <v>1.2002171619795261</v>
      </c>
      <c r="AS403">
        <f t="shared" si="37"/>
        <v>0.56327914716675875</v>
      </c>
      <c r="AT403">
        <f t="shared" si="38"/>
        <v>4.1502917225938294</v>
      </c>
      <c r="AU403">
        <f t="shared" si="39"/>
        <v>6.3688907785923217</v>
      </c>
    </row>
    <row r="404" spans="1:47" x14ac:dyDescent="0.3">
      <c r="A404">
        <v>22</v>
      </c>
      <c r="B404" t="s">
        <v>42</v>
      </c>
      <c r="C404" t="s">
        <v>37</v>
      </c>
      <c r="D404" t="s">
        <v>38</v>
      </c>
      <c r="F404" s="7">
        <v>0</v>
      </c>
      <c r="G404" s="7">
        <v>1</v>
      </c>
      <c r="H404" s="3">
        <v>0</v>
      </c>
      <c r="I404">
        <f t="shared" si="40"/>
        <v>0</v>
      </c>
      <c r="J404">
        <f t="shared" si="40"/>
        <v>1</v>
      </c>
      <c r="K404">
        <v>3</v>
      </c>
      <c r="L404">
        <v>0</v>
      </c>
      <c r="M404">
        <f t="shared" si="7"/>
        <v>878753.2</v>
      </c>
      <c r="N404">
        <f t="shared" si="8"/>
        <v>4774228</v>
      </c>
      <c r="O404">
        <f t="shared" si="9"/>
        <v>5440359</v>
      </c>
      <c r="P404">
        <f t="shared" si="10"/>
        <v>1835525</v>
      </c>
      <c r="Q404">
        <f t="shared" si="11"/>
        <v>3975867.4</v>
      </c>
      <c r="R404">
        <f t="shared" si="12"/>
        <v>1062859</v>
      </c>
      <c r="S404">
        <f t="shared" si="13"/>
        <v>4764882.4000000004</v>
      </c>
      <c r="T404">
        <f t="shared" si="14"/>
        <v>4322342.5999999996</v>
      </c>
      <c r="U404">
        <f t="shared" si="15"/>
        <v>3968592.2</v>
      </c>
      <c r="V404">
        <f t="shared" si="16"/>
        <v>4812924.4000000004</v>
      </c>
      <c r="W404">
        <f t="shared" si="17"/>
        <v>6080492.2000000002</v>
      </c>
      <c r="Y404">
        <f t="shared" si="18"/>
        <v>1.098856685613282</v>
      </c>
      <c r="Z404">
        <f t="shared" si="19"/>
        <v>3.9693465457530692</v>
      </c>
      <c r="AA404">
        <f t="shared" si="20"/>
        <v>4.3116644189925868</v>
      </c>
      <c r="AB404">
        <f t="shared" si="21"/>
        <v>2.081038791389437</v>
      </c>
      <c r="AC404">
        <f t="shared" si="22"/>
        <v>4.2347406831686376</v>
      </c>
      <c r="AD404">
        <f t="shared" si="23"/>
        <v>1.2051741965929981</v>
      </c>
      <c r="AE404">
        <f t="shared" si="24"/>
        <v>3.9941168367629869</v>
      </c>
      <c r="AF404">
        <f t="shared" si="25"/>
        <v>2.0761692461906929</v>
      </c>
      <c r="AG404">
        <f t="shared" si="26"/>
        <v>2.527456875192001</v>
      </c>
      <c r="AH404">
        <f t="shared" si="27"/>
        <v>4.1566794968093754</v>
      </c>
      <c r="AI404">
        <f t="shared" si="28"/>
        <v>8.6783305603894405</v>
      </c>
      <c r="AK404">
        <f t="shared" si="29"/>
        <v>1.098856685613282</v>
      </c>
      <c r="AL404">
        <f t="shared" si="30"/>
        <v>1.834210740600247</v>
      </c>
      <c r="AM404">
        <f t="shared" si="31"/>
        <v>2.1822455980000091</v>
      </c>
      <c r="AN404">
        <f t="shared" si="32"/>
        <v>2.081038791389437</v>
      </c>
      <c r="AO404">
        <f t="shared" si="33"/>
        <v>2.0923197573923971</v>
      </c>
      <c r="AP404">
        <f t="shared" si="34"/>
        <v>1.2051741965929981</v>
      </c>
      <c r="AQ404">
        <f t="shared" si="35"/>
        <v>1.9559515665867371</v>
      </c>
      <c r="AR404">
        <f t="shared" si="36"/>
        <v>1.191944363783114</v>
      </c>
      <c r="AS404">
        <f t="shared" si="37"/>
        <v>0.55983460455900058</v>
      </c>
      <c r="AT404">
        <f t="shared" si="38"/>
        <v>4.1566794968093754</v>
      </c>
      <c r="AU404">
        <f t="shared" si="39"/>
        <v>6.3122146217850972</v>
      </c>
    </row>
    <row r="405" spans="1:47" x14ac:dyDescent="0.3">
      <c r="A405">
        <v>22</v>
      </c>
      <c r="B405" t="s">
        <v>43</v>
      </c>
      <c r="C405" t="s">
        <v>37</v>
      </c>
      <c r="D405" t="s">
        <v>38</v>
      </c>
      <c r="F405" s="7">
        <v>0</v>
      </c>
      <c r="G405" s="7">
        <v>0</v>
      </c>
      <c r="H405" s="3">
        <v>0</v>
      </c>
      <c r="I405">
        <f t="shared" si="40"/>
        <v>0</v>
      </c>
      <c r="J405">
        <f t="shared" si="40"/>
        <v>1</v>
      </c>
      <c r="K405">
        <v>3</v>
      </c>
      <c r="L405">
        <v>0</v>
      </c>
      <c r="M405">
        <f t="shared" si="7"/>
        <v>1877990.2</v>
      </c>
      <c r="N405">
        <f t="shared" si="8"/>
        <v>1881454.6</v>
      </c>
      <c r="O405">
        <f t="shared" si="9"/>
        <v>1965526</v>
      </c>
      <c r="P405">
        <f t="shared" si="10"/>
        <v>1753422.2</v>
      </c>
      <c r="Q405">
        <f t="shared" si="11"/>
        <v>1472009.4</v>
      </c>
      <c r="R405">
        <f t="shared" si="12"/>
        <v>1693590.8</v>
      </c>
      <c r="S405">
        <f t="shared" si="13"/>
        <v>2143220</v>
      </c>
      <c r="T405">
        <f t="shared" si="14"/>
        <v>4319504.5999999996</v>
      </c>
      <c r="U405">
        <f t="shared" si="15"/>
        <v>3874163.2</v>
      </c>
      <c r="V405">
        <f t="shared" si="16"/>
        <v>6489848.2000000002</v>
      </c>
      <c r="W405">
        <f t="shared" si="17"/>
        <v>4737267</v>
      </c>
      <c r="Y405">
        <f t="shared" si="18"/>
        <v>1.897604321409017</v>
      </c>
      <c r="Z405">
        <f t="shared" si="19"/>
        <v>1.932087326038163</v>
      </c>
      <c r="AA405">
        <f t="shared" si="20"/>
        <v>1.9671583272167481</v>
      </c>
      <c r="AB405">
        <f t="shared" si="21"/>
        <v>2.129146062006475</v>
      </c>
      <c r="AC405">
        <f t="shared" si="22"/>
        <v>1.8675069799937769</v>
      </c>
      <c r="AD405">
        <f t="shared" si="23"/>
        <v>1.862124941998627</v>
      </c>
      <c r="AE405">
        <f t="shared" si="24"/>
        <v>2.1109957279637461</v>
      </c>
      <c r="AF405">
        <f t="shared" si="25"/>
        <v>2.0387529953848569</v>
      </c>
      <c r="AG405">
        <f t="shared" si="26"/>
        <v>2.432663213426713</v>
      </c>
      <c r="AH405">
        <f t="shared" si="27"/>
        <v>4.6340719502186403</v>
      </c>
      <c r="AI405">
        <f t="shared" si="28"/>
        <v>4.6382920386153277</v>
      </c>
      <c r="AK405">
        <f t="shared" si="29"/>
        <v>1.897604321409017</v>
      </c>
      <c r="AL405">
        <f t="shared" si="30"/>
        <v>0.92237989461282266</v>
      </c>
      <c r="AM405">
        <f t="shared" si="31"/>
        <v>0.96578578238841151</v>
      </c>
      <c r="AN405">
        <f t="shared" si="32"/>
        <v>2.129146062006475</v>
      </c>
      <c r="AO405">
        <f t="shared" si="33"/>
        <v>0.98711089820135389</v>
      </c>
      <c r="AP405">
        <f t="shared" si="34"/>
        <v>1.862124941998627</v>
      </c>
      <c r="AQ405">
        <f t="shared" si="35"/>
        <v>1.1558898015995509</v>
      </c>
      <c r="AR405">
        <f t="shared" si="36"/>
        <v>1.1729364849743431</v>
      </c>
      <c r="AS405">
        <f t="shared" si="37"/>
        <v>0.52426158942980694</v>
      </c>
      <c r="AT405">
        <f t="shared" si="38"/>
        <v>4.6340719502186403</v>
      </c>
      <c r="AU405">
        <f t="shared" si="39"/>
        <v>2.9887966054142452</v>
      </c>
    </row>
    <row r="406" spans="1:47" x14ac:dyDescent="0.3">
      <c r="A406">
        <v>22</v>
      </c>
      <c r="B406" t="s">
        <v>44</v>
      </c>
      <c r="C406" t="s">
        <v>37</v>
      </c>
      <c r="D406" t="s">
        <v>38</v>
      </c>
      <c r="F406" s="7">
        <v>0</v>
      </c>
      <c r="G406" s="7">
        <v>0</v>
      </c>
      <c r="H406" s="3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10503780.199999999</v>
      </c>
      <c r="O406">
        <f t="shared" si="9"/>
        <v>10514888</v>
      </c>
      <c r="P406">
        <f t="shared" si="10"/>
        <v>240817.6</v>
      </c>
      <c r="Q406">
        <f t="shared" si="11"/>
        <v>13520284</v>
      </c>
      <c r="R406">
        <f t="shared" si="12"/>
        <v>47009</v>
      </c>
      <c r="S406">
        <f t="shared" si="13"/>
        <v>14229575.800000001</v>
      </c>
      <c r="T406">
        <f t="shared" si="14"/>
        <v>4421463</v>
      </c>
      <c r="U406">
        <f t="shared" si="15"/>
        <v>4244866.8</v>
      </c>
      <c r="V406">
        <f t="shared" si="16"/>
        <v>381348.6</v>
      </c>
      <c r="W406">
        <f t="shared" si="17"/>
        <v>20957635.399999999</v>
      </c>
      <c r="Y406">
        <f t="shared" si="18"/>
        <v>0.58044448941946025</v>
      </c>
      <c r="Z406">
        <f t="shared" si="19"/>
        <v>7.643513289955445</v>
      </c>
      <c r="AA406">
        <f t="shared" si="20"/>
        <v>7.6139644719427464</v>
      </c>
      <c r="AB406">
        <f t="shared" si="21"/>
        <v>0.55770489339483897</v>
      </c>
      <c r="AC406">
        <f t="shared" si="22"/>
        <v>10.042392857786041</v>
      </c>
      <c r="AD406">
        <f t="shared" si="23"/>
        <v>0.16480432800017289</v>
      </c>
      <c r="AE406">
        <f t="shared" si="24"/>
        <v>9.3745101407635936</v>
      </c>
      <c r="AF406">
        <f t="shared" si="25"/>
        <v>2.0931816507829351</v>
      </c>
      <c r="AG406">
        <f t="shared" si="26"/>
        <v>2.7169363917666489</v>
      </c>
      <c r="AH406">
        <f t="shared" si="27"/>
        <v>1.019564961001743</v>
      </c>
      <c r="AI406">
        <f t="shared" si="28"/>
        <v>21.115049038035799</v>
      </c>
      <c r="AK406">
        <f t="shared" si="29"/>
        <v>0.58044448941946025</v>
      </c>
      <c r="AL406">
        <f t="shared" si="30"/>
        <v>4.0334865774144406</v>
      </c>
      <c r="AM406">
        <f t="shared" si="31"/>
        <v>4.0263543998007663</v>
      </c>
      <c r="AN406">
        <f t="shared" si="32"/>
        <v>0.55770489339483897</v>
      </c>
      <c r="AO406">
        <f t="shared" si="33"/>
        <v>5.1383745444007216</v>
      </c>
      <c r="AP406">
        <f t="shared" si="34"/>
        <v>0.16480432800017289</v>
      </c>
      <c r="AQ406">
        <f t="shared" si="35"/>
        <v>5.2259252433897929</v>
      </c>
      <c r="AR406">
        <f t="shared" si="36"/>
        <v>1.20664220697945</v>
      </c>
      <c r="AS406">
        <f t="shared" si="37"/>
        <v>0.69739050958305593</v>
      </c>
      <c r="AT406">
        <f t="shared" si="38"/>
        <v>1.019564961001743</v>
      </c>
      <c r="AU406">
        <f t="shared" si="39"/>
        <v>16.944566728593781</v>
      </c>
    </row>
    <row r="407" spans="1:47" x14ac:dyDescent="0.3">
      <c r="A407">
        <v>22</v>
      </c>
      <c r="B407" t="s">
        <v>45</v>
      </c>
      <c r="C407" t="s">
        <v>37</v>
      </c>
      <c r="D407" t="s">
        <v>38</v>
      </c>
      <c r="F407" s="7">
        <v>0</v>
      </c>
      <c r="G407" s="7">
        <v>1</v>
      </c>
      <c r="H407" s="3">
        <v>0</v>
      </c>
      <c r="I407">
        <f t="shared" si="40"/>
        <v>0</v>
      </c>
      <c r="J407">
        <f t="shared" si="40"/>
        <v>1</v>
      </c>
      <c r="K407">
        <v>3</v>
      </c>
      <c r="L407">
        <v>0</v>
      </c>
      <c r="M407">
        <f t="shared" si="7"/>
        <v>1837465.8</v>
      </c>
      <c r="N407">
        <f t="shared" si="8"/>
        <v>1194820.3999999999</v>
      </c>
      <c r="O407">
        <f t="shared" si="9"/>
        <v>1197119.8</v>
      </c>
      <c r="P407">
        <f t="shared" si="10"/>
        <v>2405833.6</v>
      </c>
      <c r="Q407">
        <f t="shared" si="11"/>
        <v>740416</v>
      </c>
      <c r="R407">
        <f t="shared" si="12"/>
        <v>2353739.6</v>
      </c>
      <c r="S407">
        <f t="shared" si="13"/>
        <v>561014.4</v>
      </c>
      <c r="T407">
        <f t="shared" si="14"/>
        <v>4447722.5999999996</v>
      </c>
      <c r="U407">
        <f t="shared" si="15"/>
        <v>3953049.4</v>
      </c>
      <c r="V407">
        <f t="shared" si="16"/>
        <v>6130407.5999999996</v>
      </c>
      <c r="W407">
        <f t="shared" si="17"/>
        <v>1099095.8</v>
      </c>
      <c r="Y407">
        <f t="shared" si="18"/>
        <v>1.846656037610956</v>
      </c>
      <c r="Z407">
        <f t="shared" si="19"/>
        <v>1.382153910188936</v>
      </c>
      <c r="AA407">
        <f t="shared" si="20"/>
        <v>1.379343544482253</v>
      </c>
      <c r="AB407">
        <f t="shared" si="21"/>
        <v>1.846905863791471</v>
      </c>
      <c r="AC407">
        <f t="shared" si="22"/>
        <v>1.2092779776197859</v>
      </c>
      <c r="AD407">
        <f t="shared" si="23"/>
        <v>2.7856085193809119</v>
      </c>
      <c r="AE407">
        <f t="shared" si="24"/>
        <v>0.8850436618318781</v>
      </c>
      <c r="AF407">
        <f t="shared" si="25"/>
        <v>2.097028564231004</v>
      </c>
      <c r="AG407">
        <f t="shared" si="26"/>
        <v>2.4876472136122181</v>
      </c>
      <c r="AH407">
        <f t="shared" si="27"/>
        <v>4.7785796128096987</v>
      </c>
      <c r="AI407">
        <f t="shared" si="28"/>
        <v>2.1235996897565199</v>
      </c>
      <c r="AK407">
        <f t="shared" si="29"/>
        <v>1.846656037610956</v>
      </c>
      <c r="AL407">
        <f t="shared" si="30"/>
        <v>0.73292296036379412</v>
      </c>
      <c r="AM407">
        <f t="shared" si="31"/>
        <v>0.73259780141524966</v>
      </c>
      <c r="AN407">
        <f t="shared" si="32"/>
        <v>1.846905863791471</v>
      </c>
      <c r="AO407">
        <f t="shared" si="33"/>
        <v>0.76624301419942642</v>
      </c>
      <c r="AP407">
        <f t="shared" si="34"/>
        <v>2.7856085193809119</v>
      </c>
      <c r="AQ407">
        <f t="shared" si="35"/>
        <v>0.68386722140712664</v>
      </c>
      <c r="AR407">
        <f t="shared" si="36"/>
        <v>1.224009379220661</v>
      </c>
      <c r="AS407">
        <f t="shared" si="37"/>
        <v>0.5860841009183787</v>
      </c>
      <c r="AT407">
        <f t="shared" si="38"/>
        <v>4.7785796128096987</v>
      </c>
      <c r="AU407">
        <f t="shared" si="39"/>
        <v>1.1734690229990521</v>
      </c>
    </row>
    <row r="408" spans="1:47" x14ac:dyDescent="0.3">
      <c r="A408">
        <v>23</v>
      </c>
      <c r="B408" t="s">
        <v>46</v>
      </c>
      <c r="C408" t="s">
        <v>47</v>
      </c>
      <c r="D408" t="s">
        <v>48</v>
      </c>
      <c r="F408" s="7">
        <v>0</v>
      </c>
      <c r="G408" s="7">
        <v>0</v>
      </c>
      <c r="H408" s="3">
        <v>0</v>
      </c>
      <c r="I408">
        <f t="shared" si="40"/>
        <v>0</v>
      </c>
      <c r="J408">
        <f t="shared" si="40"/>
        <v>1</v>
      </c>
      <c r="K408">
        <v>4</v>
      </c>
      <c r="L408">
        <v>0</v>
      </c>
      <c r="M408">
        <f t="shared" si="7"/>
        <v>2025390.8</v>
      </c>
      <c r="N408">
        <f t="shared" si="8"/>
        <v>2244574.4</v>
      </c>
      <c r="O408">
        <f t="shared" si="9"/>
        <v>2268436.4</v>
      </c>
      <c r="P408">
        <f t="shared" si="10"/>
        <v>2641017.4</v>
      </c>
      <c r="Q408">
        <f t="shared" si="11"/>
        <v>902289.6</v>
      </c>
      <c r="R408">
        <f t="shared" si="12"/>
        <v>1830487.8</v>
      </c>
      <c r="S408">
        <f t="shared" si="13"/>
        <v>1443151.4</v>
      </c>
      <c r="T408">
        <f t="shared" si="14"/>
        <v>4660083.8</v>
      </c>
      <c r="U408">
        <f t="shared" si="15"/>
        <v>4660911.4000000004</v>
      </c>
      <c r="V408">
        <f t="shared" si="16"/>
        <v>3086489.6000000001</v>
      </c>
      <c r="W408">
        <f t="shared" si="17"/>
        <v>1107015.6000000001</v>
      </c>
      <c r="Y408">
        <f t="shared" si="18"/>
        <v>2.4244014645810239</v>
      </c>
      <c r="Z408">
        <f t="shared" si="19"/>
        <v>2.4937410808051941</v>
      </c>
      <c r="AA408">
        <f t="shared" si="20"/>
        <v>2.5068586422014052</v>
      </c>
      <c r="AB408">
        <f t="shared" si="21"/>
        <v>3.8309627838141749</v>
      </c>
      <c r="AC408">
        <f t="shared" si="22"/>
        <v>1.7700964562129231</v>
      </c>
      <c r="AD408">
        <f t="shared" si="23"/>
        <v>2.6486254643998111</v>
      </c>
      <c r="AE408">
        <f t="shared" si="24"/>
        <v>2.5378986787865871</v>
      </c>
      <c r="AF408">
        <f t="shared" si="25"/>
        <v>2.9674528408213519</v>
      </c>
      <c r="AG408">
        <f t="shared" si="26"/>
        <v>3.873624345741701</v>
      </c>
      <c r="AH408">
        <f t="shared" si="27"/>
        <v>4.2795280933962214</v>
      </c>
      <c r="AI408">
        <f t="shared" si="28"/>
        <v>3.947800132038537</v>
      </c>
      <c r="AK408">
        <f t="shared" si="29"/>
        <v>2.4244014645810239</v>
      </c>
      <c r="AL408">
        <f t="shared" si="30"/>
        <v>0.94597003799863155</v>
      </c>
      <c r="AM408">
        <f t="shared" si="31"/>
        <v>0.95741710620932285</v>
      </c>
      <c r="AN408">
        <f t="shared" si="32"/>
        <v>3.8309627838141749</v>
      </c>
      <c r="AO408">
        <f t="shared" si="33"/>
        <v>0.7636533488170244</v>
      </c>
      <c r="AP408">
        <f t="shared" si="34"/>
        <v>2.6486254643998111</v>
      </c>
      <c r="AQ408">
        <f t="shared" si="35"/>
        <v>1.08740701781353</v>
      </c>
      <c r="AR408">
        <f t="shared" si="36"/>
        <v>1.5276819468010221</v>
      </c>
      <c r="AS408">
        <f t="shared" si="37"/>
        <v>0.84093664835672821</v>
      </c>
      <c r="AT408">
        <f t="shared" si="38"/>
        <v>4.2795280933962214</v>
      </c>
      <c r="AU408">
        <f t="shared" si="39"/>
        <v>2.5655628746259032</v>
      </c>
    </row>
    <row r="409" spans="1:47" x14ac:dyDescent="0.3">
      <c r="A409">
        <v>23</v>
      </c>
      <c r="B409" t="s">
        <v>49</v>
      </c>
      <c r="C409" t="s">
        <v>47</v>
      </c>
      <c r="D409" t="s">
        <v>48</v>
      </c>
      <c r="F409" s="7">
        <v>0</v>
      </c>
      <c r="G409" s="7">
        <v>1</v>
      </c>
      <c r="H409" s="3">
        <v>0</v>
      </c>
      <c r="I409">
        <f t="shared" si="40"/>
        <v>0</v>
      </c>
      <c r="J409">
        <f t="shared" si="40"/>
        <v>1</v>
      </c>
      <c r="K409">
        <v>4</v>
      </c>
      <c r="L409">
        <v>0</v>
      </c>
      <c r="M409">
        <f t="shared" si="7"/>
        <v>510392.8</v>
      </c>
      <c r="N409">
        <f t="shared" si="8"/>
        <v>2692511</v>
      </c>
      <c r="O409">
        <f t="shared" si="9"/>
        <v>2716241.2</v>
      </c>
      <c r="P409">
        <f t="shared" si="10"/>
        <v>376094.8</v>
      </c>
      <c r="Q409">
        <f t="shared" si="11"/>
        <v>1219518</v>
      </c>
      <c r="R409">
        <f t="shared" si="12"/>
        <v>129116.6</v>
      </c>
      <c r="S409">
        <f t="shared" si="13"/>
        <v>2714173.4</v>
      </c>
      <c r="T409">
        <f t="shared" si="14"/>
        <v>4658087</v>
      </c>
      <c r="U409">
        <f t="shared" si="15"/>
        <v>4722347.2</v>
      </c>
      <c r="V409">
        <f t="shared" si="16"/>
        <v>306763.40000000002</v>
      </c>
      <c r="W409">
        <f t="shared" si="17"/>
        <v>1496390.8</v>
      </c>
      <c r="Y409">
        <f t="shared" si="18"/>
        <v>0.8823009623913094</v>
      </c>
      <c r="Z409">
        <f t="shared" si="19"/>
        <v>2.9774100322625601</v>
      </c>
      <c r="AA409">
        <f t="shared" si="20"/>
        <v>2.9794153856462802</v>
      </c>
      <c r="AB409">
        <f t="shared" si="21"/>
        <v>0.90406667239731175</v>
      </c>
      <c r="AC409">
        <f t="shared" si="22"/>
        <v>2.3138389884145001</v>
      </c>
      <c r="AD409">
        <f t="shared" si="23"/>
        <v>0.27055353180039682</v>
      </c>
      <c r="AE409">
        <f t="shared" si="24"/>
        <v>3.7911802558228369</v>
      </c>
      <c r="AF409">
        <f t="shared" si="25"/>
        <v>2.966305187810212</v>
      </c>
      <c r="AG409">
        <f t="shared" si="26"/>
        <v>3.9279745661769989</v>
      </c>
      <c r="AH409">
        <f t="shared" si="27"/>
        <v>0.88293545380001892</v>
      </c>
      <c r="AI409">
        <f t="shared" si="28"/>
        <v>4.9364758931798862</v>
      </c>
      <c r="AK409">
        <f t="shared" si="29"/>
        <v>0.8823009623913094</v>
      </c>
      <c r="AL409">
        <f t="shared" si="30"/>
        <v>1.2483959720353599</v>
      </c>
      <c r="AM409">
        <f t="shared" si="31"/>
        <v>1.2639611032092939</v>
      </c>
      <c r="AN409">
        <f t="shared" si="32"/>
        <v>0.90406667239731175</v>
      </c>
      <c r="AO409">
        <f t="shared" si="33"/>
        <v>1.061737556598382</v>
      </c>
      <c r="AP409">
        <f t="shared" si="34"/>
        <v>0.27055353180039682</v>
      </c>
      <c r="AQ409">
        <f t="shared" si="35"/>
        <v>1.846622504980769</v>
      </c>
      <c r="AR409">
        <f t="shared" si="36"/>
        <v>1.540750118799042</v>
      </c>
      <c r="AS409">
        <f t="shared" si="37"/>
        <v>0.85037993309088056</v>
      </c>
      <c r="AT409">
        <f t="shared" si="38"/>
        <v>0.88293545380001892</v>
      </c>
      <c r="AU409">
        <f t="shared" si="39"/>
        <v>3.501903341384605</v>
      </c>
    </row>
    <row r="410" spans="1:47" x14ac:dyDescent="0.3">
      <c r="A410">
        <v>23</v>
      </c>
      <c r="B410" t="s">
        <v>50</v>
      </c>
      <c r="C410" t="s">
        <v>47</v>
      </c>
      <c r="D410" t="s">
        <v>48</v>
      </c>
      <c r="F410" s="7">
        <v>0</v>
      </c>
      <c r="G410" s="7">
        <v>1</v>
      </c>
      <c r="H410" s="3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1761354.2</v>
      </c>
      <c r="O410">
        <f t="shared" si="9"/>
        <v>1790108.8</v>
      </c>
      <c r="P410">
        <f t="shared" si="10"/>
        <v>2545954.4</v>
      </c>
      <c r="Q410">
        <f t="shared" si="11"/>
        <v>775358</v>
      </c>
      <c r="R410">
        <f t="shared" si="12"/>
        <v>1544494.4</v>
      </c>
      <c r="S410">
        <f t="shared" si="13"/>
        <v>843022.8</v>
      </c>
      <c r="T410">
        <f t="shared" si="14"/>
        <v>5350565.4000000004</v>
      </c>
      <c r="U410">
        <f t="shared" si="15"/>
        <v>4293950.5999999996</v>
      </c>
      <c r="V410">
        <f t="shared" si="16"/>
        <v>5329729.2</v>
      </c>
      <c r="W410">
        <f t="shared" si="17"/>
        <v>898367.6</v>
      </c>
      <c r="Y410">
        <f t="shared" si="18"/>
        <v>2.122808769205585</v>
      </c>
      <c r="Z410">
        <f t="shared" si="19"/>
        <v>2.1033353518578219</v>
      </c>
      <c r="AA410">
        <f t="shared" si="20"/>
        <v>2.1193031012197019</v>
      </c>
      <c r="AB410">
        <f t="shared" si="21"/>
        <v>3.2485579386004249</v>
      </c>
      <c r="AC410">
        <f t="shared" si="22"/>
        <v>1.5496212327794641</v>
      </c>
      <c r="AD410">
        <f t="shared" si="23"/>
        <v>3.0041490091942249</v>
      </c>
      <c r="AE410">
        <f t="shared" si="24"/>
        <v>2.2389552005915898</v>
      </c>
      <c r="AF410">
        <f t="shared" si="25"/>
        <v>3.4792706321808509</v>
      </c>
      <c r="AG410">
        <f t="shared" si="26"/>
        <v>3.413151442143135</v>
      </c>
      <c r="AH410">
        <f t="shared" si="27"/>
        <v>4.60953829200007</v>
      </c>
      <c r="AI410">
        <f t="shared" si="28"/>
        <v>3.0471179021755228</v>
      </c>
      <c r="AK410">
        <f t="shared" si="29"/>
        <v>2.122808769205585</v>
      </c>
      <c r="AL410">
        <f t="shared" si="30"/>
        <v>0.84481222480535512</v>
      </c>
      <c r="AM410">
        <f t="shared" si="31"/>
        <v>0.86041731899604201</v>
      </c>
      <c r="AN410">
        <f t="shared" si="32"/>
        <v>3.2485579386004249</v>
      </c>
      <c r="AO410">
        <f t="shared" si="33"/>
        <v>0.66728932739933955</v>
      </c>
      <c r="AP410">
        <f t="shared" si="34"/>
        <v>3.0041490091942249</v>
      </c>
      <c r="AQ410">
        <f t="shared" si="35"/>
        <v>0.84702215919969603</v>
      </c>
      <c r="AR410">
        <f t="shared" si="36"/>
        <v>1.8180135925882499</v>
      </c>
      <c r="AS410">
        <f t="shared" si="37"/>
        <v>0.76215711293043564</v>
      </c>
      <c r="AT410">
        <f t="shared" si="38"/>
        <v>4.60953829200007</v>
      </c>
      <c r="AU410">
        <f t="shared" si="39"/>
        <v>1.884051420155447</v>
      </c>
    </row>
    <row r="411" spans="1:47" x14ac:dyDescent="0.3">
      <c r="A411">
        <v>23</v>
      </c>
      <c r="B411" t="s">
        <v>51</v>
      </c>
      <c r="C411" t="s">
        <v>47</v>
      </c>
      <c r="D411" t="s">
        <v>48</v>
      </c>
      <c r="F411" s="7">
        <v>0</v>
      </c>
      <c r="G411" s="7">
        <v>0</v>
      </c>
      <c r="H411" s="3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2696304.4</v>
      </c>
      <c r="O411">
        <f t="shared" si="9"/>
        <v>2811004</v>
      </c>
      <c r="P411">
        <f t="shared" si="10"/>
        <v>238307</v>
      </c>
      <c r="Q411">
        <f t="shared" si="11"/>
        <v>1261997.2</v>
      </c>
      <c r="R411">
        <f t="shared" si="12"/>
        <v>153050.6</v>
      </c>
      <c r="S411">
        <f t="shared" si="13"/>
        <v>2480272.4</v>
      </c>
      <c r="T411">
        <f t="shared" si="14"/>
        <v>5344374.2</v>
      </c>
      <c r="U411">
        <f t="shared" si="15"/>
        <v>4370663</v>
      </c>
      <c r="V411">
        <f t="shared" si="16"/>
        <v>69272.600000000006</v>
      </c>
      <c r="W411">
        <f t="shared" si="17"/>
        <v>1361871.2</v>
      </c>
      <c r="Y411">
        <f t="shared" si="18"/>
        <v>1.0972910949960351</v>
      </c>
      <c r="Z411">
        <f t="shared" si="19"/>
        <v>3.0004086321801879</v>
      </c>
      <c r="AA411">
        <f t="shared" si="20"/>
        <v>3.0355372820398769</v>
      </c>
      <c r="AB411">
        <f t="shared" si="21"/>
        <v>0.72263551979558538</v>
      </c>
      <c r="AC411">
        <f t="shared" si="22"/>
        <v>2.3201638008060401</v>
      </c>
      <c r="AD411">
        <f t="shared" si="23"/>
        <v>0.9176138213952072</v>
      </c>
      <c r="AE411">
        <f t="shared" si="24"/>
        <v>3.575464170449413</v>
      </c>
      <c r="AF411">
        <f t="shared" si="25"/>
        <v>3.4492979084025142</v>
      </c>
      <c r="AG411">
        <f t="shared" si="26"/>
        <v>3.4527820721268649</v>
      </c>
      <c r="AH411">
        <f t="shared" si="27"/>
        <v>0.23842336820671331</v>
      </c>
      <c r="AI411">
        <f t="shared" si="28"/>
        <v>4.3351111252442944</v>
      </c>
      <c r="AK411">
        <f t="shared" si="29"/>
        <v>1.0972910949960351</v>
      </c>
      <c r="AL411">
        <f t="shared" si="30"/>
        <v>1.375217469385825</v>
      </c>
      <c r="AM411">
        <f t="shared" si="31"/>
        <v>1.4271139704273079</v>
      </c>
      <c r="AN411">
        <f t="shared" si="32"/>
        <v>0.72263551979558538</v>
      </c>
      <c r="AO411">
        <f t="shared" si="33"/>
        <v>1.103199051012052</v>
      </c>
      <c r="AP411">
        <f t="shared" si="34"/>
        <v>0.9176138213952072</v>
      </c>
      <c r="AQ411">
        <f t="shared" si="35"/>
        <v>1.675000095006544</v>
      </c>
      <c r="AR411">
        <f t="shared" si="36"/>
        <v>1.8065973819931971</v>
      </c>
      <c r="AS411">
        <f t="shared" si="37"/>
        <v>0.78072043743450192</v>
      </c>
      <c r="AT411">
        <f t="shared" si="38"/>
        <v>0.23842336820671331</v>
      </c>
      <c r="AU411">
        <f t="shared" si="39"/>
        <v>3.0976202208199539</v>
      </c>
    </row>
    <row r="412" spans="1:47" x14ac:dyDescent="0.3">
      <c r="A412">
        <v>23</v>
      </c>
      <c r="B412" t="s">
        <v>52</v>
      </c>
      <c r="C412" t="s">
        <v>47</v>
      </c>
      <c r="D412" t="s">
        <v>48</v>
      </c>
      <c r="F412" s="7">
        <v>0</v>
      </c>
      <c r="G412" s="7">
        <v>1</v>
      </c>
      <c r="H412" s="3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1509720</v>
      </c>
      <c r="O412">
        <f t="shared" si="9"/>
        <v>1552019</v>
      </c>
      <c r="P412">
        <f t="shared" si="10"/>
        <v>869035.6</v>
      </c>
      <c r="Q412">
        <f t="shared" si="11"/>
        <v>584817.19999999995</v>
      </c>
      <c r="R412">
        <f t="shared" si="12"/>
        <v>692113</v>
      </c>
      <c r="S412">
        <f t="shared" si="13"/>
        <v>553166.6</v>
      </c>
      <c r="T412">
        <f t="shared" si="14"/>
        <v>4485341.8</v>
      </c>
      <c r="U412">
        <f t="shared" si="15"/>
        <v>4068067.2</v>
      </c>
      <c r="V412">
        <f t="shared" si="16"/>
        <v>2299098.2000000002</v>
      </c>
      <c r="W412">
        <f t="shared" si="17"/>
        <v>687920</v>
      </c>
      <c r="Y412">
        <f t="shared" si="18"/>
        <v>2.3979166123899631</v>
      </c>
      <c r="Z412">
        <f t="shared" si="19"/>
        <v>1.9060908651561479</v>
      </c>
      <c r="AA412">
        <f t="shared" si="20"/>
        <v>1.916507032199297</v>
      </c>
      <c r="AB412">
        <f t="shared" si="21"/>
        <v>1.6270694562001149</v>
      </c>
      <c r="AC412">
        <f t="shared" si="22"/>
        <v>1.3177771238144489</v>
      </c>
      <c r="AD412">
        <f t="shared" si="23"/>
        <v>2.103708121401723</v>
      </c>
      <c r="AE412">
        <f t="shared" si="24"/>
        <v>2.0378140760702079</v>
      </c>
      <c r="AF412">
        <f t="shared" si="25"/>
        <v>2.749821871402673</v>
      </c>
      <c r="AG412">
        <f t="shared" si="26"/>
        <v>3.1726732333307148</v>
      </c>
      <c r="AH412">
        <f t="shared" si="27"/>
        <v>3.6544800510047941</v>
      </c>
      <c r="AI412">
        <f t="shared" si="28"/>
        <v>2.711057039233856</v>
      </c>
      <c r="AK412">
        <f t="shared" si="29"/>
        <v>2.3979166123899631</v>
      </c>
      <c r="AL412">
        <f t="shared" si="30"/>
        <v>0.77741088437614958</v>
      </c>
      <c r="AM412">
        <f t="shared" si="31"/>
        <v>0.79320139121264222</v>
      </c>
      <c r="AN412">
        <f t="shared" si="32"/>
        <v>1.6270694562001149</v>
      </c>
      <c r="AO412">
        <f t="shared" si="33"/>
        <v>0.61436649399111043</v>
      </c>
      <c r="AP412">
        <f t="shared" si="34"/>
        <v>2.103708121401723</v>
      </c>
      <c r="AQ412">
        <f t="shared" si="35"/>
        <v>0.79438565783202653</v>
      </c>
      <c r="AR412">
        <f t="shared" si="36"/>
        <v>1.4239268882083711</v>
      </c>
      <c r="AS412">
        <f t="shared" si="37"/>
        <v>0.73173760236240926</v>
      </c>
      <c r="AT412">
        <f t="shared" si="38"/>
        <v>3.6544800510047941</v>
      </c>
      <c r="AU412">
        <f t="shared" si="39"/>
        <v>1.584442603215575</v>
      </c>
    </row>
    <row r="413" spans="1:47" x14ac:dyDescent="0.3">
      <c r="A413">
        <v>23</v>
      </c>
      <c r="B413" t="s">
        <v>53</v>
      </c>
      <c r="C413" t="s">
        <v>47</v>
      </c>
      <c r="D413" t="s">
        <v>48</v>
      </c>
      <c r="F413" s="7">
        <v>0</v>
      </c>
      <c r="G413" s="7">
        <v>0</v>
      </c>
      <c r="H413" s="3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1848423.2</v>
      </c>
      <c r="O413">
        <f t="shared" si="9"/>
        <v>1884113.8</v>
      </c>
      <c r="P413">
        <f t="shared" si="10"/>
        <v>357592.6</v>
      </c>
      <c r="Q413">
        <f t="shared" si="11"/>
        <v>671157.4</v>
      </c>
      <c r="R413">
        <f t="shared" si="12"/>
        <v>274926.2</v>
      </c>
      <c r="S413">
        <f t="shared" si="13"/>
        <v>582111.4</v>
      </c>
      <c r="T413">
        <f t="shared" si="14"/>
        <v>4488895</v>
      </c>
      <c r="U413">
        <f t="shared" si="15"/>
        <v>4093600</v>
      </c>
      <c r="V413">
        <f t="shared" si="16"/>
        <v>213845.8</v>
      </c>
      <c r="W413">
        <f t="shared" si="17"/>
        <v>757993.4</v>
      </c>
      <c r="Y413">
        <f t="shared" si="18"/>
        <v>1.137155857193284</v>
      </c>
      <c r="Z413">
        <f t="shared" si="19"/>
        <v>2.2852236437960531</v>
      </c>
      <c r="AA413">
        <f t="shared" si="20"/>
        <v>2.299199657398276</v>
      </c>
      <c r="AB413">
        <f t="shared" si="21"/>
        <v>0.83747717619407924</v>
      </c>
      <c r="AC413">
        <f t="shared" si="22"/>
        <v>1.5232326506345999</v>
      </c>
      <c r="AD413">
        <f t="shared" si="23"/>
        <v>1.359888433397282</v>
      </c>
      <c r="AE413">
        <f t="shared" si="24"/>
        <v>2.2056480408529748</v>
      </c>
      <c r="AF413">
        <f t="shared" si="25"/>
        <v>2.7788067821878939</v>
      </c>
      <c r="AG413">
        <f t="shared" si="26"/>
        <v>3.2164279501535931</v>
      </c>
      <c r="AH413">
        <f t="shared" si="27"/>
        <v>0.86053827641298997</v>
      </c>
      <c r="AI413">
        <f t="shared" si="28"/>
        <v>2.9836701461928898</v>
      </c>
      <c r="AK413">
        <f t="shared" si="29"/>
        <v>1.137155857193284</v>
      </c>
      <c r="AL413">
        <f t="shared" si="30"/>
        <v>1.0227380236145109</v>
      </c>
      <c r="AM413">
        <f t="shared" si="31"/>
        <v>1.0379761232063169</v>
      </c>
      <c r="AN413">
        <f t="shared" si="32"/>
        <v>0.83747717619407924</v>
      </c>
      <c r="AO413">
        <f t="shared" si="33"/>
        <v>0.76631005239905792</v>
      </c>
      <c r="AP413">
        <f t="shared" si="34"/>
        <v>1.359888433397282</v>
      </c>
      <c r="AQ413">
        <f t="shared" si="35"/>
        <v>0.94730259861098598</v>
      </c>
      <c r="AR413">
        <f t="shared" si="36"/>
        <v>1.4351399635779669</v>
      </c>
      <c r="AS413">
        <f t="shared" si="37"/>
        <v>0.74560813657008107</v>
      </c>
      <c r="AT413">
        <f t="shared" si="38"/>
        <v>0.86053827641298997</v>
      </c>
      <c r="AU413">
        <f t="shared" si="39"/>
        <v>1.8808963319868779</v>
      </c>
    </row>
    <row r="414" spans="1:47" x14ac:dyDescent="0.3">
      <c r="A414">
        <v>23</v>
      </c>
      <c r="B414" t="s">
        <v>54</v>
      </c>
      <c r="C414" t="s">
        <v>47</v>
      </c>
      <c r="D414" t="s">
        <v>48</v>
      </c>
      <c r="F414" s="7">
        <v>0</v>
      </c>
      <c r="G414" s="7">
        <v>0</v>
      </c>
      <c r="H414" s="3">
        <v>0</v>
      </c>
      <c r="I414">
        <f t="shared" si="40"/>
        <v>0</v>
      </c>
      <c r="J414">
        <f t="shared" si="40"/>
        <v>1</v>
      </c>
      <c r="K414">
        <v>4</v>
      </c>
      <c r="L414">
        <v>0</v>
      </c>
      <c r="M414">
        <f t="shared" si="7"/>
        <v>3045439.2</v>
      </c>
      <c r="N414">
        <f t="shared" si="8"/>
        <v>1741757</v>
      </c>
      <c r="O414">
        <f t="shared" si="9"/>
        <v>1801335.6</v>
      </c>
      <c r="P414">
        <f t="shared" si="10"/>
        <v>535062</v>
      </c>
      <c r="Q414">
        <f t="shared" si="11"/>
        <v>526935.80000000005</v>
      </c>
      <c r="R414">
        <f t="shared" si="12"/>
        <v>531586.4</v>
      </c>
      <c r="S414">
        <f t="shared" si="13"/>
        <v>503087.8</v>
      </c>
      <c r="T414">
        <f t="shared" si="14"/>
        <v>5304660</v>
      </c>
      <c r="U414">
        <f t="shared" si="15"/>
        <v>3810564.6</v>
      </c>
      <c r="V414">
        <f t="shared" si="16"/>
        <v>1574101</v>
      </c>
      <c r="W414">
        <f t="shared" si="17"/>
        <v>524776.4</v>
      </c>
      <c r="Y414">
        <f t="shared" si="18"/>
        <v>2.7747687028022479</v>
      </c>
      <c r="Z414">
        <f t="shared" si="19"/>
        <v>2.038446970155928</v>
      </c>
      <c r="AA414">
        <f t="shared" si="20"/>
        <v>2.0675624014693308</v>
      </c>
      <c r="AB414">
        <f t="shared" si="21"/>
        <v>1.067409315204713</v>
      </c>
      <c r="AC414">
        <f t="shared" si="22"/>
        <v>1.219587308395421</v>
      </c>
      <c r="AD414">
        <f t="shared" si="23"/>
        <v>1.7616031298064629</v>
      </c>
      <c r="AE414">
        <f t="shared" si="24"/>
        <v>1.916659091226756</v>
      </c>
      <c r="AF414">
        <f t="shared" si="25"/>
        <v>3.385776222427376</v>
      </c>
      <c r="AG414">
        <f t="shared" si="26"/>
        <v>2.8262343152309768</v>
      </c>
      <c r="AH414">
        <f t="shared" si="27"/>
        <v>3.412068652221933</v>
      </c>
      <c r="AI414">
        <f t="shared" si="28"/>
        <v>2.2066137972753501</v>
      </c>
      <c r="AK414">
        <f t="shared" si="29"/>
        <v>2.7747687028022479</v>
      </c>
      <c r="AL414">
        <f t="shared" si="30"/>
        <v>0.88449546041665594</v>
      </c>
      <c r="AM414">
        <f t="shared" si="31"/>
        <v>0.91725861441809686</v>
      </c>
      <c r="AN414">
        <f t="shared" si="32"/>
        <v>1.067409315204713</v>
      </c>
      <c r="AO414">
        <f t="shared" si="33"/>
        <v>0.55683776439982469</v>
      </c>
      <c r="AP414">
        <f t="shared" si="34"/>
        <v>1.7616031298064629</v>
      </c>
      <c r="AQ414">
        <f t="shared" si="35"/>
        <v>0.72560098598478362</v>
      </c>
      <c r="AR414">
        <f t="shared" si="36"/>
        <v>1.751859251025599</v>
      </c>
      <c r="AS414">
        <f t="shared" si="37"/>
        <v>0.67317559673683713</v>
      </c>
      <c r="AT414">
        <f t="shared" si="38"/>
        <v>3.412068652221933</v>
      </c>
      <c r="AU414">
        <f t="shared" si="39"/>
        <v>1.326138090412132</v>
      </c>
    </row>
    <row r="415" spans="1:47" x14ac:dyDescent="0.3">
      <c r="A415">
        <v>23</v>
      </c>
      <c r="B415" t="s">
        <v>55</v>
      </c>
      <c r="C415" t="s">
        <v>47</v>
      </c>
      <c r="D415" t="s">
        <v>48</v>
      </c>
      <c r="F415" s="7">
        <v>0</v>
      </c>
      <c r="G415" s="7">
        <v>1</v>
      </c>
      <c r="H415" s="3">
        <v>0</v>
      </c>
      <c r="I415">
        <f t="shared" si="40"/>
        <v>0</v>
      </c>
      <c r="J415">
        <f t="shared" si="40"/>
        <v>1</v>
      </c>
      <c r="K415">
        <v>4</v>
      </c>
      <c r="L415">
        <v>0</v>
      </c>
      <c r="M415">
        <f t="shared" si="7"/>
        <v>2290113.4</v>
      </c>
      <c r="N415">
        <f t="shared" si="8"/>
        <v>1858165</v>
      </c>
      <c r="O415">
        <f t="shared" si="9"/>
        <v>1939282.2</v>
      </c>
      <c r="P415">
        <f t="shared" si="10"/>
        <v>270661.59999999998</v>
      </c>
      <c r="Q415">
        <f t="shared" si="11"/>
        <v>736101.4</v>
      </c>
      <c r="R415">
        <f t="shared" si="12"/>
        <v>266982.40000000002</v>
      </c>
      <c r="S415">
        <f t="shared" si="13"/>
        <v>690026.4</v>
      </c>
      <c r="T415">
        <f t="shared" si="14"/>
        <v>5285159.8</v>
      </c>
      <c r="U415">
        <f t="shared" si="15"/>
        <v>3832642.6</v>
      </c>
      <c r="V415">
        <f t="shared" si="16"/>
        <v>40982.6</v>
      </c>
      <c r="W415">
        <f t="shared" si="17"/>
        <v>1026636.4</v>
      </c>
      <c r="Y415">
        <f t="shared" si="18"/>
        <v>1.9392416924121789</v>
      </c>
      <c r="Z415">
        <f t="shared" si="19"/>
        <v>2.307339913002215</v>
      </c>
      <c r="AA415">
        <f t="shared" si="20"/>
        <v>2.3608583677560091</v>
      </c>
      <c r="AB415">
        <f t="shared" si="21"/>
        <v>0.58294456840376374</v>
      </c>
      <c r="AC415">
        <f t="shared" si="22"/>
        <v>1.6195933199895081</v>
      </c>
      <c r="AD415">
        <f t="shared" si="23"/>
        <v>1.2359690894023521</v>
      </c>
      <c r="AE415">
        <f t="shared" si="24"/>
        <v>2.358896609593649</v>
      </c>
      <c r="AF415">
        <f t="shared" si="25"/>
        <v>3.3490013273782102</v>
      </c>
      <c r="AG415">
        <f t="shared" si="26"/>
        <v>2.8358109623426571</v>
      </c>
      <c r="AH415">
        <f t="shared" si="27"/>
        <v>0.22413913637865329</v>
      </c>
      <c r="AI415">
        <f t="shared" si="28"/>
        <v>2.898894636041951</v>
      </c>
      <c r="AK415">
        <f t="shared" si="29"/>
        <v>1.9392416924121789</v>
      </c>
      <c r="AL415">
        <f t="shared" si="30"/>
        <v>1.0541573584428989</v>
      </c>
      <c r="AM415">
        <f t="shared" si="31"/>
        <v>1.1074884467991071</v>
      </c>
      <c r="AN415">
        <f t="shared" si="32"/>
        <v>0.58294456840376374</v>
      </c>
      <c r="AO415">
        <f t="shared" si="33"/>
        <v>0.78980252559995279</v>
      </c>
      <c r="AP415">
        <f t="shared" si="34"/>
        <v>1.2359690894023521</v>
      </c>
      <c r="AQ415">
        <f t="shared" si="35"/>
        <v>0.97309810320148249</v>
      </c>
      <c r="AR415">
        <f t="shared" si="36"/>
        <v>1.7205430071684531</v>
      </c>
      <c r="AS415">
        <f t="shared" si="37"/>
        <v>0.68648729436099531</v>
      </c>
      <c r="AT415">
        <f t="shared" si="38"/>
        <v>0.22413913637865329</v>
      </c>
      <c r="AU415">
        <f t="shared" si="39"/>
        <v>1.953569766599685</v>
      </c>
    </row>
    <row r="416" spans="1:47" x14ac:dyDescent="0.3">
      <c r="A416">
        <v>23</v>
      </c>
      <c r="B416" t="s">
        <v>56</v>
      </c>
      <c r="C416" t="s">
        <v>47</v>
      </c>
      <c r="D416" t="s">
        <v>48</v>
      </c>
      <c r="F416" s="7">
        <v>0</v>
      </c>
      <c r="G416" s="7">
        <v>1</v>
      </c>
      <c r="H416" s="3">
        <v>0</v>
      </c>
      <c r="I416">
        <f t="shared" si="40"/>
        <v>0</v>
      </c>
      <c r="J416">
        <f t="shared" si="40"/>
        <v>1</v>
      </c>
      <c r="K416">
        <v>4</v>
      </c>
      <c r="L416">
        <v>0</v>
      </c>
      <c r="M416">
        <f t="shared" si="7"/>
        <v>8055849.7999999998</v>
      </c>
      <c r="N416">
        <f t="shared" si="8"/>
        <v>4692546.5999999996</v>
      </c>
      <c r="O416">
        <f t="shared" si="9"/>
        <v>4786243.8</v>
      </c>
      <c r="P416">
        <f t="shared" si="10"/>
        <v>44794298</v>
      </c>
      <c r="Q416">
        <f t="shared" si="11"/>
        <v>2478062.2000000002</v>
      </c>
      <c r="R416">
        <f t="shared" si="12"/>
        <v>12997115.6</v>
      </c>
      <c r="S416">
        <f t="shared" si="13"/>
        <v>4921309.4000000004</v>
      </c>
      <c r="T416">
        <f t="shared" si="14"/>
        <v>8289557.2000000002</v>
      </c>
      <c r="U416">
        <f t="shared" si="15"/>
        <v>5496003.5999999996</v>
      </c>
      <c r="V416">
        <f t="shared" si="16"/>
        <v>74116162.400000006</v>
      </c>
      <c r="W416">
        <f t="shared" si="17"/>
        <v>4257848.5999999996</v>
      </c>
      <c r="Y416">
        <f t="shared" si="18"/>
        <v>7.5373838686035013</v>
      </c>
      <c r="Z416">
        <f t="shared" si="19"/>
        <v>4.2425374508253304</v>
      </c>
      <c r="AA416">
        <f t="shared" si="20"/>
        <v>4.2656780952820554</v>
      </c>
      <c r="AB416">
        <f t="shared" si="21"/>
        <v>39.800297811412022</v>
      </c>
      <c r="AC416">
        <f t="shared" si="22"/>
        <v>3.0930033673939761</v>
      </c>
      <c r="AD416">
        <f t="shared" si="23"/>
        <v>10.122431857616171</v>
      </c>
      <c r="AE416">
        <f t="shared" si="24"/>
        <v>5.3214484768221153</v>
      </c>
      <c r="AF416">
        <f t="shared" si="25"/>
        <v>6.8983103680773636</v>
      </c>
      <c r="AG416">
        <f t="shared" si="26"/>
        <v>4.7475804739515297</v>
      </c>
      <c r="AH416">
        <f t="shared" si="27"/>
        <v>32.926972743798977</v>
      </c>
      <c r="AI416">
        <f t="shared" si="28"/>
        <v>7.2977516940212812</v>
      </c>
      <c r="AK416">
        <f t="shared" si="29"/>
        <v>7.5373838686035013</v>
      </c>
      <c r="AL416">
        <f t="shared" si="30"/>
        <v>1.6903794326120991</v>
      </c>
      <c r="AM416">
        <f t="shared" si="31"/>
        <v>1.7288480925955809</v>
      </c>
      <c r="AN416">
        <f t="shared" si="32"/>
        <v>39.800297811412022</v>
      </c>
      <c r="AO416">
        <f t="shared" si="33"/>
        <v>1.224676634400385</v>
      </c>
      <c r="AP416">
        <f t="shared" si="34"/>
        <v>10.122431857616171</v>
      </c>
      <c r="AQ416">
        <f t="shared" si="35"/>
        <v>1.899268189596478</v>
      </c>
      <c r="AR416">
        <f t="shared" si="36"/>
        <v>3.6288225524593138</v>
      </c>
      <c r="AS416">
        <f t="shared" si="37"/>
        <v>1.014855797553901</v>
      </c>
      <c r="AT416">
        <f t="shared" si="38"/>
        <v>32.926972743798977</v>
      </c>
      <c r="AU416">
        <f t="shared" si="39"/>
        <v>5.1922275535878724</v>
      </c>
    </row>
    <row r="417" spans="1:47" x14ac:dyDescent="0.3">
      <c r="A417">
        <v>23</v>
      </c>
      <c r="B417" t="s">
        <v>57</v>
      </c>
      <c r="C417" t="s">
        <v>47</v>
      </c>
      <c r="D417" t="s">
        <v>48</v>
      </c>
      <c r="F417" s="7">
        <v>0</v>
      </c>
      <c r="G417" s="7">
        <v>0</v>
      </c>
      <c r="H417" s="3">
        <v>0</v>
      </c>
      <c r="I417">
        <f t="shared" ref="I417:J432" si="41">I36</f>
        <v>0</v>
      </c>
      <c r="J417">
        <f t="shared" si="41"/>
        <v>1</v>
      </c>
      <c r="K417">
        <v>4</v>
      </c>
      <c r="L417">
        <v>0</v>
      </c>
      <c r="M417">
        <f t="shared" si="7"/>
        <v>11188592.4</v>
      </c>
      <c r="N417">
        <f t="shared" si="8"/>
        <v>4460777.5999999996</v>
      </c>
      <c r="O417">
        <f t="shared" si="9"/>
        <v>4479086.5999999996</v>
      </c>
      <c r="P417">
        <f t="shared" si="10"/>
        <v>65436608.200000003</v>
      </c>
      <c r="Q417">
        <f t="shared" si="11"/>
        <v>3009998.2</v>
      </c>
      <c r="R417">
        <f t="shared" si="12"/>
        <v>13756660.6</v>
      </c>
      <c r="S417">
        <f t="shared" si="13"/>
        <v>4394764.8</v>
      </c>
      <c r="T417">
        <f t="shared" si="14"/>
        <v>8299787.7999999998</v>
      </c>
      <c r="U417">
        <f t="shared" si="15"/>
        <v>5477577.2000000002</v>
      </c>
      <c r="V417">
        <f t="shared" si="16"/>
        <v>97544876.200000003</v>
      </c>
      <c r="W417">
        <f t="shared" si="17"/>
        <v>4428309.5999999996</v>
      </c>
      <c r="Y417">
        <f t="shared" si="18"/>
        <v>9.9851183565915562</v>
      </c>
      <c r="Z417">
        <f t="shared" si="19"/>
        <v>3.9778892977861688</v>
      </c>
      <c r="AA417">
        <f t="shared" si="20"/>
        <v>3.9585359052638518</v>
      </c>
      <c r="AB417">
        <f t="shared" si="21"/>
        <v>57.666907840210477</v>
      </c>
      <c r="AC417">
        <f t="shared" si="22"/>
        <v>3.4203098379832229</v>
      </c>
      <c r="AD417">
        <f t="shared" si="23"/>
        <v>11.383886065392289</v>
      </c>
      <c r="AE417">
        <f t="shared" si="24"/>
        <v>4.805407834309154</v>
      </c>
      <c r="AF417">
        <f t="shared" si="25"/>
        <v>6.9309000123757869</v>
      </c>
      <c r="AG417">
        <f t="shared" si="26"/>
        <v>4.7672439370653592</v>
      </c>
      <c r="AH417">
        <f t="shared" si="27"/>
        <v>43.740880621201363</v>
      </c>
      <c r="AI417">
        <f t="shared" si="28"/>
        <v>6.5312290398171173</v>
      </c>
      <c r="AK417">
        <f t="shared" si="29"/>
        <v>9.9851183565915562</v>
      </c>
      <c r="AL417">
        <f t="shared" si="30"/>
        <v>1.579987778211944</v>
      </c>
      <c r="AM417">
        <f t="shared" si="31"/>
        <v>1.577509813185316</v>
      </c>
      <c r="AN417">
        <f t="shared" si="32"/>
        <v>57.666907840210477</v>
      </c>
      <c r="AO417">
        <f t="shared" si="33"/>
        <v>1.528548461804166</v>
      </c>
      <c r="AP417">
        <f t="shared" si="34"/>
        <v>11.383886065392289</v>
      </c>
      <c r="AQ417">
        <f t="shared" si="35"/>
        <v>1.8700171775883061</v>
      </c>
      <c r="AR417">
        <f t="shared" si="36"/>
        <v>3.6586028103716668</v>
      </c>
      <c r="AS417">
        <f t="shared" si="37"/>
        <v>1.0267087336047549</v>
      </c>
      <c r="AT417">
        <f t="shared" si="38"/>
        <v>43.740880621201363</v>
      </c>
      <c r="AU417">
        <f t="shared" si="39"/>
        <v>4.4924214618164111</v>
      </c>
    </row>
    <row r="418" spans="1:47" x14ac:dyDescent="0.3">
      <c r="A418">
        <v>23</v>
      </c>
      <c r="B418" t="s">
        <v>58</v>
      </c>
      <c r="C418" t="s">
        <v>47</v>
      </c>
      <c r="D418" t="s">
        <v>48</v>
      </c>
      <c r="F418" s="7">
        <v>0</v>
      </c>
      <c r="G418" s="7">
        <v>0</v>
      </c>
      <c r="H418" s="3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2536581.2000000002</v>
      </c>
      <c r="O418">
        <f t="shared" si="9"/>
        <v>2597504.2000000002</v>
      </c>
      <c r="P418">
        <f t="shared" si="10"/>
        <v>2798305.8</v>
      </c>
      <c r="Q418">
        <f t="shared" si="11"/>
        <v>1142575.3999999999</v>
      </c>
      <c r="R418">
        <f t="shared" si="12"/>
        <v>2394989.4</v>
      </c>
      <c r="S418">
        <f t="shared" si="13"/>
        <v>1751202.6</v>
      </c>
      <c r="T418">
        <f t="shared" si="14"/>
        <v>5026362.5999999996</v>
      </c>
      <c r="U418">
        <f t="shared" si="15"/>
        <v>4421166</v>
      </c>
      <c r="V418">
        <f t="shared" si="16"/>
        <v>15958521.4</v>
      </c>
      <c r="W418">
        <f t="shared" si="17"/>
        <v>1950872.6</v>
      </c>
      <c r="Y418">
        <f t="shared" si="18"/>
        <v>2.2408743513980882</v>
      </c>
      <c r="Z418">
        <f t="shared" si="19"/>
        <v>2.6420893276459538</v>
      </c>
      <c r="AA418">
        <f t="shared" si="20"/>
        <v>2.673556334350724</v>
      </c>
      <c r="AB418">
        <f t="shared" si="21"/>
        <v>3.2751115972001572</v>
      </c>
      <c r="AC418">
        <f t="shared" si="22"/>
        <v>1.8761283132364039</v>
      </c>
      <c r="AD418">
        <f t="shared" si="23"/>
        <v>3.833016005612444</v>
      </c>
      <c r="AE418">
        <f t="shared" si="24"/>
        <v>3.1446050197817379</v>
      </c>
      <c r="AF418">
        <f t="shared" si="25"/>
        <v>3.291180088592228</v>
      </c>
      <c r="AG418">
        <f t="shared" si="26"/>
        <v>3.525603719684296</v>
      </c>
      <c r="AH418">
        <f t="shared" si="27"/>
        <v>8.1075362024013877</v>
      </c>
      <c r="AI418">
        <f t="shared" si="28"/>
        <v>4.0587124772137031</v>
      </c>
      <c r="AK418">
        <f t="shared" si="29"/>
        <v>2.2408743513980882</v>
      </c>
      <c r="AL418">
        <f t="shared" si="30"/>
        <v>0.9959491821937263</v>
      </c>
      <c r="AM418">
        <f t="shared" si="31"/>
        <v>1.03325056261383</v>
      </c>
      <c r="AN418">
        <f t="shared" si="32"/>
        <v>3.2751115972001572</v>
      </c>
      <c r="AO418">
        <f t="shared" si="33"/>
        <v>0.78942597220302557</v>
      </c>
      <c r="AP418">
        <f t="shared" si="34"/>
        <v>3.833016005612444</v>
      </c>
      <c r="AQ418">
        <f t="shared" si="35"/>
        <v>1.260354175220709</v>
      </c>
      <c r="AR418">
        <f t="shared" si="36"/>
        <v>1.677795233984944</v>
      </c>
      <c r="AS418">
        <f t="shared" si="37"/>
        <v>0.7834495407994837</v>
      </c>
      <c r="AT418">
        <f t="shared" si="38"/>
        <v>8.1075362024013877</v>
      </c>
      <c r="AU418">
        <f t="shared" si="39"/>
        <v>2.5846855691983359</v>
      </c>
    </row>
    <row r="419" spans="1:47" x14ac:dyDescent="0.3">
      <c r="A419">
        <v>23</v>
      </c>
      <c r="B419" t="s">
        <v>59</v>
      </c>
      <c r="C419" t="s">
        <v>47</v>
      </c>
      <c r="D419" t="s">
        <v>48</v>
      </c>
      <c r="F419" s="7">
        <v>0</v>
      </c>
      <c r="G419" s="7">
        <v>1</v>
      </c>
      <c r="H419" s="3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2195321</v>
      </c>
      <c r="O419">
        <f t="shared" si="9"/>
        <v>2177195.2000000002</v>
      </c>
      <c r="P419">
        <f t="shared" si="10"/>
        <v>8110191.4000000004</v>
      </c>
      <c r="Q419">
        <f t="shared" si="11"/>
        <v>938764.80000000005</v>
      </c>
      <c r="R419">
        <f t="shared" si="12"/>
        <v>5959335.2000000002</v>
      </c>
      <c r="S419">
        <f t="shared" si="13"/>
        <v>1481246.2</v>
      </c>
      <c r="T419">
        <f t="shared" si="14"/>
        <v>5031203.2</v>
      </c>
      <c r="U419">
        <f t="shared" si="15"/>
        <v>4426128.2</v>
      </c>
      <c r="V419">
        <f t="shared" si="16"/>
        <v>24978322.199999999</v>
      </c>
      <c r="W419">
        <f t="shared" si="17"/>
        <v>1595597.2</v>
      </c>
      <c r="Y419">
        <f t="shared" si="18"/>
        <v>3.111349141795654</v>
      </c>
      <c r="Z419">
        <f t="shared" si="19"/>
        <v>2.3719219365506432</v>
      </c>
      <c r="AA419">
        <f t="shared" si="20"/>
        <v>2.3464610124006868</v>
      </c>
      <c r="AB419">
        <f t="shared" si="21"/>
        <v>7.9253563984064384</v>
      </c>
      <c r="AC419">
        <f t="shared" si="22"/>
        <v>1.6733004663954489</v>
      </c>
      <c r="AD419">
        <f t="shared" si="23"/>
        <v>7.4259792456170546</v>
      </c>
      <c r="AE419">
        <f t="shared" si="24"/>
        <v>2.7510037308325992</v>
      </c>
      <c r="AF419">
        <f t="shared" si="25"/>
        <v>3.3207204420352361</v>
      </c>
      <c r="AG419">
        <f t="shared" si="26"/>
        <v>3.5486295429640449</v>
      </c>
      <c r="AH419">
        <f t="shared" si="27"/>
        <v>11.006260724167809</v>
      </c>
      <c r="AI419">
        <f t="shared" si="28"/>
        <v>3.4596571773639879</v>
      </c>
      <c r="AK419">
        <f t="shared" si="29"/>
        <v>3.111349141795654</v>
      </c>
      <c r="AL419">
        <f t="shared" si="30"/>
        <v>0.93805467741331083</v>
      </c>
      <c r="AM419">
        <f t="shared" si="31"/>
        <v>0.91738699340494345</v>
      </c>
      <c r="AN419">
        <f t="shared" si="32"/>
        <v>7.9253563984064384</v>
      </c>
      <c r="AO419">
        <f t="shared" si="33"/>
        <v>0.723769653798081</v>
      </c>
      <c r="AP419">
        <f t="shared" si="34"/>
        <v>7.4259792456170546</v>
      </c>
      <c r="AQ419">
        <f t="shared" si="35"/>
        <v>0.9797301752143539</v>
      </c>
      <c r="AR419">
        <f t="shared" si="36"/>
        <v>1.689737277617678</v>
      </c>
      <c r="AS419">
        <f t="shared" si="37"/>
        <v>0.78888303457060827</v>
      </c>
      <c r="AT419">
        <f t="shared" si="38"/>
        <v>11.006260724167809</v>
      </c>
      <c r="AU419">
        <f t="shared" si="39"/>
        <v>2.0908328647841699</v>
      </c>
    </row>
    <row r="420" spans="1:47" x14ac:dyDescent="0.3">
      <c r="A420">
        <v>23</v>
      </c>
      <c r="B420" t="s">
        <v>60</v>
      </c>
      <c r="C420" t="s">
        <v>47</v>
      </c>
      <c r="D420" t="s">
        <v>48</v>
      </c>
      <c r="F420" s="7">
        <v>0</v>
      </c>
      <c r="G420" s="7">
        <v>0</v>
      </c>
      <c r="H420" s="3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2548396.6</v>
      </c>
      <c r="O420">
        <f t="shared" si="9"/>
        <v>2579667.4</v>
      </c>
      <c r="P420">
        <f t="shared" si="10"/>
        <v>8535142.8000000007</v>
      </c>
      <c r="Q420">
        <f t="shared" si="11"/>
        <v>1163907.2</v>
      </c>
      <c r="R420">
        <f t="shared" si="12"/>
        <v>5751810.2000000002</v>
      </c>
      <c r="S420">
        <f t="shared" si="13"/>
        <v>1037210.4</v>
      </c>
      <c r="T420">
        <f t="shared" si="14"/>
        <v>5993899</v>
      </c>
      <c r="U420">
        <f t="shared" si="15"/>
        <v>4208480.8</v>
      </c>
      <c r="V420">
        <f t="shared" si="16"/>
        <v>8420866.5999999996</v>
      </c>
      <c r="W420">
        <f t="shared" si="17"/>
        <v>1453194</v>
      </c>
      <c r="Y420">
        <f t="shared" si="18"/>
        <v>2.618572360207327</v>
      </c>
      <c r="Z420">
        <f t="shared" si="19"/>
        <v>2.7635746473912151</v>
      </c>
      <c r="AA420">
        <f t="shared" si="20"/>
        <v>2.778277592966333</v>
      </c>
      <c r="AB420">
        <f t="shared" si="21"/>
        <v>7.1323527527973054</v>
      </c>
      <c r="AC420">
        <f t="shared" si="22"/>
        <v>1.8562952965905419</v>
      </c>
      <c r="AD420">
        <f t="shared" si="23"/>
        <v>6.870425169204827</v>
      </c>
      <c r="AE420">
        <f t="shared" si="24"/>
        <v>2.5973022492136808</v>
      </c>
      <c r="AF420">
        <f t="shared" si="25"/>
        <v>4.2620156406075704</v>
      </c>
      <c r="AG420">
        <f t="shared" si="26"/>
        <v>3.3305800510453989</v>
      </c>
      <c r="AH420">
        <f t="shared" si="27"/>
        <v>5.6527373148011977</v>
      </c>
      <c r="AI420">
        <f t="shared" si="28"/>
        <v>4.1161545131704766</v>
      </c>
      <c r="AK420">
        <f t="shared" si="29"/>
        <v>2.618572360207327</v>
      </c>
      <c r="AL420">
        <f t="shared" si="30"/>
        <v>1.0646627710084431</v>
      </c>
      <c r="AM420">
        <f t="shared" si="31"/>
        <v>1.083620905980933</v>
      </c>
      <c r="AN420">
        <f t="shared" si="32"/>
        <v>7.1323527527973054</v>
      </c>
      <c r="AO420">
        <f t="shared" si="33"/>
        <v>0.76587132859858675</v>
      </c>
      <c r="AP420">
        <f t="shared" si="34"/>
        <v>6.870425169204827</v>
      </c>
      <c r="AQ420">
        <f t="shared" si="35"/>
        <v>0.97061722680227835</v>
      </c>
      <c r="AR420">
        <f t="shared" si="36"/>
        <v>2.188733715808485</v>
      </c>
      <c r="AS420">
        <f t="shared" si="37"/>
        <v>0.78494180319830775</v>
      </c>
      <c r="AT420">
        <f t="shared" si="38"/>
        <v>5.6527373148011977</v>
      </c>
      <c r="AU420">
        <f t="shared" si="39"/>
        <v>2.8301512327860112</v>
      </c>
    </row>
    <row r="421" spans="1:47" x14ac:dyDescent="0.3">
      <c r="A421">
        <v>23</v>
      </c>
      <c r="B421" t="s">
        <v>61</v>
      </c>
      <c r="C421" t="s">
        <v>47</v>
      </c>
      <c r="D421" t="s">
        <v>48</v>
      </c>
      <c r="F421" s="7">
        <v>0</v>
      </c>
      <c r="G421" s="7">
        <v>1</v>
      </c>
      <c r="H421" s="3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1872928.2</v>
      </c>
      <c r="O421">
        <f t="shared" si="9"/>
        <v>1860809</v>
      </c>
      <c r="P421">
        <f t="shared" si="10"/>
        <v>13103222.199999999</v>
      </c>
      <c r="Q421">
        <f t="shared" si="11"/>
        <v>1188675.2</v>
      </c>
      <c r="R421">
        <f t="shared" si="12"/>
        <v>8635362.4000000004</v>
      </c>
      <c r="S421">
        <f t="shared" si="13"/>
        <v>1018766</v>
      </c>
      <c r="T421">
        <f t="shared" si="14"/>
        <v>5991858.4000000004</v>
      </c>
      <c r="U421">
        <f t="shared" si="15"/>
        <v>4144492.6</v>
      </c>
      <c r="V421">
        <f t="shared" si="16"/>
        <v>12723913.6</v>
      </c>
      <c r="W421">
        <f t="shared" si="17"/>
        <v>1550320.6</v>
      </c>
      <c r="Y421">
        <f t="shared" si="18"/>
        <v>2.9550370576092968</v>
      </c>
      <c r="Z421">
        <f t="shared" si="19"/>
        <v>2.2097069859853939</v>
      </c>
      <c r="AA421">
        <f t="shared" si="20"/>
        <v>2.1888961140299221</v>
      </c>
      <c r="AB421">
        <f t="shared" si="21"/>
        <v>10.68076406139298</v>
      </c>
      <c r="AC421">
        <f t="shared" si="22"/>
        <v>1.7641840136435349</v>
      </c>
      <c r="AD421">
        <f t="shared" si="23"/>
        <v>9.8686936927842908</v>
      </c>
      <c r="AE421">
        <f t="shared" si="24"/>
        <v>2.5130253963987341</v>
      </c>
      <c r="AF421">
        <f t="shared" si="25"/>
        <v>4.3082756964256994</v>
      </c>
      <c r="AG421">
        <f t="shared" si="26"/>
        <v>3.2850682910764588</v>
      </c>
      <c r="AH421">
        <f t="shared" si="27"/>
        <v>6.9150585178169424</v>
      </c>
      <c r="AI421">
        <f t="shared" si="28"/>
        <v>3.278930743830279</v>
      </c>
      <c r="AK421">
        <f t="shared" si="29"/>
        <v>2.9550370576092968</v>
      </c>
      <c r="AL421">
        <f t="shared" si="30"/>
        <v>0.80352945319609714</v>
      </c>
      <c r="AM421">
        <f t="shared" si="31"/>
        <v>0.78927227639360353</v>
      </c>
      <c r="AN421">
        <f t="shared" si="32"/>
        <v>10.68076406139298</v>
      </c>
      <c r="AO421">
        <f t="shared" si="33"/>
        <v>0.69415848460630514</v>
      </c>
      <c r="AP421">
        <f t="shared" si="34"/>
        <v>9.8686936927842908</v>
      </c>
      <c r="AQ421">
        <f t="shared" si="35"/>
        <v>0.86663820501416922</v>
      </c>
      <c r="AR421">
        <f t="shared" si="36"/>
        <v>2.2152492642169821</v>
      </c>
      <c r="AS421">
        <f t="shared" si="37"/>
        <v>0.76131236584624273</v>
      </c>
      <c r="AT421">
        <f t="shared" si="38"/>
        <v>6.9150585178169424</v>
      </c>
      <c r="AU421">
        <f t="shared" si="39"/>
        <v>1.859634643374011</v>
      </c>
    </row>
    <row r="422" spans="1:47" x14ac:dyDescent="0.3">
      <c r="A422">
        <v>23</v>
      </c>
      <c r="B422" t="s">
        <v>62</v>
      </c>
      <c r="C422" t="s">
        <v>47</v>
      </c>
      <c r="D422" t="s">
        <v>48</v>
      </c>
      <c r="F422" s="7">
        <v>0</v>
      </c>
      <c r="G422" s="7">
        <v>1</v>
      </c>
      <c r="H422" s="3">
        <v>0</v>
      </c>
      <c r="I422">
        <f t="shared" si="41"/>
        <v>0</v>
      </c>
      <c r="J422">
        <f t="shared" si="41"/>
        <v>1</v>
      </c>
      <c r="K422">
        <v>4</v>
      </c>
      <c r="L422">
        <v>0</v>
      </c>
      <c r="M422">
        <f t="shared" si="7"/>
        <v>584782.4</v>
      </c>
      <c r="N422">
        <f t="shared" si="8"/>
        <v>1611173</v>
      </c>
      <c r="O422">
        <f t="shared" si="9"/>
        <v>1664371.8</v>
      </c>
      <c r="P422">
        <f t="shared" si="10"/>
        <v>281783.40000000002</v>
      </c>
      <c r="Q422">
        <f t="shared" si="11"/>
        <v>632717.80000000005</v>
      </c>
      <c r="R422">
        <f t="shared" si="12"/>
        <v>276818.40000000002</v>
      </c>
      <c r="S422">
        <f t="shared" si="13"/>
        <v>607142.40000000002</v>
      </c>
      <c r="T422">
        <f t="shared" si="14"/>
        <v>3746597.2</v>
      </c>
      <c r="U422">
        <f t="shared" si="15"/>
        <v>3507208</v>
      </c>
      <c r="V422">
        <f t="shared" si="16"/>
        <v>41970.2</v>
      </c>
      <c r="W422">
        <f t="shared" si="17"/>
        <v>646396</v>
      </c>
      <c r="Y422">
        <f t="shared" si="18"/>
        <v>0.75574777179863306</v>
      </c>
      <c r="Z422">
        <f t="shared" si="19"/>
        <v>1.994037356541958</v>
      </c>
      <c r="AA422">
        <f t="shared" si="20"/>
        <v>2.0092275783652438</v>
      </c>
      <c r="AB422">
        <f t="shared" si="21"/>
        <v>0.53571821199147962</v>
      </c>
      <c r="AC422">
        <f t="shared" si="22"/>
        <v>1.2664119723893239</v>
      </c>
      <c r="AD422">
        <f t="shared" si="23"/>
        <v>1.246333532617427</v>
      </c>
      <c r="AE422">
        <f t="shared" si="24"/>
        <v>2.0006146182306108</v>
      </c>
      <c r="AF422">
        <f t="shared" si="25"/>
        <v>1.8662045348086389</v>
      </c>
      <c r="AG422">
        <f t="shared" si="26"/>
        <v>2.5095026858034539</v>
      </c>
      <c r="AH422">
        <f t="shared" si="27"/>
        <v>0.19960493859834971</v>
      </c>
      <c r="AI422">
        <f t="shared" si="28"/>
        <v>2.3644629029789939</v>
      </c>
      <c r="AK422">
        <f t="shared" si="29"/>
        <v>0.75574777179863306</v>
      </c>
      <c r="AL422">
        <f t="shared" si="30"/>
        <v>0.7896783370058984</v>
      </c>
      <c r="AM422">
        <f t="shared" si="31"/>
        <v>0.80901463500922544</v>
      </c>
      <c r="AN422">
        <f t="shared" si="32"/>
        <v>0.53571821199147962</v>
      </c>
      <c r="AO422">
        <f t="shared" si="33"/>
        <v>0.52918931678286751</v>
      </c>
      <c r="AP422">
        <f t="shared" si="34"/>
        <v>1.246333532617427</v>
      </c>
      <c r="AQ422">
        <f t="shared" si="35"/>
        <v>0.69866446864325549</v>
      </c>
      <c r="AR422">
        <f t="shared" si="36"/>
        <v>1.000468734407332</v>
      </c>
      <c r="AS422">
        <f t="shared" si="37"/>
        <v>0.62653864917811009</v>
      </c>
      <c r="AT422">
        <f t="shared" si="38"/>
        <v>0.19960493859834971</v>
      </c>
      <c r="AU422">
        <f t="shared" si="39"/>
        <v>1.6584218096104451</v>
      </c>
    </row>
    <row r="423" spans="1:47" x14ac:dyDescent="0.3">
      <c r="A423">
        <v>23</v>
      </c>
      <c r="B423" t="s">
        <v>63</v>
      </c>
      <c r="C423" t="s">
        <v>47</v>
      </c>
      <c r="D423" t="s">
        <v>48</v>
      </c>
      <c r="F423" s="7">
        <v>0</v>
      </c>
      <c r="G423" s="7">
        <v>0</v>
      </c>
      <c r="H423" s="3">
        <v>0</v>
      </c>
      <c r="I423">
        <f t="shared" si="41"/>
        <v>0</v>
      </c>
      <c r="J423">
        <f t="shared" si="41"/>
        <v>1</v>
      </c>
      <c r="K423">
        <v>4</v>
      </c>
      <c r="L423">
        <v>0</v>
      </c>
      <c r="M423">
        <f t="shared" si="7"/>
        <v>668118.80000000005</v>
      </c>
      <c r="N423">
        <f t="shared" si="8"/>
        <v>1201692.6000000001</v>
      </c>
      <c r="O423">
        <f t="shared" si="9"/>
        <v>1187076.8</v>
      </c>
      <c r="P423">
        <f t="shared" si="10"/>
        <v>275748.8</v>
      </c>
      <c r="Q423">
        <f t="shared" si="11"/>
        <v>454519</v>
      </c>
      <c r="R423">
        <f t="shared" si="12"/>
        <v>268625.8</v>
      </c>
      <c r="S423">
        <f t="shared" si="13"/>
        <v>411834.2</v>
      </c>
      <c r="T423">
        <f t="shared" si="14"/>
        <v>3752541.2</v>
      </c>
      <c r="U423">
        <f t="shared" si="15"/>
        <v>3490266</v>
      </c>
      <c r="V423">
        <f t="shared" si="16"/>
        <v>58445</v>
      </c>
      <c r="W423">
        <f t="shared" si="17"/>
        <v>370872.8</v>
      </c>
      <c r="Y423">
        <f t="shared" si="18"/>
        <v>0.80918713120045138</v>
      </c>
      <c r="Z423">
        <f t="shared" si="19"/>
        <v>1.6150102013023571</v>
      </c>
      <c r="AA423">
        <f t="shared" si="20"/>
        <v>1.602109721978195</v>
      </c>
      <c r="AB423">
        <f t="shared" si="21"/>
        <v>0.49300265400088389</v>
      </c>
      <c r="AC423">
        <f t="shared" si="22"/>
        <v>1.058827181003289</v>
      </c>
      <c r="AD423">
        <f t="shared" si="23"/>
        <v>1.195716652018018</v>
      </c>
      <c r="AE423">
        <f t="shared" si="24"/>
        <v>1.752842661424074</v>
      </c>
      <c r="AF423">
        <f t="shared" si="25"/>
        <v>1.8701255076215599</v>
      </c>
      <c r="AG423">
        <f t="shared" si="26"/>
        <v>2.4872383047360929</v>
      </c>
      <c r="AH423">
        <f t="shared" si="27"/>
        <v>0.30479348279768598</v>
      </c>
      <c r="AI423">
        <f t="shared" si="28"/>
        <v>1.7328149286331609</v>
      </c>
      <c r="AK423">
        <f t="shared" si="29"/>
        <v>0.80918713120045138</v>
      </c>
      <c r="AL423">
        <f t="shared" si="30"/>
        <v>0.66329525696346536</v>
      </c>
      <c r="AM423">
        <f t="shared" si="31"/>
        <v>0.65260935858823355</v>
      </c>
      <c r="AN423">
        <f t="shared" si="32"/>
        <v>0.49300265400088389</v>
      </c>
      <c r="AO423">
        <f t="shared" si="33"/>
        <v>0.45844631140353159</v>
      </c>
      <c r="AP423">
        <f t="shared" si="34"/>
        <v>1.195716652018018</v>
      </c>
      <c r="AQ423">
        <f t="shared" si="35"/>
        <v>0.66013446721481162</v>
      </c>
      <c r="AR423">
        <f t="shared" si="36"/>
        <v>1.0130848216242161</v>
      </c>
      <c r="AS423">
        <f t="shared" si="37"/>
        <v>0.62745492877438669</v>
      </c>
      <c r="AT423">
        <f t="shared" si="38"/>
        <v>0.30479348279768598</v>
      </c>
      <c r="AU423">
        <f t="shared" si="39"/>
        <v>1.1165313164237891</v>
      </c>
    </row>
    <row r="424" spans="1:47" x14ac:dyDescent="0.3">
      <c r="A424">
        <v>24</v>
      </c>
      <c r="B424" t="s">
        <v>64</v>
      </c>
      <c r="C424" t="s">
        <v>65</v>
      </c>
      <c r="D424" t="s">
        <v>66</v>
      </c>
      <c r="F424" s="7">
        <v>0</v>
      </c>
      <c r="G424" s="7">
        <v>0</v>
      </c>
      <c r="H424" s="3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>
        <f t="shared" si="7"/>
        <v>1465680.2</v>
      </c>
      <c r="N424">
        <f t="shared" si="8"/>
        <v>5992022.4000000004</v>
      </c>
      <c r="O424">
        <f t="shared" si="9"/>
        <v>6600829</v>
      </c>
      <c r="P424">
        <f t="shared" si="10"/>
        <v>2004888.8</v>
      </c>
      <c r="Q424">
        <f t="shared" si="11"/>
        <v>5939480.5999999996</v>
      </c>
      <c r="R424">
        <f t="shared" si="12"/>
        <v>1414445.2</v>
      </c>
      <c r="S424">
        <f t="shared" si="13"/>
        <v>6599989.7999999998</v>
      </c>
      <c r="T424">
        <f t="shared" si="14"/>
        <v>3393315.6</v>
      </c>
      <c r="U424">
        <f t="shared" si="15"/>
        <v>3868766.8</v>
      </c>
      <c r="V424">
        <f t="shared" si="16"/>
        <v>7725292.4000000004</v>
      </c>
      <c r="W424">
        <f t="shared" si="17"/>
        <v>11541162.199999999</v>
      </c>
      <c r="Y424">
        <f t="shared" si="18"/>
        <v>1.902499650395475</v>
      </c>
      <c r="Z424">
        <f t="shared" si="19"/>
        <v>4.9801150533952754</v>
      </c>
      <c r="AA424">
        <f t="shared" si="20"/>
        <v>5.3481300111976449</v>
      </c>
      <c r="AB424">
        <f t="shared" si="21"/>
        <v>2.936456027795793</v>
      </c>
      <c r="AC424">
        <f t="shared" si="22"/>
        <v>6.3120730026392264</v>
      </c>
      <c r="AD424">
        <f t="shared" si="23"/>
        <v>1.4799231829936621</v>
      </c>
      <c r="AE424">
        <f t="shared" si="24"/>
        <v>4.5821201770217161</v>
      </c>
      <c r="AF424">
        <f t="shared" si="25"/>
        <v>1.3229826851980759</v>
      </c>
      <c r="AG424">
        <f t="shared" si="26"/>
        <v>2.507928721455392</v>
      </c>
      <c r="AH424">
        <f t="shared" si="27"/>
        <v>5.4008630300057119</v>
      </c>
      <c r="AI424">
        <f t="shared" si="28"/>
        <v>13.11254044899251</v>
      </c>
      <c r="AK424">
        <f t="shared" si="29"/>
        <v>1.902499650395475</v>
      </c>
      <c r="AL424">
        <f t="shared" si="30"/>
        <v>1.9556955639971421</v>
      </c>
      <c r="AM424">
        <f t="shared" si="31"/>
        <v>2.336964795610402</v>
      </c>
      <c r="AN424">
        <f t="shared" si="32"/>
        <v>2.936456027795793</v>
      </c>
      <c r="AO424">
        <f t="shared" si="33"/>
        <v>3.0763704230135769</v>
      </c>
      <c r="AP424">
        <f t="shared" si="34"/>
        <v>1.4799231829936621</v>
      </c>
      <c r="AQ424">
        <f t="shared" si="35"/>
        <v>1.7396299373824149</v>
      </c>
      <c r="AR424">
        <f t="shared" si="36"/>
        <v>0.68709089061012496</v>
      </c>
      <c r="AS424">
        <f t="shared" si="37"/>
        <v>0.57074219618225475</v>
      </c>
      <c r="AT424">
        <f t="shared" si="38"/>
        <v>5.4008630300057119</v>
      </c>
      <c r="AU424">
        <f t="shared" si="39"/>
        <v>9.5047258693841279</v>
      </c>
    </row>
    <row r="425" spans="1:47" x14ac:dyDescent="0.3">
      <c r="A425">
        <v>24</v>
      </c>
      <c r="B425" t="s">
        <v>67</v>
      </c>
      <c r="C425" t="s">
        <v>65</v>
      </c>
      <c r="D425" t="s">
        <v>66</v>
      </c>
      <c r="F425" s="7">
        <v>0</v>
      </c>
      <c r="G425" s="7">
        <v>1</v>
      </c>
      <c r="H425" s="3">
        <v>0</v>
      </c>
      <c r="I425">
        <f t="shared" si="41"/>
        <v>0</v>
      </c>
      <c r="J425">
        <f t="shared" si="41"/>
        <v>1</v>
      </c>
      <c r="K425">
        <v>3</v>
      </c>
      <c r="L425">
        <v>0</v>
      </c>
      <c r="M425">
        <f t="shared" si="7"/>
        <v>7040893.2000000002</v>
      </c>
      <c r="N425">
        <f t="shared" si="8"/>
        <v>1976134.8</v>
      </c>
      <c r="O425">
        <f t="shared" si="9"/>
        <v>2004510.2</v>
      </c>
      <c r="P425">
        <f t="shared" si="10"/>
        <v>6888278.7999999998</v>
      </c>
      <c r="Q425">
        <f t="shared" si="11"/>
        <v>839369</v>
      </c>
      <c r="R425">
        <f t="shared" si="12"/>
        <v>15975768.6</v>
      </c>
      <c r="S425">
        <f t="shared" si="13"/>
        <v>1062903.2</v>
      </c>
      <c r="T425">
        <f t="shared" si="14"/>
        <v>7598860.4000000004</v>
      </c>
      <c r="U425">
        <f t="shared" si="15"/>
        <v>4303944.4000000004</v>
      </c>
      <c r="V425">
        <f t="shared" si="16"/>
        <v>20961509</v>
      </c>
      <c r="W425">
        <f t="shared" si="17"/>
        <v>2647887.4</v>
      </c>
      <c r="Y425">
        <f t="shared" si="18"/>
        <v>5.3365994693944234</v>
      </c>
      <c r="Z425">
        <f t="shared" si="19"/>
        <v>1.8564399290480651</v>
      </c>
      <c r="AA425">
        <f t="shared" si="20"/>
        <v>1.850124277628493</v>
      </c>
      <c r="AB425">
        <f t="shared" si="21"/>
        <v>5.8321243659942414</v>
      </c>
      <c r="AC425">
        <f t="shared" si="22"/>
        <v>1.3524713988124859</v>
      </c>
      <c r="AD425">
        <f t="shared" si="23"/>
        <v>10.95409533240599</v>
      </c>
      <c r="AE425">
        <f t="shared" si="24"/>
        <v>1.3931679290486501</v>
      </c>
      <c r="AF425">
        <f t="shared" si="25"/>
        <v>4.3795528340036984</v>
      </c>
      <c r="AG425">
        <f t="shared" si="26"/>
        <v>2.729313315392937</v>
      </c>
      <c r="AH425">
        <f t="shared" si="27"/>
        <v>8.8987105053849511</v>
      </c>
      <c r="AI425">
        <f t="shared" si="28"/>
        <v>3.2193845726898869</v>
      </c>
      <c r="AK425">
        <f t="shared" si="29"/>
        <v>5.3365994693944234</v>
      </c>
      <c r="AL425">
        <f t="shared" si="30"/>
        <v>0.68663855983177202</v>
      </c>
      <c r="AM425">
        <f t="shared" si="31"/>
        <v>0.69224667659727857</v>
      </c>
      <c r="AN425">
        <f t="shared" si="32"/>
        <v>5.8321243659942414</v>
      </c>
      <c r="AO425">
        <f t="shared" si="33"/>
        <v>0.56141735260607672</v>
      </c>
      <c r="AP425">
        <f t="shared" si="34"/>
        <v>10.95409533240599</v>
      </c>
      <c r="AQ425">
        <f t="shared" si="35"/>
        <v>0.61859949162462724</v>
      </c>
      <c r="AR425">
        <f t="shared" si="36"/>
        <v>2.3783643595990731</v>
      </c>
      <c r="AS425">
        <f t="shared" si="37"/>
        <v>0.56510997997829693</v>
      </c>
      <c r="AT425">
        <f t="shared" si="38"/>
        <v>8.8987105053849511</v>
      </c>
      <c r="AU425">
        <f t="shared" si="39"/>
        <v>1.5136320330202579</v>
      </c>
    </row>
    <row r="426" spans="1:47" x14ac:dyDescent="0.3">
      <c r="A426">
        <v>24</v>
      </c>
      <c r="B426" t="s">
        <v>68</v>
      </c>
      <c r="C426" t="s">
        <v>65</v>
      </c>
      <c r="D426" t="s">
        <v>66</v>
      </c>
      <c r="F426" s="7">
        <v>0</v>
      </c>
      <c r="G426" s="7">
        <v>1</v>
      </c>
      <c r="H426" s="3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1884901</v>
      </c>
      <c r="O426">
        <f t="shared" si="9"/>
        <v>1876718.2</v>
      </c>
      <c r="P426">
        <f t="shared" si="10"/>
        <v>4808313.4000000004</v>
      </c>
      <c r="Q426">
        <f t="shared" si="11"/>
        <v>887823.2</v>
      </c>
      <c r="R426">
        <f t="shared" si="12"/>
        <v>4566077.4000000004</v>
      </c>
      <c r="S426">
        <f t="shared" si="13"/>
        <v>1184733.6000000001</v>
      </c>
      <c r="T426">
        <f t="shared" si="14"/>
        <v>7454517.4000000004</v>
      </c>
      <c r="U426">
        <f t="shared" si="15"/>
        <v>4294696.4000000004</v>
      </c>
      <c r="V426">
        <f t="shared" si="16"/>
        <v>13585854.4</v>
      </c>
      <c r="W426">
        <f t="shared" si="17"/>
        <v>2257997.4</v>
      </c>
      <c r="Y426">
        <f t="shared" si="18"/>
        <v>2.5534792633843608</v>
      </c>
      <c r="Z426">
        <f t="shared" si="19"/>
        <v>1.8399957141955381</v>
      </c>
      <c r="AA426">
        <f t="shared" si="20"/>
        <v>1.8292166290222669</v>
      </c>
      <c r="AB426">
        <f t="shared" si="21"/>
        <v>3.0478638805914668</v>
      </c>
      <c r="AC426">
        <f t="shared" si="22"/>
        <v>1.457264181610662</v>
      </c>
      <c r="AD426">
        <f t="shared" si="23"/>
        <v>3.385036309016868</v>
      </c>
      <c r="AE426">
        <f t="shared" si="24"/>
        <v>1.3467373165301979</v>
      </c>
      <c r="AF426">
        <f t="shared" si="25"/>
        <v>4.2875484451651573</v>
      </c>
      <c r="AG426">
        <f t="shared" si="26"/>
        <v>2.735056102124509</v>
      </c>
      <c r="AH426">
        <f t="shared" si="27"/>
        <v>6.6112681110156704</v>
      </c>
      <c r="AI426">
        <f t="shared" si="28"/>
        <v>3.4886999977985398</v>
      </c>
      <c r="AK426">
        <f t="shared" si="29"/>
        <v>2.5534792633843608</v>
      </c>
      <c r="AL426">
        <f t="shared" si="30"/>
        <v>0.68559304416412492</v>
      </c>
      <c r="AM426">
        <f t="shared" si="31"/>
        <v>0.67554122942965478</v>
      </c>
      <c r="AN426">
        <f t="shared" si="32"/>
        <v>3.0478638805914668</v>
      </c>
      <c r="AO426">
        <f t="shared" si="33"/>
        <v>0.57750049419701099</v>
      </c>
      <c r="AP426">
        <f t="shared" si="34"/>
        <v>3.385036309016868</v>
      </c>
      <c r="AQ426">
        <f t="shared" si="35"/>
        <v>0.54910154638346287</v>
      </c>
      <c r="AR426">
        <f t="shared" si="36"/>
        <v>2.3108039849670599</v>
      </c>
      <c r="AS426">
        <f t="shared" si="37"/>
        <v>0.56747586461715405</v>
      </c>
      <c r="AT426">
        <f t="shared" si="38"/>
        <v>6.6112681110156704</v>
      </c>
      <c r="AU426">
        <f t="shared" si="39"/>
        <v>1.8685042786179109</v>
      </c>
    </row>
    <row r="427" spans="1:47" x14ac:dyDescent="0.3">
      <c r="A427">
        <v>24</v>
      </c>
      <c r="B427" t="s">
        <v>69</v>
      </c>
      <c r="C427" t="s">
        <v>65</v>
      </c>
      <c r="D427" t="s">
        <v>66</v>
      </c>
      <c r="F427" s="7">
        <v>0</v>
      </c>
      <c r="G427" s="7">
        <v>0</v>
      </c>
      <c r="H427" s="3">
        <v>0</v>
      </c>
      <c r="I427">
        <f t="shared" si="41"/>
        <v>0</v>
      </c>
      <c r="J427">
        <f t="shared" si="41"/>
        <v>1</v>
      </c>
      <c r="K427">
        <v>3</v>
      </c>
      <c r="L427">
        <v>0</v>
      </c>
      <c r="M427">
        <f t="shared" si="7"/>
        <v>414114.2</v>
      </c>
      <c r="N427">
        <f t="shared" si="8"/>
        <v>6016041.2000000002</v>
      </c>
      <c r="O427">
        <f t="shared" si="9"/>
        <v>6184164.7999999998</v>
      </c>
      <c r="P427">
        <f t="shared" si="10"/>
        <v>355969</v>
      </c>
      <c r="Q427">
        <f t="shared" si="11"/>
        <v>6159425.2000000002</v>
      </c>
      <c r="R427">
        <f t="shared" si="12"/>
        <v>185834.8</v>
      </c>
      <c r="S427">
        <f t="shared" si="13"/>
        <v>7151927.2000000002</v>
      </c>
      <c r="T427">
        <f t="shared" si="14"/>
        <v>3528815.8</v>
      </c>
      <c r="U427">
        <f t="shared" si="15"/>
        <v>3936779.4</v>
      </c>
      <c r="V427">
        <f t="shared" si="16"/>
        <v>708200.2</v>
      </c>
      <c r="W427">
        <f t="shared" si="17"/>
        <v>11324861.6</v>
      </c>
      <c r="Y427">
        <f t="shared" si="18"/>
        <v>0.75192192260874435</v>
      </c>
      <c r="Z427">
        <f t="shared" si="19"/>
        <v>4.9027848363039084</v>
      </c>
      <c r="AA427">
        <f t="shared" si="20"/>
        <v>5.0205925049725924</v>
      </c>
      <c r="AB427">
        <f t="shared" si="21"/>
        <v>0.82043510299408806</v>
      </c>
      <c r="AC427">
        <f t="shared" si="22"/>
        <v>5.8185497546393892</v>
      </c>
      <c r="AD427">
        <f t="shared" si="23"/>
        <v>0.32482367020566011</v>
      </c>
      <c r="AE427">
        <f t="shared" si="24"/>
        <v>4.6631845549563877</v>
      </c>
      <c r="AF427">
        <f t="shared" si="25"/>
        <v>1.462565600441303</v>
      </c>
      <c r="AG427">
        <f t="shared" si="26"/>
        <v>2.5565355605795048</v>
      </c>
      <c r="AH427">
        <f t="shared" si="27"/>
        <v>1.9473045285907571</v>
      </c>
      <c r="AI427">
        <f t="shared" si="28"/>
        <v>14.77405531820841</v>
      </c>
      <c r="AK427">
        <f t="shared" si="29"/>
        <v>0.75192192260874435</v>
      </c>
      <c r="AL427">
        <f t="shared" si="30"/>
        <v>2.4001645768061279</v>
      </c>
      <c r="AM427">
        <f t="shared" si="31"/>
        <v>2.5168823663960209</v>
      </c>
      <c r="AN427">
        <f t="shared" si="32"/>
        <v>0.82043510299408806</v>
      </c>
      <c r="AO427">
        <f t="shared" si="33"/>
        <v>3.169797798414947</v>
      </c>
      <c r="AP427">
        <f t="shared" si="34"/>
        <v>0.32482367020566011</v>
      </c>
      <c r="AQ427">
        <f t="shared" si="35"/>
        <v>2.5008298611734059</v>
      </c>
      <c r="AR427">
        <f t="shared" si="36"/>
        <v>0.75985731503460552</v>
      </c>
      <c r="AS427">
        <f t="shared" si="37"/>
        <v>0.62093643894186246</v>
      </c>
      <c r="AT427">
        <f t="shared" si="38"/>
        <v>1.9473045285907571</v>
      </c>
      <c r="AU427">
        <f t="shared" si="39"/>
        <v>12.34205780877965</v>
      </c>
    </row>
    <row r="428" spans="1:47" x14ac:dyDescent="0.3">
      <c r="A428">
        <v>24</v>
      </c>
      <c r="B428" t="s">
        <v>70</v>
      </c>
      <c r="C428" t="s">
        <v>65</v>
      </c>
      <c r="D428" t="s">
        <v>66</v>
      </c>
      <c r="F428" s="7">
        <v>0</v>
      </c>
      <c r="G428" s="7">
        <v>1</v>
      </c>
      <c r="H428" s="3">
        <v>0</v>
      </c>
      <c r="I428">
        <f t="shared" si="41"/>
        <v>0</v>
      </c>
      <c r="J428">
        <f t="shared" si="41"/>
        <v>1</v>
      </c>
      <c r="K428">
        <v>3</v>
      </c>
      <c r="L428">
        <v>0</v>
      </c>
      <c r="M428">
        <f t="shared" si="7"/>
        <v>328897.59999999998</v>
      </c>
      <c r="N428">
        <f t="shared" si="8"/>
        <v>6006067.5999999996</v>
      </c>
      <c r="O428">
        <f t="shared" si="9"/>
        <v>6058045.4000000004</v>
      </c>
      <c r="P428">
        <f t="shared" si="10"/>
        <v>235216.4</v>
      </c>
      <c r="Q428">
        <f t="shared" si="11"/>
        <v>7402034</v>
      </c>
      <c r="R428">
        <f t="shared" si="12"/>
        <v>67910.8</v>
      </c>
      <c r="S428">
        <f t="shared" si="13"/>
        <v>7594684.2000000002</v>
      </c>
      <c r="T428">
        <f t="shared" si="14"/>
        <v>3395854.4</v>
      </c>
      <c r="U428">
        <f t="shared" si="15"/>
        <v>3911157.2</v>
      </c>
      <c r="V428">
        <f t="shared" si="16"/>
        <v>335678.2</v>
      </c>
      <c r="W428">
        <f t="shared" si="17"/>
        <v>13070692.199999999</v>
      </c>
      <c r="Y428">
        <f t="shared" si="18"/>
        <v>0.66578590900171553</v>
      </c>
      <c r="Z428">
        <f t="shared" si="19"/>
        <v>5.1267592488089573</v>
      </c>
      <c r="AA428">
        <f t="shared" si="20"/>
        <v>5.1159106015926223</v>
      </c>
      <c r="AB428">
        <f t="shared" si="21"/>
        <v>0.67798933740705247</v>
      </c>
      <c r="AC428">
        <f t="shared" si="22"/>
        <v>6.5662426132126708</v>
      </c>
      <c r="AD428">
        <f t="shared" si="23"/>
        <v>0.16871945860330009</v>
      </c>
      <c r="AE428">
        <f t="shared" si="24"/>
        <v>5.5688926025177352</v>
      </c>
      <c r="AF428">
        <f t="shared" si="25"/>
        <v>1.3200254647759719</v>
      </c>
      <c r="AG428">
        <f t="shared" si="26"/>
        <v>2.5369815634796402</v>
      </c>
      <c r="AH428">
        <f t="shared" si="27"/>
        <v>1.2836925331968809</v>
      </c>
      <c r="AI428">
        <f t="shared" si="28"/>
        <v>16.00778404596495</v>
      </c>
      <c r="AK428">
        <f t="shared" si="29"/>
        <v>0.66578590900171553</v>
      </c>
      <c r="AL428">
        <f t="shared" si="30"/>
        <v>2.6040352908079512</v>
      </c>
      <c r="AM428">
        <f t="shared" si="31"/>
        <v>2.60623602779815</v>
      </c>
      <c r="AN428">
        <f t="shared" si="32"/>
        <v>0.67798933740705247</v>
      </c>
      <c r="AO428">
        <f t="shared" si="33"/>
        <v>2.8906800519966049</v>
      </c>
      <c r="AP428">
        <f t="shared" si="34"/>
        <v>0.16871945860330009</v>
      </c>
      <c r="AQ428">
        <f t="shared" si="35"/>
        <v>3.4153938223724252</v>
      </c>
      <c r="AR428">
        <f t="shared" si="36"/>
        <v>0.68287158077582721</v>
      </c>
      <c r="AS428">
        <f t="shared" si="37"/>
        <v>0.59498779582791028</v>
      </c>
      <c r="AT428">
        <f t="shared" si="38"/>
        <v>1.2836925331968809</v>
      </c>
      <c r="AU428">
        <f t="shared" si="39"/>
        <v>13.182267385395241</v>
      </c>
    </row>
    <row r="429" spans="1:47" x14ac:dyDescent="0.3">
      <c r="A429">
        <v>24</v>
      </c>
      <c r="B429" t="s">
        <v>71</v>
      </c>
      <c r="C429" t="s">
        <v>65</v>
      </c>
      <c r="D429" t="s">
        <v>66</v>
      </c>
      <c r="F429" s="7">
        <v>0</v>
      </c>
      <c r="G429" s="7">
        <v>0</v>
      </c>
      <c r="H429" s="3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1797739.2</v>
      </c>
      <c r="O429">
        <f t="shared" si="9"/>
        <v>1828093.8</v>
      </c>
      <c r="P429">
        <f t="shared" si="10"/>
        <v>7568929</v>
      </c>
      <c r="Q429">
        <f t="shared" si="11"/>
        <v>709877</v>
      </c>
      <c r="R429">
        <f t="shared" si="12"/>
        <v>5117375.4000000004</v>
      </c>
      <c r="S429">
        <f t="shared" si="13"/>
        <v>1529571</v>
      </c>
      <c r="T429">
        <f t="shared" si="14"/>
        <v>7570115.2000000002</v>
      </c>
      <c r="U429">
        <f t="shared" si="15"/>
        <v>4349478</v>
      </c>
      <c r="V429">
        <f t="shared" si="16"/>
        <v>9604938.1999999993</v>
      </c>
      <c r="W429">
        <f t="shared" si="17"/>
        <v>2662738.6</v>
      </c>
      <c r="Y429">
        <f t="shared" si="18"/>
        <v>2.102253261383157</v>
      </c>
      <c r="Z429">
        <f t="shared" si="19"/>
        <v>1.813629608426709</v>
      </c>
      <c r="AA429">
        <f t="shared" si="20"/>
        <v>1.808651836554054</v>
      </c>
      <c r="AB429">
        <f t="shared" si="21"/>
        <v>3.4499347586010121</v>
      </c>
      <c r="AC429">
        <f t="shared" si="22"/>
        <v>1.3761264486296569</v>
      </c>
      <c r="AD429">
        <f t="shared" si="23"/>
        <v>3.3039372223778631</v>
      </c>
      <c r="AE429">
        <f t="shared" si="24"/>
        <v>1.5144181198091251</v>
      </c>
      <c r="AF429">
        <f t="shared" si="25"/>
        <v>4.4195225265924822</v>
      </c>
      <c r="AG429">
        <f t="shared" si="26"/>
        <v>2.78851500650635</v>
      </c>
      <c r="AH429">
        <f t="shared" si="27"/>
        <v>5.3917744240141472</v>
      </c>
      <c r="AI429">
        <f t="shared" si="28"/>
        <v>3.535190488945227</v>
      </c>
      <c r="AK429">
        <f t="shared" si="29"/>
        <v>2.102253261383157</v>
      </c>
      <c r="AL429">
        <f t="shared" si="30"/>
        <v>0.73684842501534153</v>
      </c>
      <c r="AM429">
        <f t="shared" si="31"/>
        <v>0.73970072137890386</v>
      </c>
      <c r="AN429">
        <f t="shared" si="32"/>
        <v>3.4499347586010121</v>
      </c>
      <c r="AO429">
        <f t="shared" si="33"/>
        <v>0.61226160000078378</v>
      </c>
      <c r="AP429">
        <f t="shared" si="34"/>
        <v>3.3039372223778631</v>
      </c>
      <c r="AQ429">
        <f t="shared" si="35"/>
        <v>0.67591678000753741</v>
      </c>
      <c r="AR429">
        <f t="shared" si="36"/>
        <v>2.3919147843960671</v>
      </c>
      <c r="AS429">
        <f t="shared" si="37"/>
        <v>0.58483853262150665</v>
      </c>
      <c r="AT429">
        <f t="shared" si="38"/>
        <v>5.3917744240141472</v>
      </c>
      <c r="AU429">
        <f t="shared" si="39"/>
        <v>1.9103370607946999</v>
      </c>
    </row>
    <row r="430" spans="1:47" x14ac:dyDescent="0.3">
      <c r="A430">
        <v>24</v>
      </c>
      <c r="B430" t="s">
        <v>72</v>
      </c>
      <c r="C430" t="s">
        <v>65</v>
      </c>
      <c r="D430" t="s">
        <v>66</v>
      </c>
      <c r="F430" s="7">
        <v>0</v>
      </c>
      <c r="G430" s="7">
        <v>0</v>
      </c>
      <c r="H430" s="3">
        <v>0</v>
      </c>
      <c r="I430">
        <f t="shared" si="41"/>
        <v>0</v>
      </c>
      <c r="J430">
        <f t="shared" si="41"/>
        <v>1</v>
      </c>
      <c r="K430">
        <v>3</v>
      </c>
      <c r="L430">
        <v>0</v>
      </c>
      <c r="M430">
        <f t="shared" si="7"/>
        <v>6904071</v>
      </c>
      <c r="N430">
        <f t="shared" si="8"/>
        <v>1996186.6</v>
      </c>
      <c r="O430">
        <f t="shared" si="9"/>
        <v>2014204.2</v>
      </c>
      <c r="P430">
        <f t="shared" si="10"/>
        <v>4053004.4</v>
      </c>
      <c r="Q430">
        <f t="shared" si="11"/>
        <v>759550</v>
      </c>
      <c r="R430">
        <f t="shared" si="12"/>
        <v>10738918.4</v>
      </c>
      <c r="S430">
        <f t="shared" si="13"/>
        <v>943697.6</v>
      </c>
      <c r="T430">
        <f t="shared" si="14"/>
        <v>7483609.4000000004</v>
      </c>
      <c r="U430">
        <f t="shared" si="15"/>
        <v>4253533.5999999996</v>
      </c>
      <c r="V430">
        <f t="shared" si="16"/>
        <v>43890192.200000003</v>
      </c>
      <c r="W430">
        <f t="shared" si="17"/>
        <v>2839996.2</v>
      </c>
      <c r="Y430">
        <f t="shared" si="18"/>
        <v>5.5792168012238106</v>
      </c>
      <c r="Z430">
        <f t="shared" si="19"/>
        <v>1.8793893110239881</v>
      </c>
      <c r="AA430">
        <f t="shared" si="20"/>
        <v>1.8745523029705511</v>
      </c>
      <c r="AB430">
        <f t="shared" si="21"/>
        <v>4.1103654580016151</v>
      </c>
      <c r="AC430">
        <f t="shared" si="22"/>
        <v>1.287869949964807</v>
      </c>
      <c r="AD430">
        <f t="shared" si="23"/>
        <v>7.890123893995769</v>
      </c>
      <c r="AE430">
        <f t="shared" si="24"/>
        <v>1.3746861003106461</v>
      </c>
      <c r="AF430">
        <f t="shared" si="25"/>
        <v>4.3547141756047498</v>
      </c>
      <c r="AG430">
        <f t="shared" si="26"/>
        <v>2.7016268900013531</v>
      </c>
      <c r="AH430">
        <f t="shared" si="27"/>
        <v>16.090350138198119</v>
      </c>
      <c r="AI430">
        <f t="shared" si="28"/>
        <v>3.2972298610140571</v>
      </c>
      <c r="AK430">
        <f t="shared" si="29"/>
        <v>5.5792168012238106</v>
      </c>
      <c r="AL430">
        <f t="shared" si="30"/>
        <v>0.71123779600020498</v>
      </c>
      <c r="AM430">
        <f t="shared" si="31"/>
        <v>0.71400061757303779</v>
      </c>
      <c r="AN430">
        <f t="shared" si="32"/>
        <v>4.1103654580016151</v>
      </c>
      <c r="AO430">
        <f t="shared" si="33"/>
        <v>0.56948466699686828</v>
      </c>
      <c r="AP430">
        <f t="shared" si="34"/>
        <v>7.890123893995769</v>
      </c>
      <c r="AQ430">
        <f t="shared" si="35"/>
        <v>0.56992651455802845</v>
      </c>
      <c r="AR430">
        <f t="shared" si="36"/>
        <v>2.3477656343835411</v>
      </c>
      <c r="AS430">
        <f t="shared" si="37"/>
        <v>0.55864039844600488</v>
      </c>
      <c r="AT430">
        <f t="shared" si="38"/>
        <v>16.090350138198119</v>
      </c>
      <c r="AU430">
        <f t="shared" si="39"/>
        <v>1.566371955373324</v>
      </c>
    </row>
    <row r="431" spans="1:47" x14ac:dyDescent="0.3">
      <c r="A431">
        <v>24</v>
      </c>
      <c r="B431" t="s">
        <v>73</v>
      </c>
      <c r="C431" t="s">
        <v>65</v>
      </c>
      <c r="D431" t="s">
        <v>66</v>
      </c>
      <c r="F431" s="7">
        <v>0</v>
      </c>
      <c r="G431" s="7">
        <v>1</v>
      </c>
      <c r="H431" s="3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>
        <f t="shared" si="7"/>
        <v>1297565.2</v>
      </c>
      <c r="N431">
        <f t="shared" si="8"/>
        <v>5590503.7999999998</v>
      </c>
      <c r="O431">
        <f t="shared" si="9"/>
        <v>6221150.2000000002</v>
      </c>
      <c r="P431">
        <f t="shared" si="10"/>
        <v>962221.8</v>
      </c>
      <c r="Q431">
        <f t="shared" si="11"/>
        <v>5738462.5999999996</v>
      </c>
      <c r="R431">
        <f t="shared" si="12"/>
        <v>840370</v>
      </c>
      <c r="S431">
        <f t="shared" si="13"/>
        <v>6096867.4000000004</v>
      </c>
      <c r="T431">
        <f t="shared" si="14"/>
        <v>3530230</v>
      </c>
      <c r="U431">
        <f t="shared" si="15"/>
        <v>3882255</v>
      </c>
      <c r="V431">
        <f t="shared" si="16"/>
        <v>3234570.4</v>
      </c>
      <c r="W431">
        <f t="shared" si="17"/>
        <v>9972709.5999999996</v>
      </c>
      <c r="Y431">
        <f t="shared" si="18"/>
        <v>1.5322433036053551</v>
      </c>
      <c r="Z431">
        <f t="shared" si="19"/>
        <v>4.6285508893663074</v>
      </c>
      <c r="AA431">
        <f t="shared" si="20"/>
        <v>4.9877071014372634</v>
      </c>
      <c r="AB431">
        <f t="shared" si="21"/>
        <v>1.584057154197944</v>
      </c>
      <c r="AC431">
        <f t="shared" si="22"/>
        <v>5.5614670427690722</v>
      </c>
      <c r="AD431">
        <f t="shared" si="23"/>
        <v>1.158267263800371</v>
      </c>
      <c r="AE431">
        <f t="shared" si="24"/>
        <v>4.3554114585625943</v>
      </c>
      <c r="AF431">
        <f t="shared" si="25"/>
        <v>1.4594753703684551</v>
      </c>
      <c r="AG431">
        <f t="shared" si="26"/>
        <v>2.496211720944848</v>
      </c>
      <c r="AH431">
        <f t="shared" si="27"/>
        <v>3.7654075426049531</v>
      </c>
      <c r="AI431">
        <f t="shared" si="28"/>
        <v>12.83027978665195</v>
      </c>
      <c r="AK431">
        <f t="shared" si="29"/>
        <v>1.5322433036053551</v>
      </c>
      <c r="AL431">
        <f t="shared" si="30"/>
        <v>1.821200734388549</v>
      </c>
      <c r="AM431">
        <f t="shared" si="31"/>
        <v>2.19294622921152</v>
      </c>
      <c r="AN431">
        <f t="shared" si="32"/>
        <v>1.584057154197944</v>
      </c>
      <c r="AO431">
        <f t="shared" si="33"/>
        <v>2.5375866396003399</v>
      </c>
      <c r="AP431">
        <f t="shared" si="34"/>
        <v>1.158267263800371</v>
      </c>
      <c r="AQ431">
        <f t="shared" si="35"/>
        <v>1.831324407388456</v>
      </c>
      <c r="AR431">
        <f t="shared" si="36"/>
        <v>0.75913349817274134</v>
      </c>
      <c r="AS431">
        <f t="shared" si="37"/>
        <v>0.55999845417682081</v>
      </c>
      <c r="AT431">
        <f t="shared" si="38"/>
        <v>3.7654075426049531</v>
      </c>
      <c r="AU431">
        <f t="shared" si="39"/>
        <v>9.5205874869949181</v>
      </c>
    </row>
    <row r="432" spans="1:47" x14ac:dyDescent="0.3">
      <c r="A432">
        <v>24</v>
      </c>
      <c r="B432" t="s">
        <v>74</v>
      </c>
      <c r="C432" t="s">
        <v>75</v>
      </c>
      <c r="D432" t="s">
        <v>66</v>
      </c>
      <c r="F432" s="7">
        <v>0</v>
      </c>
      <c r="G432" s="7">
        <v>0</v>
      </c>
      <c r="H432" s="3">
        <v>0</v>
      </c>
      <c r="I432">
        <f t="shared" si="41"/>
        <v>0</v>
      </c>
      <c r="J432">
        <f t="shared" si="41"/>
        <v>1</v>
      </c>
      <c r="K432">
        <v>3</v>
      </c>
      <c r="L432">
        <v>0</v>
      </c>
      <c r="M432">
        <f t="shared" si="7"/>
        <v>1465680.2</v>
      </c>
      <c r="N432">
        <f t="shared" si="8"/>
        <v>5992022.4000000004</v>
      </c>
      <c r="O432">
        <f t="shared" si="9"/>
        <v>6600829</v>
      </c>
      <c r="P432">
        <f t="shared" si="10"/>
        <v>2004888.8</v>
      </c>
      <c r="Q432">
        <f t="shared" si="11"/>
        <v>5939480.5999999996</v>
      </c>
      <c r="R432">
        <f t="shared" si="12"/>
        <v>1414445.2</v>
      </c>
      <c r="S432">
        <f t="shared" si="13"/>
        <v>6599989.7999999998</v>
      </c>
      <c r="T432">
        <f t="shared" si="14"/>
        <v>3393315.6</v>
      </c>
      <c r="U432">
        <f t="shared" si="15"/>
        <v>3868766.8</v>
      </c>
      <c r="V432">
        <f t="shared" si="16"/>
        <v>7725292.4000000004</v>
      </c>
      <c r="W432">
        <f t="shared" si="17"/>
        <v>11541162.199999999</v>
      </c>
      <c r="Y432">
        <f t="shared" si="18"/>
        <v>1.861848116992042</v>
      </c>
      <c r="Z432">
        <f t="shared" si="19"/>
        <v>4.9674278675229289</v>
      </c>
      <c r="AA432">
        <f t="shared" si="20"/>
        <v>5.3452082307310773</v>
      </c>
      <c r="AB432">
        <f t="shared" si="21"/>
        <v>2.9217387457902082</v>
      </c>
      <c r="AC432">
        <f t="shared" si="22"/>
        <v>6.30943013659562</v>
      </c>
      <c r="AD432">
        <f t="shared" si="23"/>
        <v>1.480782668793108</v>
      </c>
      <c r="AE432">
        <f t="shared" si="24"/>
        <v>4.5842264658189382</v>
      </c>
      <c r="AF432">
        <f t="shared" si="25"/>
        <v>1.321313021192327</v>
      </c>
      <c r="AG432">
        <f t="shared" si="26"/>
        <v>2.5116834107786419</v>
      </c>
      <c r="AH432">
        <f t="shared" si="27"/>
        <v>5.5219533706083892</v>
      </c>
      <c r="AI432">
        <f t="shared" si="28"/>
        <v>13.13344436703483</v>
      </c>
      <c r="AK432">
        <f t="shared" si="29"/>
        <v>1.861848116992042</v>
      </c>
      <c r="AL432">
        <f t="shared" si="30"/>
        <v>1.9590936589753261</v>
      </c>
      <c r="AM432">
        <f t="shared" si="31"/>
        <v>2.3366019257693549</v>
      </c>
      <c r="AN432">
        <f t="shared" si="32"/>
        <v>2.9217387457902082</v>
      </c>
      <c r="AO432">
        <f t="shared" si="33"/>
        <v>3.099472499196418</v>
      </c>
      <c r="AP432">
        <f t="shared" si="34"/>
        <v>1.480782668793108</v>
      </c>
      <c r="AQ432">
        <f t="shared" si="35"/>
        <v>1.758913789398503</v>
      </c>
      <c r="AR432">
        <f t="shared" si="36"/>
        <v>0.68710941958706828</v>
      </c>
      <c r="AS432">
        <f t="shared" si="37"/>
        <v>0.57423141357721763</v>
      </c>
      <c r="AT432">
        <f t="shared" si="38"/>
        <v>5.5219533706083892</v>
      </c>
      <c r="AU432">
        <f t="shared" si="39"/>
        <v>9.5020538747892722</v>
      </c>
    </row>
    <row r="433" spans="1:47" x14ac:dyDescent="0.3">
      <c r="A433">
        <v>24</v>
      </c>
      <c r="B433" t="s">
        <v>76</v>
      </c>
      <c r="C433" t="s">
        <v>75</v>
      </c>
      <c r="D433" t="s">
        <v>66</v>
      </c>
      <c r="F433" s="7">
        <v>0</v>
      </c>
      <c r="G433" s="7">
        <v>1</v>
      </c>
      <c r="H433" s="3">
        <v>0</v>
      </c>
      <c r="I433">
        <f t="shared" ref="I433:J448" si="42">I52</f>
        <v>0</v>
      </c>
      <c r="J433">
        <f t="shared" si="42"/>
        <v>1</v>
      </c>
      <c r="K433">
        <v>3</v>
      </c>
      <c r="L433">
        <v>0</v>
      </c>
      <c r="M433">
        <f t="shared" si="7"/>
        <v>7040893.2000000002</v>
      </c>
      <c r="N433">
        <f t="shared" si="8"/>
        <v>1976134.8</v>
      </c>
      <c r="O433">
        <f t="shared" si="9"/>
        <v>2004510.2</v>
      </c>
      <c r="P433">
        <f t="shared" si="10"/>
        <v>6888278.7999999998</v>
      </c>
      <c r="Q433">
        <f t="shared" si="11"/>
        <v>839369</v>
      </c>
      <c r="R433">
        <f t="shared" si="12"/>
        <v>15975768.6</v>
      </c>
      <c r="S433">
        <f t="shared" si="13"/>
        <v>1062903.2</v>
      </c>
      <c r="T433">
        <f t="shared" si="14"/>
        <v>7598860.4000000004</v>
      </c>
      <c r="U433">
        <f t="shared" si="15"/>
        <v>4303944.4000000004</v>
      </c>
      <c r="V433">
        <f t="shared" si="16"/>
        <v>20961509</v>
      </c>
      <c r="W433">
        <f t="shared" si="17"/>
        <v>2647887.4</v>
      </c>
      <c r="Y433">
        <f t="shared" si="18"/>
        <v>5.3923703755950552</v>
      </c>
      <c r="Z433">
        <f t="shared" si="19"/>
        <v>1.842803465586621</v>
      </c>
      <c r="AA433">
        <f t="shared" si="20"/>
        <v>1.8432434330694381</v>
      </c>
      <c r="AB433">
        <f t="shared" si="21"/>
        <v>5.8948070557962637</v>
      </c>
      <c r="AC433">
        <f t="shared" si="22"/>
        <v>1.354931629775092</v>
      </c>
      <c r="AD433">
        <f t="shared" si="23"/>
        <v>11.030469641997479</v>
      </c>
      <c r="AE433">
        <f t="shared" si="24"/>
        <v>1.4074665306368841</v>
      </c>
      <c r="AF433">
        <f t="shared" si="25"/>
        <v>4.3977052083821038</v>
      </c>
      <c r="AG433">
        <f t="shared" si="26"/>
        <v>2.7383545761113059</v>
      </c>
      <c r="AH433">
        <f t="shared" si="27"/>
        <v>8.9970373118063431</v>
      </c>
      <c r="AI433">
        <f t="shared" si="28"/>
        <v>3.2286614071228539</v>
      </c>
      <c r="AK433">
        <f t="shared" si="29"/>
        <v>5.3923703755950552</v>
      </c>
      <c r="AL433">
        <f t="shared" si="30"/>
        <v>0.6811291566118598</v>
      </c>
      <c r="AM433">
        <f t="shared" si="31"/>
        <v>0.69010983217740429</v>
      </c>
      <c r="AN433">
        <f t="shared" si="32"/>
        <v>5.8948070557962637</v>
      </c>
      <c r="AO433">
        <f t="shared" si="33"/>
        <v>0.56899174619466064</v>
      </c>
      <c r="AP433">
        <f t="shared" si="34"/>
        <v>11.030469641997479</v>
      </c>
      <c r="AQ433">
        <f t="shared" si="35"/>
        <v>0.62492158861132341</v>
      </c>
      <c r="AR433">
        <f t="shared" si="36"/>
        <v>2.3901146465679628</v>
      </c>
      <c r="AS433">
        <f t="shared" si="37"/>
        <v>0.5714106356375851</v>
      </c>
      <c r="AT433">
        <f t="shared" si="38"/>
        <v>8.9970373118063431</v>
      </c>
      <c r="AU433">
        <f t="shared" si="39"/>
        <v>1.530521003960166</v>
      </c>
    </row>
    <row r="434" spans="1:47" x14ac:dyDescent="0.3">
      <c r="A434">
        <v>24</v>
      </c>
      <c r="B434" t="s">
        <v>77</v>
      </c>
      <c r="C434" t="s">
        <v>75</v>
      </c>
      <c r="D434" t="s">
        <v>66</v>
      </c>
      <c r="F434" s="7">
        <v>0</v>
      </c>
      <c r="G434" s="7">
        <v>1</v>
      </c>
      <c r="H434" s="3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1884901</v>
      </c>
      <c r="O434">
        <f t="shared" si="9"/>
        <v>1876718.2</v>
      </c>
      <c r="P434">
        <f t="shared" si="10"/>
        <v>4808313.4000000004</v>
      </c>
      <c r="Q434">
        <f t="shared" si="11"/>
        <v>887823.2</v>
      </c>
      <c r="R434">
        <f t="shared" si="12"/>
        <v>4566077.4000000004</v>
      </c>
      <c r="S434">
        <f t="shared" si="13"/>
        <v>1184733.6000000001</v>
      </c>
      <c r="T434">
        <f t="shared" si="14"/>
        <v>7454517.4000000004</v>
      </c>
      <c r="U434">
        <f t="shared" si="15"/>
        <v>4294696.4000000004</v>
      </c>
      <c r="V434">
        <f t="shared" si="16"/>
        <v>13585854.4</v>
      </c>
      <c r="W434">
        <f t="shared" si="17"/>
        <v>2257997.4</v>
      </c>
      <c r="Y434">
        <f t="shared" si="18"/>
        <v>2.514250120194629</v>
      </c>
      <c r="Z434">
        <f t="shared" si="19"/>
        <v>1.848383845563512</v>
      </c>
      <c r="AA434">
        <f t="shared" si="20"/>
        <v>1.8269477246212771</v>
      </c>
      <c r="AB434">
        <f t="shared" si="21"/>
        <v>2.984383491805056</v>
      </c>
      <c r="AC434">
        <f t="shared" si="22"/>
        <v>1.4641773421783</v>
      </c>
      <c r="AD434">
        <f t="shared" si="23"/>
        <v>3.3800594892003568</v>
      </c>
      <c r="AE434">
        <f t="shared" si="24"/>
        <v>1.343457896227483</v>
      </c>
      <c r="AF434">
        <f t="shared" si="25"/>
        <v>4.3167146519990638</v>
      </c>
      <c r="AG434">
        <f t="shared" si="26"/>
        <v>2.7300957739935261</v>
      </c>
      <c r="AH434">
        <f t="shared" si="27"/>
        <v>6.494515864201821</v>
      </c>
      <c r="AI434">
        <f t="shared" si="28"/>
        <v>3.4798975840327331</v>
      </c>
      <c r="AK434">
        <f t="shared" si="29"/>
        <v>2.514250120194629</v>
      </c>
      <c r="AL434">
        <f t="shared" si="30"/>
        <v>0.68744857079582289</v>
      </c>
      <c r="AM434">
        <f t="shared" si="31"/>
        <v>0.67320189963793386</v>
      </c>
      <c r="AN434">
        <f t="shared" si="32"/>
        <v>2.984383491805056</v>
      </c>
      <c r="AO434">
        <f t="shared" si="33"/>
        <v>0.58029067098395903</v>
      </c>
      <c r="AP434">
        <f t="shared" si="34"/>
        <v>3.3800594892003568</v>
      </c>
      <c r="AQ434">
        <f t="shared" si="35"/>
        <v>0.54497044441523035</v>
      </c>
      <c r="AR434">
        <f t="shared" si="36"/>
        <v>2.3251977700041611</v>
      </c>
      <c r="AS434">
        <f t="shared" si="37"/>
        <v>0.5636757296510041</v>
      </c>
      <c r="AT434">
        <f t="shared" si="38"/>
        <v>6.494515864201821</v>
      </c>
      <c r="AU434">
        <f t="shared" si="39"/>
        <v>1.8735903445864099</v>
      </c>
    </row>
    <row r="435" spans="1:47" x14ac:dyDescent="0.3">
      <c r="A435">
        <v>24</v>
      </c>
      <c r="B435" t="s">
        <v>78</v>
      </c>
      <c r="C435" t="s">
        <v>75</v>
      </c>
      <c r="D435" t="s">
        <v>66</v>
      </c>
      <c r="F435" s="7">
        <v>0</v>
      </c>
      <c r="G435" s="7">
        <v>0</v>
      </c>
      <c r="H435" s="3">
        <v>0</v>
      </c>
      <c r="I435">
        <f t="shared" si="42"/>
        <v>0</v>
      </c>
      <c r="J435">
        <f t="shared" si="42"/>
        <v>1</v>
      </c>
      <c r="K435">
        <v>3</v>
      </c>
      <c r="L435">
        <v>0</v>
      </c>
      <c r="M435">
        <f t="shared" si="7"/>
        <v>414114.2</v>
      </c>
      <c r="N435">
        <f t="shared" si="8"/>
        <v>6016041.2000000002</v>
      </c>
      <c r="O435">
        <f t="shared" si="9"/>
        <v>6184164.7999999998</v>
      </c>
      <c r="P435">
        <f t="shared" si="10"/>
        <v>355969</v>
      </c>
      <c r="Q435">
        <f t="shared" si="11"/>
        <v>6159425.2000000002</v>
      </c>
      <c r="R435">
        <f t="shared" si="12"/>
        <v>185834.8</v>
      </c>
      <c r="S435">
        <f t="shared" si="13"/>
        <v>7151927.2000000002</v>
      </c>
      <c r="T435">
        <f t="shared" si="14"/>
        <v>3528815.8</v>
      </c>
      <c r="U435">
        <f t="shared" si="15"/>
        <v>3936779.4</v>
      </c>
      <c r="V435">
        <f t="shared" si="16"/>
        <v>708200.2</v>
      </c>
      <c r="W435">
        <f t="shared" si="17"/>
        <v>11324861.6</v>
      </c>
      <c r="Y435">
        <f t="shared" si="18"/>
        <v>0.77918909660074864</v>
      </c>
      <c r="Z435">
        <f t="shared" si="19"/>
        <v>4.9519085906329563</v>
      </c>
      <c r="AA435">
        <f t="shared" si="20"/>
        <v>5.0217261653859167</v>
      </c>
      <c r="AB435">
        <f t="shared" si="21"/>
        <v>0.8100274110096507</v>
      </c>
      <c r="AC435">
        <f t="shared" si="22"/>
        <v>5.8305480990209606</v>
      </c>
      <c r="AD435">
        <f t="shared" si="23"/>
        <v>0.32678078720346088</v>
      </c>
      <c r="AE435">
        <f t="shared" si="24"/>
        <v>4.7211990595911626</v>
      </c>
      <c r="AF435">
        <f t="shared" si="25"/>
        <v>1.4739836696418931</v>
      </c>
      <c r="AG435">
        <f t="shared" si="26"/>
        <v>2.554100408637896</v>
      </c>
      <c r="AH435">
        <f t="shared" si="27"/>
        <v>1.92940665219212</v>
      </c>
      <c r="AI435">
        <f t="shared" si="28"/>
        <v>14.83473644539481</v>
      </c>
      <c r="AK435">
        <f t="shared" si="29"/>
        <v>0.77918909660074864</v>
      </c>
      <c r="AL435">
        <f t="shared" si="30"/>
        <v>2.4364672156167222</v>
      </c>
      <c r="AM435">
        <f t="shared" si="31"/>
        <v>2.5092468564282169</v>
      </c>
      <c r="AN435">
        <f t="shared" si="32"/>
        <v>0.8100274110096507</v>
      </c>
      <c r="AO435">
        <f t="shared" si="33"/>
        <v>3.1904509494081141</v>
      </c>
      <c r="AP435">
        <f t="shared" si="34"/>
        <v>0.32678078720346088</v>
      </c>
      <c r="AQ435">
        <f t="shared" si="35"/>
        <v>2.5379836030188021</v>
      </c>
      <c r="AR435">
        <f t="shared" si="36"/>
        <v>0.76647441304521635</v>
      </c>
      <c r="AS435">
        <f t="shared" si="37"/>
        <v>0.6199029401759617</v>
      </c>
      <c r="AT435">
        <f t="shared" si="38"/>
        <v>1.92940665219212</v>
      </c>
      <c r="AU435">
        <f t="shared" si="39"/>
        <v>12.394444969389591</v>
      </c>
    </row>
    <row r="436" spans="1:47" x14ac:dyDescent="0.3">
      <c r="A436">
        <v>24</v>
      </c>
      <c r="B436" t="s">
        <v>79</v>
      </c>
      <c r="C436" t="s">
        <v>75</v>
      </c>
      <c r="D436" t="s">
        <v>66</v>
      </c>
      <c r="F436" s="7">
        <v>0</v>
      </c>
      <c r="G436" s="7">
        <v>1</v>
      </c>
      <c r="H436" s="3">
        <v>0</v>
      </c>
      <c r="I436">
        <f t="shared" si="42"/>
        <v>0</v>
      </c>
      <c r="J436">
        <f t="shared" si="42"/>
        <v>1</v>
      </c>
      <c r="K436">
        <v>3</v>
      </c>
      <c r="L436">
        <v>0</v>
      </c>
      <c r="M436">
        <f t="shared" si="7"/>
        <v>328897.59999999998</v>
      </c>
      <c r="N436">
        <f t="shared" si="8"/>
        <v>6006067.5999999996</v>
      </c>
      <c r="O436">
        <f t="shared" si="9"/>
        <v>6058045.4000000004</v>
      </c>
      <c r="P436">
        <f t="shared" si="10"/>
        <v>235216.4</v>
      </c>
      <c r="Q436">
        <f t="shared" si="11"/>
        <v>7402034</v>
      </c>
      <c r="R436">
        <f t="shared" si="12"/>
        <v>67910.8</v>
      </c>
      <c r="S436">
        <f t="shared" si="13"/>
        <v>7594684.2000000002</v>
      </c>
      <c r="T436">
        <f t="shared" si="14"/>
        <v>3395854.4</v>
      </c>
      <c r="U436">
        <f t="shared" si="15"/>
        <v>3911157.2</v>
      </c>
      <c r="V436">
        <f t="shared" si="16"/>
        <v>335678.2</v>
      </c>
      <c r="W436">
        <f t="shared" si="17"/>
        <v>13070692.199999999</v>
      </c>
      <c r="Y436">
        <f t="shared" si="18"/>
        <v>0.6644083174061961</v>
      </c>
      <c r="Z436">
        <f t="shared" si="19"/>
        <v>5.1342710784170773</v>
      </c>
      <c r="AA436">
        <f t="shared" si="20"/>
        <v>5.1285397778265178</v>
      </c>
      <c r="AB436">
        <f t="shared" si="21"/>
        <v>0.67254301119828597</v>
      </c>
      <c r="AC436">
        <f t="shared" si="22"/>
        <v>6.5710855214041661</v>
      </c>
      <c r="AD436">
        <f t="shared" si="23"/>
        <v>0.16668115700595079</v>
      </c>
      <c r="AE436">
        <f t="shared" si="24"/>
        <v>5.5708028916269541</v>
      </c>
      <c r="AF436">
        <f t="shared" si="25"/>
        <v>1.318546923808753</v>
      </c>
      <c r="AG436">
        <f t="shared" si="26"/>
        <v>2.5195303986431101</v>
      </c>
      <c r="AH436">
        <f t="shared" si="27"/>
        <v>1.2645105713978411</v>
      </c>
      <c r="AI436">
        <f t="shared" si="28"/>
        <v>15.772875270759689</v>
      </c>
      <c r="AK436">
        <f t="shared" si="29"/>
        <v>0.6644083174061961</v>
      </c>
      <c r="AL436">
        <f t="shared" si="30"/>
        <v>2.6120564130367709</v>
      </c>
      <c r="AM436">
        <f t="shared" si="31"/>
        <v>2.6068296535871922</v>
      </c>
      <c r="AN436">
        <f t="shared" si="32"/>
        <v>0.67254301119828597</v>
      </c>
      <c r="AO436">
        <f t="shared" si="33"/>
        <v>2.9003609276027418</v>
      </c>
      <c r="AP436">
        <f t="shared" si="34"/>
        <v>0.16668115700595079</v>
      </c>
      <c r="AQ436">
        <f t="shared" si="35"/>
        <v>3.416785896231886</v>
      </c>
      <c r="AR436">
        <f t="shared" si="36"/>
        <v>0.68224895698949695</v>
      </c>
      <c r="AS436">
        <f t="shared" si="37"/>
        <v>0.59015313225099819</v>
      </c>
      <c r="AT436">
        <f t="shared" si="38"/>
        <v>1.2645105713978411</v>
      </c>
      <c r="AU436">
        <f t="shared" si="39"/>
        <v>12.95856265637558</v>
      </c>
    </row>
    <row r="437" spans="1:47" x14ac:dyDescent="0.3">
      <c r="A437">
        <v>24</v>
      </c>
      <c r="B437" t="s">
        <v>80</v>
      </c>
      <c r="C437" t="s">
        <v>75</v>
      </c>
      <c r="D437" t="s">
        <v>66</v>
      </c>
      <c r="F437" s="7">
        <v>0</v>
      </c>
      <c r="G437" s="7">
        <v>0</v>
      </c>
      <c r="H437" s="3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1797739.2</v>
      </c>
      <c r="O437">
        <f t="shared" si="9"/>
        <v>1828093.8</v>
      </c>
      <c r="P437">
        <f t="shared" si="10"/>
        <v>7568929</v>
      </c>
      <c r="Q437">
        <f t="shared" si="11"/>
        <v>709877</v>
      </c>
      <c r="R437">
        <f t="shared" si="12"/>
        <v>5117375.4000000004</v>
      </c>
      <c r="S437">
        <f t="shared" si="13"/>
        <v>1529571</v>
      </c>
      <c r="T437">
        <f t="shared" si="14"/>
        <v>7570115.2000000002</v>
      </c>
      <c r="U437">
        <f t="shared" si="15"/>
        <v>4349478</v>
      </c>
      <c r="V437">
        <f t="shared" si="16"/>
        <v>9604938.1999999993</v>
      </c>
      <c r="W437">
        <f t="shared" si="17"/>
        <v>2662738.6</v>
      </c>
      <c r="Y437">
        <f t="shared" si="18"/>
        <v>2.0760668801958668</v>
      </c>
      <c r="Z437">
        <f t="shared" si="19"/>
        <v>1.822077368025202</v>
      </c>
      <c r="AA437">
        <f t="shared" si="20"/>
        <v>1.8254990523681049</v>
      </c>
      <c r="AB437">
        <f t="shared" si="21"/>
        <v>3.4519343684019992</v>
      </c>
      <c r="AC437">
        <f t="shared" si="22"/>
        <v>1.3659455198096111</v>
      </c>
      <c r="AD437">
        <f t="shared" si="23"/>
        <v>3.3086392579949462</v>
      </c>
      <c r="AE437">
        <f t="shared" si="24"/>
        <v>1.5181532499613239</v>
      </c>
      <c r="AF437">
        <f t="shared" si="25"/>
        <v>4.4520970200072041</v>
      </c>
      <c r="AG437">
        <f t="shared" si="26"/>
        <v>2.803572625597007</v>
      </c>
      <c r="AH437">
        <f t="shared" si="27"/>
        <v>5.3075657973997297</v>
      </c>
      <c r="AI437">
        <f t="shared" si="28"/>
        <v>3.435683502594475</v>
      </c>
      <c r="AK437">
        <f t="shared" si="29"/>
        <v>2.0760668801958668</v>
      </c>
      <c r="AL437">
        <f t="shared" si="30"/>
        <v>0.74048918880289416</v>
      </c>
      <c r="AM437">
        <f t="shared" si="31"/>
        <v>0.75036710900021719</v>
      </c>
      <c r="AN437">
        <f t="shared" si="32"/>
        <v>3.4519343684019992</v>
      </c>
      <c r="AO437">
        <f t="shared" si="33"/>
        <v>0.6159764812095091</v>
      </c>
      <c r="AP437">
        <f t="shared" si="34"/>
        <v>3.3086392579949462</v>
      </c>
      <c r="AQ437">
        <f t="shared" si="35"/>
        <v>0.67598785960581154</v>
      </c>
      <c r="AR437">
        <f t="shared" si="36"/>
        <v>2.4076633835909891</v>
      </c>
      <c r="AS437">
        <f t="shared" si="37"/>
        <v>0.58699422816280278</v>
      </c>
      <c r="AT437">
        <f t="shared" si="38"/>
        <v>5.3075657973997297</v>
      </c>
      <c r="AU437">
        <f t="shared" si="39"/>
        <v>1.843694011610933</v>
      </c>
    </row>
    <row r="438" spans="1:47" x14ac:dyDescent="0.3">
      <c r="A438">
        <v>24</v>
      </c>
      <c r="B438" t="s">
        <v>81</v>
      </c>
      <c r="C438" t="s">
        <v>75</v>
      </c>
      <c r="D438" t="s">
        <v>66</v>
      </c>
      <c r="F438" s="7">
        <v>0</v>
      </c>
      <c r="G438" s="7">
        <v>0</v>
      </c>
      <c r="H438" s="3">
        <v>0</v>
      </c>
      <c r="I438">
        <f t="shared" si="42"/>
        <v>0</v>
      </c>
      <c r="J438">
        <f t="shared" si="42"/>
        <v>1</v>
      </c>
      <c r="K438">
        <v>3</v>
      </c>
      <c r="L438">
        <v>0</v>
      </c>
      <c r="M438">
        <f t="shared" si="7"/>
        <v>6904071</v>
      </c>
      <c r="N438">
        <f t="shared" si="8"/>
        <v>1996186.6</v>
      </c>
      <c r="O438">
        <f t="shared" si="9"/>
        <v>2014204.2</v>
      </c>
      <c r="P438">
        <f t="shared" si="10"/>
        <v>4053004.4</v>
      </c>
      <c r="Q438">
        <f t="shared" si="11"/>
        <v>759550</v>
      </c>
      <c r="R438">
        <f t="shared" si="12"/>
        <v>10738918.4</v>
      </c>
      <c r="S438">
        <f t="shared" si="13"/>
        <v>943697.6</v>
      </c>
      <c r="T438">
        <f t="shared" si="14"/>
        <v>7483609.4000000004</v>
      </c>
      <c r="U438">
        <f t="shared" si="15"/>
        <v>4253533.5999999996</v>
      </c>
      <c r="V438">
        <f t="shared" si="16"/>
        <v>43890192.200000003</v>
      </c>
      <c r="W438">
        <f t="shared" si="17"/>
        <v>2839996.2</v>
      </c>
      <c r="Y438">
        <f t="shared" si="18"/>
        <v>5.6198922085925007</v>
      </c>
      <c r="Z438">
        <f t="shared" si="19"/>
        <v>1.8990763028035871</v>
      </c>
      <c r="AA438">
        <f t="shared" si="20"/>
        <v>1.881822699331678</v>
      </c>
      <c r="AB438">
        <f t="shared" si="21"/>
        <v>4.1171102266060187</v>
      </c>
      <c r="AC438">
        <f t="shared" si="22"/>
        <v>1.243325025995728</v>
      </c>
      <c r="AD438">
        <f t="shared" si="23"/>
        <v>8.0108321953914121</v>
      </c>
      <c r="AE438">
        <f t="shared" si="24"/>
        <v>1.401037230074871</v>
      </c>
      <c r="AF438">
        <f t="shared" si="25"/>
        <v>4.3502841889741832</v>
      </c>
      <c r="AG438">
        <f t="shared" si="26"/>
        <v>2.719788894709199</v>
      </c>
      <c r="AH438">
        <f t="shared" si="27"/>
        <v>16.049553153594029</v>
      </c>
      <c r="AI438">
        <f t="shared" si="28"/>
        <v>3.2163415404036639</v>
      </c>
      <c r="AK438">
        <f t="shared" si="29"/>
        <v>5.6198922085925007</v>
      </c>
      <c r="AL438">
        <f t="shared" si="30"/>
        <v>0.7184106901753694</v>
      </c>
      <c r="AM438">
        <f t="shared" si="31"/>
        <v>0.71514677597442644</v>
      </c>
      <c r="AN438">
        <f t="shared" si="32"/>
        <v>4.1171102266060187</v>
      </c>
      <c r="AO438">
        <f t="shared" si="33"/>
        <v>0.54161536140018141</v>
      </c>
      <c r="AP438">
        <f t="shared" si="34"/>
        <v>8.0108321953914121</v>
      </c>
      <c r="AQ438">
        <f t="shared" si="35"/>
        <v>0.58433372562285513</v>
      </c>
      <c r="AR438">
        <f t="shared" si="36"/>
        <v>2.343239914183505</v>
      </c>
      <c r="AS438">
        <f t="shared" si="37"/>
        <v>0.57161720376461744</v>
      </c>
      <c r="AT438">
        <f t="shared" si="38"/>
        <v>16.049553153594029</v>
      </c>
      <c r="AU438">
        <f t="shared" si="39"/>
        <v>1.526065446203575</v>
      </c>
    </row>
    <row r="439" spans="1:47" x14ac:dyDescent="0.3">
      <c r="A439">
        <v>24</v>
      </c>
      <c r="B439" t="s">
        <v>82</v>
      </c>
      <c r="C439" t="s">
        <v>75</v>
      </c>
      <c r="D439" t="s">
        <v>66</v>
      </c>
      <c r="F439" s="7">
        <v>0</v>
      </c>
      <c r="G439" s="7">
        <v>1</v>
      </c>
      <c r="H439" s="3">
        <v>0</v>
      </c>
      <c r="I439">
        <f t="shared" si="42"/>
        <v>0</v>
      </c>
      <c r="J439">
        <f t="shared" si="42"/>
        <v>1</v>
      </c>
      <c r="K439">
        <v>3</v>
      </c>
      <c r="L439">
        <v>0</v>
      </c>
      <c r="M439">
        <f t="shared" si="7"/>
        <v>1297565.2</v>
      </c>
      <c r="N439">
        <f t="shared" si="8"/>
        <v>5590503.7999999998</v>
      </c>
      <c r="O439">
        <f t="shared" si="9"/>
        <v>6221150.2000000002</v>
      </c>
      <c r="P439">
        <f t="shared" si="10"/>
        <v>962221.8</v>
      </c>
      <c r="Q439">
        <f t="shared" si="11"/>
        <v>5738462.5999999996</v>
      </c>
      <c r="R439">
        <f t="shared" si="12"/>
        <v>840370</v>
      </c>
      <c r="S439">
        <f t="shared" si="13"/>
        <v>6096867.4000000004</v>
      </c>
      <c r="T439">
        <f t="shared" si="14"/>
        <v>3530230</v>
      </c>
      <c r="U439">
        <f t="shared" si="15"/>
        <v>3882255</v>
      </c>
      <c r="V439">
        <f t="shared" si="16"/>
        <v>3234570.4</v>
      </c>
      <c r="W439">
        <f t="shared" si="17"/>
        <v>9972709.5999999996</v>
      </c>
      <c r="Y439">
        <f t="shared" si="18"/>
        <v>1.6101251087966379</v>
      </c>
      <c r="Z439">
        <f t="shared" si="19"/>
        <v>4.6331241680076349</v>
      </c>
      <c r="AA439">
        <f t="shared" si="20"/>
        <v>5.0160113166552041</v>
      </c>
      <c r="AB439">
        <f t="shared" si="21"/>
        <v>1.5657116741931529</v>
      </c>
      <c r="AC439">
        <f t="shared" si="22"/>
        <v>5.469029417214915</v>
      </c>
      <c r="AD439">
        <f t="shared" si="23"/>
        <v>1.156565344217233</v>
      </c>
      <c r="AE439">
        <f t="shared" si="24"/>
        <v>4.4205508390092287</v>
      </c>
      <c r="AF439">
        <f t="shared" si="25"/>
        <v>1.469855338009074</v>
      </c>
      <c r="AG439">
        <f t="shared" si="26"/>
        <v>2.5232849020743742</v>
      </c>
      <c r="AH439">
        <f t="shared" si="27"/>
        <v>3.7276116537977941</v>
      </c>
      <c r="AI439">
        <f t="shared" si="28"/>
        <v>12.09687779435189</v>
      </c>
      <c r="AK439">
        <f t="shared" si="29"/>
        <v>1.6101251087966379</v>
      </c>
      <c r="AL439">
        <f t="shared" si="30"/>
        <v>1.8149053826113231</v>
      </c>
      <c r="AM439">
        <f t="shared" si="31"/>
        <v>2.213398933620192</v>
      </c>
      <c r="AN439">
        <f t="shared" si="32"/>
        <v>1.5657116741931529</v>
      </c>
      <c r="AO439">
        <f t="shared" si="33"/>
        <v>2.490949966589687</v>
      </c>
      <c r="AP439">
        <f t="shared" si="34"/>
        <v>1.156565344217233</v>
      </c>
      <c r="AQ439">
        <f t="shared" si="35"/>
        <v>1.854991611384321</v>
      </c>
      <c r="AR439">
        <f t="shared" si="36"/>
        <v>0.76345814041560511</v>
      </c>
      <c r="AS439">
        <f t="shared" si="37"/>
        <v>0.56937649102183063</v>
      </c>
      <c r="AT439">
        <f t="shared" si="38"/>
        <v>3.7276116537977941</v>
      </c>
      <c r="AU439">
        <f t="shared" si="39"/>
        <v>8.8627511644037433</v>
      </c>
    </row>
    <row r="440" spans="1:47" x14ac:dyDescent="0.3">
      <c r="A440">
        <v>4</v>
      </c>
      <c r="B440" t="s">
        <v>83</v>
      </c>
      <c r="C440" t="s">
        <v>84</v>
      </c>
      <c r="D440" t="s">
        <v>66</v>
      </c>
      <c r="F440" s="7">
        <v>0</v>
      </c>
      <c r="G440" s="7">
        <v>0</v>
      </c>
      <c r="H440" s="3">
        <v>0</v>
      </c>
      <c r="I440">
        <f t="shared" si="42"/>
        <v>0</v>
      </c>
      <c r="J440">
        <f t="shared" si="42"/>
        <v>1</v>
      </c>
      <c r="K440">
        <v>3</v>
      </c>
      <c r="L440">
        <v>0</v>
      </c>
      <c r="M440">
        <f t="shared" si="7"/>
        <v>1465680.2</v>
      </c>
      <c r="N440">
        <f t="shared" si="8"/>
        <v>5992022.4000000004</v>
      </c>
      <c r="O440">
        <f t="shared" si="9"/>
        <v>6600829</v>
      </c>
      <c r="P440">
        <f t="shared" si="10"/>
        <v>2004888.8</v>
      </c>
      <c r="Q440">
        <f t="shared" si="11"/>
        <v>5939480.5999999996</v>
      </c>
      <c r="R440">
        <f t="shared" si="12"/>
        <v>1414445.2</v>
      </c>
      <c r="S440">
        <f t="shared" si="13"/>
        <v>6599989.7999999998</v>
      </c>
      <c r="T440">
        <f t="shared" si="14"/>
        <v>3393315.6</v>
      </c>
      <c r="U440">
        <f t="shared" si="15"/>
        <v>3868766.8</v>
      </c>
      <c r="V440">
        <f t="shared" si="16"/>
        <v>7725292.4000000004</v>
      </c>
      <c r="W440">
        <f t="shared" si="17"/>
        <v>11541162.199999999</v>
      </c>
      <c r="Y440">
        <f t="shared" si="18"/>
        <v>1.852980109804776</v>
      </c>
      <c r="Z440">
        <f t="shared" si="19"/>
        <v>4.9658713991986589</v>
      </c>
      <c r="AA440">
        <f t="shared" si="20"/>
        <v>5.4603030823869627</v>
      </c>
      <c r="AB440">
        <f t="shared" si="21"/>
        <v>2.8556105109921188</v>
      </c>
      <c r="AC440">
        <f t="shared" si="22"/>
        <v>6.1718279957829507</v>
      </c>
      <c r="AD440">
        <f t="shared" si="23"/>
        <v>1.584580976818688</v>
      </c>
      <c r="AE440">
        <f t="shared" si="24"/>
        <v>4.8855842666118408</v>
      </c>
      <c r="AF440">
        <f t="shared" si="25"/>
        <v>1.4099335210397841</v>
      </c>
      <c r="AG440">
        <f t="shared" si="26"/>
        <v>2.6658545426325868</v>
      </c>
      <c r="AH440">
        <f t="shared" si="27"/>
        <v>5.5185252860072067</v>
      </c>
      <c r="AI440">
        <f t="shared" si="28"/>
        <v>12.763302848034069</v>
      </c>
      <c r="AK440">
        <f t="shared" si="29"/>
        <v>1.852980109804776</v>
      </c>
      <c r="AL440">
        <f t="shared" si="30"/>
        <v>1.958926202601287</v>
      </c>
      <c r="AM440">
        <f t="shared" si="31"/>
        <v>2.4199905965710058</v>
      </c>
      <c r="AN440">
        <f t="shared" si="32"/>
        <v>2.8556105109921188</v>
      </c>
      <c r="AO440">
        <f t="shared" si="33"/>
        <v>3.0177456459903622</v>
      </c>
      <c r="AP440">
        <f t="shared" si="34"/>
        <v>1.584580976818688</v>
      </c>
      <c r="AQ440">
        <f t="shared" si="35"/>
        <v>1.8628703737864269</v>
      </c>
      <c r="AR440">
        <f t="shared" si="36"/>
        <v>0.73153897882439201</v>
      </c>
      <c r="AS440">
        <f t="shared" si="37"/>
        <v>0.60478533662389966</v>
      </c>
      <c r="AT440">
        <f t="shared" si="38"/>
        <v>5.5185252860072067</v>
      </c>
      <c r="AU440">
        <f t="shared" si="39"/>
        <v>9.1233023436274383</v>
      </c>
    </row>
    <row r="441" spans="1:47" x14ac:dyDescent="0.3">
      <c r="A441">
        <v>4</v>
      </c>
      <c r="B441" t="s">
        <v>85</v>
      </c>
      <c r="C441" t="s">
        <v>84</v>
      </c>
      <c r="D441" t="s">
        <v>66</v>
      </c>
      <c r="F441" s="7">
        <v>0</v>
      </c>
      <c r="G441" s="7">
        <v>1</v>
      </c>
      <c r="H441" s="3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1976134.8</v>
      </c>
      <c r="O441">
        <f t="shared" si="9"/>
        <v>2004510.2</v>
      </c>
      <c r="P441">
        <f t="shared" si="10"/>
        <v>6888278.7999999998</v>
      </c>
      <c r="Q441">
        <f t="shared" si="11"/>
        <v>839369</v>
      </c>
      <c r="R441">
        <f t="shared" si="12"/>
        <v>15975768.6</v>
      </c>
      <c r="S441">
        <f t="shared" si="13"/>
        <v>1062903.2</v>
      </c>
      <c r="T441">
        <f t="shared" si="14"/>
        <v>7598860.4000000004</v>
      </c>
      <c r="U441">
        <f t="shared" si="15"/>
        <v>4303944.4000000004</v>
      </c>
      <c r="V441">
        <f t="shared" si="16"/>
        <v>20961509</v>
      </c>
      <c r="W441">
        <f t="shared" si="17"/>
        <v>2647887.4</v>
      </c>
      <c r="Y441">
        <f t="shared" si="18"/>
        <v>5.2371350714005533</v>
      </c>
      <c r="Z441">
        <f t="shared" si="19"/>
        <v>1.7581262569990941</v>
      </c>
      <c r="AA441">
        <f t="shared" si="20"/>
        <v>1.7981374509981829</v>
      </c>
      <c r="AB441">
        <f t="shared" si="21"/>
        <v>5.8834421547886446</v>
      </c>
      <c r="AC441">
        <f t="shared" si="22"/>
        <v>1.3508893594029361</v>
      </c>
      <c r="AD441">
        <f t="shared" si="23"/>
        <v>11.12903211818775</v>
      </c>
      <c r="AE441">
        <f t="shared" si="24"/>
        <v>1.4016938380198549</v>
      </c>
      <c r="AF441">
        <f t="shared" si="25"/>
        <v>4.4742156681953933</v>
      </c>
      <c r="AG441">
        <f t="shared" si="26"/>
        <v>2.7499106295057572</v>
      </c>
      <c r="AH441">
        <f t="shared" si="27"/>
        <v>9.0806452428107143</v>
      </c>
      <c r="AI441">
        <f t="shared" si="28"/>
        <v>3.1742283833678808</v>
      </c>
      <c r="AK441">
        <f t="shared" si="29"/>
        <v>5.2371350714005533</v>
      </c>
      <c r="AL441">
        <f t="shared" si="30"/>
        <v>0.65601732560899106</v>
      </c>
      <c r="AM441">
        <f t="shared" si="31"/>
        <v>0.68432415296556426</v>
      </c>
      <c r="AN441">
        <f t="shared" si="32"/>
        <v>5.8834421547886446</v>
      </c>
      <c r="AO441">
        <f t="shared" si="33"/>
        <v>0.568691276415484</v>
      </c>
      <c r="AP441">
        <f t="shared" si="34"/>
        <v>11.12903211818775</v>
      </c>
      <c r="AQ441">
        <f t="shared" si="35"/>
        <v>0.62654452302958819</v>
      </c>
      <c r="AR441">
        <f t="shared" si="36"/>
        <v>2.4325849191984159</v>
      </c>
      <c r="AS441">
        <f t="shared" si="37"/>
        <v>0.57124752562958747</v>
      </c>
      <c r="AT441">
        <f t="shared" si="38"/>
        <v>9.0806452428107143</v>
      </c>
      <c r="AU441">
        <f t="shared" si="39"/>
        <v>1.451102233002894</v>
      </c>
    </row>
    <row r="442" spans="1:47" x14ac:dyDescent="0.3">
      <c r="A442">
        <v>4</v>
      </c>
      <c r="B442" t="s">
        <v>86</v>
      </c>
      <c r="C442" t="s">
        <v>84</v>
      </c>
      <c r="D442" t="s">
        <v>66</v>
      </c>
      <c r="F442" s="7">
        <v>0</v>
      </c>
      <c r="G442" s="7">
        <v>1</v>
      </c>
      <c r="H442" s="3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1884901</v>
      </c>
      <c r="O442">
        <f t="shared" si="9"/>
        <v>1876718.2</v>
      </c>
      <c r="P442">
        <f t="shared" si="10"/>
        <v>4808313.4000000004</v>
      </c>
      <c r="Q442">
        <f t="shared" si="11"/>
        <v>887823.2</v>
      </c>
      <c r="R442">
        <f t="shared" si="12"/>
        <v>4566077.4000000004</v>
      </c>
      <c r="S442">
        <f t="shared" si="13"/>
        <v>1184733.6000000001</v>
      </c>
      <c r="T442">
        <f t="shared" si="14"/>
        <v>7454517.4000000004</v>
      </c>
      <c r="U442">
        <f t="shared" si="15"/>
        <v>4294696.4000000004</v>
      </c>
      <c r="V442">
        <f t="shared" si="16"/>
        <v>13585854.4</v>
      </c>
      <c r="W442">
        <f t="shared" si="17"/>
        <v>2257997.4</v>
      </c>
      <c r="Y442">
        <f t="shared" si="18"/>
        <v>2.4913524838048029</v>
      </c>
      <c r="Z442">
        <f t="shared" si="19"/>
        <v>1.804234944807831</v>
      </c>
      <c r="AA442">
        <f t="shared" si="20"/>
        <v>1.7979220818262549</v>
      </c>
      <c r="AB442">
        <f t="shared" si="21"/>
        <v>3.0061286589945668</v>
      </c>
      <c r="AC442">
        <f t="shared" si="22"/>
        <v>1.4790160034142901</v>
      </c>
      <c r="AD442">
        <f t="shared" si="23"/>
        <v>3.6858016301994212</v>
      </c>
      <c r="AE442">
        <f t="shared" si="24"/>
        <v>1.4501011868123901</v>
      </c>
      <c r="AF442">
        <f t="shared" si="25"/>
        <v>4.7223932879744099</v>
      </c>
      <c r="AG442">
        <f t="shared" si="26"/>
        <v>2.9593284759204841</v>
      </c>
      <c r="AH442">
        <f t="shared" si="27"/>
        <v>6.5633137025870383</v>
      </c>
      <c r="AI442">
        <f t="shared" si="28"/>
        <v>3.4484742219909088</v>
      </c>
      <c r="AK442">
        <f t="shared" si="29"/>
        <v>2.4913524838048029</v>
      </c>
      <c r="AL442">
        <f t="shared" si="30"/>
        <v>0.67428937080549078</v>
      </c>
      <c r="AM442">
        <f t="shared" si="31"/>
        <v>0.66626704103546219</v>
      </c>
      <c r="AN442">
        <f t="shared" si="32"/>
        <v>3.0061286589945668</v>
      </c>
      <c r="AO442">
        <f t="shared" si="33"/>
        <v>0.58416199599741958</v>
      </c>
      <c r="AP442">
        <f t="shared" si="34"/>
        <v>3.6858016301994212</v>
      </c>
      <c r="AQ442">
        <f t="shared" si="35"/>
        <v>0.58998628981644285</v>
      </c>
      <c r="AR442">
        <f t="shared" si="36"/>
        <v>2.544337447592989</v>
      </c>
      <c r="AS442">
        <f t="shared" si="37"/>
        <v>0.61115568603854631</v>
      </c>
      <c r="AT442">
        <f t="shared" si="38"/>
        <v>6.5633137025870383</v>
      </c>
      <c r="AU442">
        <f t="shared" si="39"/>
        <v>1.798199409409426</v>
      </c>
    </row>
    <row r="443" spans="1:47" x14ac:dyDescent="0.3">
      <c r="A443">
        <v>4</v>
      </c>
      <c r="B443" t="s">
        <v>87</v>
      </c>
      <c r="C443" t="s">
        <v>84</v>
      </c>
      <c r="D443" t="s">
        <v>66</v>
      </c>
      <c r="F443" s="7">
        <v>0</v>
      </c>
      <c r="G443" s="7">
        <v>0</v>
      </c>
      <c r="H443" s="3">
        <v>0</v>
      </c>
      <c r="I443">
        <f t="shared" si="42"/>
        <v>0</v>
      </c>
      <c r="J443">
        <f t="shared" si="42"/>
        <v>1</v>
      </c>
      <c r="K443">
        <v>3</v>
      </c>
      <c r="L443">
        <v>0</v>
      </c>
      <c r="M443">
        <f t="shared" si="7"/>
        <v>414114.2</v>
      </c>
      <c r="N443">
        <f t="shared" si="8"/>
        <v>6016041.2000000002</v>
      </c>
      <c r="O443">
        <f t="shared" si="9"/>
        <v>6184164.7999999998</v>
      </c>
      <c r="P443">
        <f t="shared" si="10"/>
        <v>355969</v>
      </c>
      <c r="Q443">
        <f t="shared" si="11"/>
        <v>6159425.2000000002</v>
      </c>
      <c r="R443">
        <f t="shared" si="12"/>
        <v>185834.8</v>
      </c>
      <c r="S443">
        <f t="shared" si="13"/>
        <v>7151927.2000000002</v>
      </c>
      <c r="T443">
        <f t="shared" si="14"/>
        <v>3528815.8</v>
      </c>
      <c r="U443">
        <f t="shared" si="15"/>
        <v>3936779.4</v>
      </c>
      <c r="V443">
        <f t="shared" si="16"/>
        <v>708200.2</v>
      </c>
      <c r="W443">
        <f t="shared" si="17"/>
        <v>11324861.6</v>
      </c>
      <c r="Y443">
        <f t="shared" si="18"/>
        <v>0.75550211661029609</v>
      </c>
      <c r="Z443">
        <f t="shared" si="19"/>
        <v>4.8748564623878341</v>
      </c>
      <c r="AA443">
        <f t="shared" si="20"/>
        <v>5.0331236432306472</v>
      </c>
      <c r="AB443">
        <f t="shared" si="21"/>
        <v>0.80775008500786494</v>
      </c>
      <c r="AC443">
        <f t="shared" si="22"/>
        <v>5.9288788031786677</v>
      </c>
      <c r="AD443">
        <f t="shared" si="23"/>
        <v>0.36586246720980847</v>
      </c>
      <c r="AE443">
        <f t="shared" si="24"/>
        <v>5.1352349471650083</v>
      </c>
      <c r="AF443">
        <f t="shared" si="25"/>
        <v>1.613457374391146</v>
      </c>
      <c r="AG443">
        <f t="shared" si="26"/>
        <v>2.8068084615049882</v>
      </c>
      <c r="AH443">
        <f t="shared" si="27"/>
        <v>1.9681562105775809</v>
      </c>
      <c r="AI443">
        <f t="shared" si="28"/>
        <v>14.4753073824686</v>
      </c>
      <c r="AK443">
        <f t="shared" si="29"/>
        <v>0.75550211661029609</v>
      </c>
      <c r="AL443">
        <f t="shared" si="30"/>
        <v>2.395715302799363</v>
      </c>
      <c r="AM443">
        <f t="shared" si="31"/>
        <v>2.5202674579923041</v>
      </c>
      <c r="AN443">
        <f t="shared" si="32"/>
        <v>0.80775008500786494</v>
      </c>
      <c r="AO443">
        <f t="shared" si="33"/>
        <v>3.2486561589990739</v>
      </c>
      <c r="AP443">
        <f t="shared" si="34"/>
        <v>0.36586246720980847</v>
      </c>
      <c r="AQ443">
        <f t="shared" si="35"/>
        <v>2.7577830805908889</v>
      </c>
      <c r="AR443">
        <f t="shared" si="36"/>
        <v>0.84113803259097042</v>
      </c>
      <c r="AS443">
        <f t="shared" si="37"/>
        <v>0.67579438603715969</v>
      </c>
      <c r="AT443">
        <f t="shared" si="38"/>
        <v>1.9681562105775809</v>
      </c>
      <c r="AU443">
        <f t="shared" si="39"/>
        <v>12.019069159799249</v>
      </c>
    </row>
    <row r="444" spans="1:47" x14ac:dyDescent="0.3">
      <c r="A444">
        <v>4</v>
      </c>
      <c r="B444" t="s">
        <v>88</v>
      </c>
      <c r="C444" t="s">
        <v>84</v>
      </c>
      <c r="D444" t="s">
        <v>66</v>
      </c>
      <c r="F444" s="7">
        <v>0</v>
      </c>
      <c r="G444" s="7">
        <v>1</v>
      </c>
      <c r="H444" s="3">
        <v>0</v>
      </c>
      <c r="I444">
        <f t="shared" si="42"/>
        <v>0</v>
      </c>
      <c r="J444">
        <f t="shared" si="42"/>
        <v>1</v>
      </c>
      <c r="K444">
        <v>3</v>
      </c>
      <c r="L444">
        <v>0</v>
      </c>
      <c r="M444">
        <f t="shared" si="7"/>
        <v>328897.59999999998</v>
      </c>
      <c r="N444">
        <f t="shared" si="8"/>
        <v>6006067.5999999996</v>
      </c>
      <c r="O444">
        <f t="shared" si="9"/>
        <v>6058045.4000000004</v>
      </c>
      <c r="P444">
        <f t="shared" si="10"/>
        <v>235216.4</v>
      </c>
      <c r="Q444">
        <f t="shared" si="11"/>
        <v>7402034</v>
      </c>
      <c r="R444">
        <f t="shared" si="12"/>
        <v>67910.8</v>
      </c>
      <c r="S444">
        <f t="shared" si="13"/>
        <v>7594684.2000000002</v>
      </c>
      <c r="T444">
        <f t="shared" si="14"/>
        <v>3395854.4</v>
      </c>
      <c r="U444">
        <f t="shared" si="15"/>
        <v>3911157.2</v>
      </c>
      <c r="V444">
        <f t="shared" si="16"/>
        <v>335678.2</v>
      </c>
      <c r="W444">
        <f t="shared" si="17"/>
        <v>13070692.199999999</v>
      </c>
      <c r="Y444">
        <f t="shared" si="18"/>
        <v>0.62650261180242528</v>
      </c>
      <c r="Z444">
        <f t="shared" si="19"/>
        <v>5.0816692085820252</v>
      </c>
      <c r="AA444">
        <f t="shared" si="20"/>
        <v>5.2155775596504101</v>
      </c>
      <c r="AB444">
        <f t="shared" si="21"/>
        <v>0.6793691262020729</v>
      </c>
      <c r="AC444">
        <f t="shared" si="22"/>
        <v>6.6812509448034687</v>
      </c>
      <c r="AD444">
        <f t="shared" si="23"/>
        <v>0.1859424957889132</v>
      </c>
      <c r="AE444">
        <f t="shared" si="24"/>
        <v>6.2368062524124976</v>
      </c>
      <c r="AF444">
        <f t="shared" si="25"/>
        <v>1.428545520419721</v>
      </c>
      <c r="AG444">
        <f t="shared" si="26"/>
        <v>2.7319978047045881</v>
      </c>
      <c r="AH444">
        <f t="shared" si="27"/>
        <v>1.297965485800523</v>
      </c>
      <c r="AI444">
        <f t="shared" si="28"/>
        <v>16.02409418096067</v>
      </c>
      <c r="AK444">
        <f t="shared" si="29"/>
        <v>0.62650261180242528</v>
      </c>
      <c r="AL444">
        <f t="shared" si="30"/>
        <v>2.5806161335902291</v>
      </c>
      <c r="AM444">
        <f t="shared" si="31"/>
        <v>2.6516870290506631</v>
      </c>
      <c r="AN444">
        <f t="shared" si="32"/>
        <v>0.6793691262020729</v>
      </c>
      <c r="AO444">
        <f t="shared" si="33"/>
        <v>2.9527191762055738</v>
      </c>
      <c r="AP444">
        <f t="shared" si="34"/>
        <v>0.1859424957889132</v>
      </c>
      <c r="AQ444">
        <f t="shared" si="35"/>
        <v>3.8552146344096401</v>
      </c>
      <c r="AR444">
        <f t="shared" si="36"/>
        <v>0.74030909200664607</v>
      </c>
      <c r="AS444">
        <f t="shared" si="37"/>
        <v>0.63657381618395448</v>
      </c>
      <c r="AT444">
        <f t="shared" si="38"/>
        <v>1.297965485800523</v>
      </c>
      <c r="AU444">
        <f t="shared" si="39"/>
        <v>13.171860517165619</v>
      </c>
    </row>
    <row r="445" spans="1:47" x14ac:dyDescent="0.3">
      <c r="A445">
        <v>4</v>
      </c>
      <c r="B445" t="s">
        <v>89</v>
      </c>
      <c r="C445" t="s">
        <v>84</v>
      </c>
      <c r="D445" t="s">
        <v>66</v>
      </c>
      <c r="F445" s="7">
        <v>0</v>
      </c>
      <c r="G445" s="7">
        <v>0</v>
      </c>
      <c r="H445" s="3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1797739.2</v>
      </c>
      <c r="O445">
        <f t="shared" si="9"/>
        <v>1828093.8</v>
      </c>
      <c r="P445">
        <f t="shared" si="10"/>
        <v>7568929</v>
      </c>
      <c r="Q445">
        <f t="shared" si="11"/>
        <v>709877</v>
      </c>
      <c r="R445">
        <f t="shared" si="12"/>
        <v>5117375.4000000004</v>
      </c>
      <c r="S445">
        <f t="shared" si="13"/>
        <v>1529571</v>
      </c>
      <c r="T445">
        <f t="shared" si="14"/>
        <v>7570115.2000000002</v>
      </c>
      <c r="U445">
        <f t="shared" si="15"/>
        <v>4349478</v>
      </c>
      <c r="V445">
        <f t="shared" si="16"/>
        <v>9604938.1999999993</v>
      </c>
      <c r="W445">
        <f t="shared" si="17"/>
        <v>2662738.6</v>
      </c>
      <c r="Y445">
        <f t="shared" si="18"/>
        <v>2.067423978203442</v>
      </c>
      <c r="Z445">
        <f t="shared" si="19"/>
        <v>1.792047650180757</v>
      </c>
      <c r="AA445">
        <f t="shared" si="20"/>
        <v>1.796184053760953</v>
      </c>
      <c r="AB445">
        <f t="shared" si="21"/>
        <v>3.4529617463995241</v>
      </c>
      <c r="AC445">
        <f t="shared" si="22"/>
        <v>1.347167909209384</v>
      </c>
      <c r="AD445">
        <f t="shared" si="23"/>
        <v>3.852846790791955</v>
      </c>
      <c r="AE445">
        <f t="shared" si="24"/>
        <v>1.66451699322788</v>
      </c>
      <c r="AF445">
        <f t="shared" si="25"/>
        <v>4.9451758176321174</v>
      </c>
      <c r="AG445">
        <f t="shared" si="26"/>
        <v>3.075745622743852</v>
      </c>
      <c r="AH445">
        <f t="shared" si="27"/>
        <v>5.5257938806083988</v>
      </c>
      <c r="AI445">
        <f t="shared" si="28"/>
        <v>3.5013044682214969</v>
      </c>
      <c r="AK445">
        <f t="shared" si="29"/>
        <v>2.067423978203442</v>
      </c>
      <c r="AL445">
        <f t="shared" si="30"/>
        <v>0.7382363533601165</v>
      </c>
      <c r="AM445">
        <f t="shared" si="31"/>
        <v>0.74205850019352515</v>
      </c>
      <c r="AN445">
        <f t="shared" si="32"/>
        <v>3.4529617463995241</v>
      </c>
      <c r="AO445">
        <f t="shared" si="33"/>
        <v>0.59979289761395194</v>
      </c>
      <c r="AP445">
        <f t="shared" si="34"/>
        <v>3.852846790791955</v>
      </c>
      <c r="AQ445">
        <f t="shared" si="35"/>
        <v>0.74133263962576168</v>
      </c>
      <c r="AR445">
        <f t="shared" si="36"/>
        <v>2.6708225990296341</v>
      </c>
      <c r="AS445">
        <f t="shared" si="37"/>
        <v>0.63710553054697816</v>
      </c>
      <c r="AT445">
        <f t="shared" si="38"/>
        <v>5.5257938806083988</v>
      </c>
      <c r="AU445">
        <f t="shared" si="39"/>
        <v>1.8494153066305441</v>
      </c>
    </row>
    <row r="446" spans="1:47" x14ac:dyDescent="0.3">
      <c r="A446">
        <v>4</v>
      </c>
      <c r="B446" t="s">
        <v>90</v>
      </c>
      <c r="C446" t="s">
        <v>84</v>
      </c>
      <c r="D446" t="s">
        <v>66</v>
      </c>
      <c r="F446" s="7">
        <v>0</v>
      </c>
      <c r="G446" s="7">
        <v>0</v>
      </c>
      <c r="H446" s="3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1996186.6</v>
      </c>
      <c r="O446">
        <f t="shared" si="9"/>
        <v>2014204.2</v>
      </c>
      <c r="P446">
        <f t="shared" si="10"/>
        <v>4053004.4</v>
      </c>
      <c r="Q446">
        <f t="shared" si="11"/>
        <v>759550</v>
      </c>
      <c r="R446">
        <f t="shared" si="12"/>
        <v>10738918.4</v>
      </c>
      <c r="S446">
        <f t="shared" si="13"/>
        <v>943697.6</v>
      </c>
      <c r="T446">
        <f t="shared" si="14"/>
        <v>7483609.4000000004</v>
      </c>
      <c r="U446">
        <f t="shared" si="15"/>
        <v>4253533.5999999996</v>
      </c>
      <c r="V446">
        <f t="shared" si="16"/>
        <v>43890192.200000003</v>
      </c>
      <c r="W446">
        <f t="shared" si="17"/>
        <v>2839996.2</v>
      </c>
      <c r="Y446">
        <f t="shared" si="18"/>
        <v>5.5476109637878839</v>
      </c>
      <c r="Z446">
        <f t="shared" si="19"/>
        <v>1.8597571186255659</v>
      </c>
      <c r="AA446">
        <f t="shared" si="20"/>
        <v>1.874863942991942</v>
      </c>
      <c r="AB446">
        <f t="shared" si="21"/>
        <v>4.0953788554004857</v>
      </c>
      <c r="AC446">
        <f t="shared" si="22"/>
        <v>1.24118960176711</v>
      </c>
      <c r="AD446">
        <f t="shared" si="23"/>
        <v>8.2599490563850857</v>
      </c>
      <c r="AE446">
        <f t="shared" si="24"/>
        <v>1.4237286469317041</v>
      </c>
      <c r="AF446">
        <f t="shared" si="25"/>
        <v>4.4235696538002234</v>
      </c>
      <c r="AG446">
        <f t="shared" si="26"/>
        <v>2.7377454277477229</v>
      </c>
      <c r="AH446">
        <f t="shared" si="27"/>
        <v>16.003160637011749</v>
      </c>
      <c r="AI446">
        <f t="shared" si="28"/>
        <v>3.2628281719516958</v>
      </c>
      <c r="AK446">
        <f t="shared" si="29"/>
        <v>5.5476109637878839</v>
      </c>
      <c r="AL446">
        <f t="shared" si="30"/>
        <v>0.71010722400387749</v>
      </c>
      <c r="AM446">
        <f t="shared" si="31"/>
        <v>0.71622487918939437</v>
      </c>
      <c r="AN446">
        <f t="shared" si="32"/>
        <v>4.0953788554004857</v>
      </c>
      <c r="AO446">
        <f t="shared" si="33"/>
        <v>0.54818448178702961</v>
      </c>
      <c r="AP446">
        <f t="shared" si="34"/>
        <v>8.2599490563850857</v>
      </c>
      <c r="AQ446">
        <f t="shared" si="35"/>
        <v>0.59771475258748974</v>
      </c>
      <c r="AR446">
        <f t="shared" si="36"/>
        <v>2.3828701917896979</v>
      </c>
      <c r="AS446">
        <f t="shared" si="37"/>
        <v>0.57513231096090744</v>
      </c>
      <c r="AT446">
        <f t="shared" si="38"/>
        <v>16.003160637011749</v>
      </c>
      <c r="AU446">
        <f t="shared" si="39"/>
        <v>1.5160779281752179</v>
      </c>
    </row>
    <row r="447" spans="1:47" x14ac:dyDescent="0.3">
      <c r="A447">
        <v>4</v>
      </c>
      <c r="B447" t="s">
        <v>91</v>
      </c>
      <c r="C447" t="s">
        <v>84</v>
      </c>
      <c r="D447" t="s">
        <v>66</v>
      </c>
      <c r="F447" s="7">
        <v>0</v>
      </c>
      <c r="G447" s="7">
        <v>1</v>
      </c>
      <c r="H447" s="3">
        <v>0</v>
      </c>
      <c r="I447">
        <f t="shared" si="42"/>
        <v>0</v>
      </c>
      <c r="J447">
        <f t="shared" si="42"/>
        <v>1</v>
      </c>
      <c r="K447">
        <v>3</v>
      </c>
      <c r="L447">
        <v>0</v>
      </c>
      <c r="M447">
        <f t="shared" si="7"/>
        <v>1297565.2</v>
      </c>
      <c r="N447">
        <f t="shared" si="8"/>
        <v>5590503.7999999998</v>
      </c>
      <c r="O447">
        <f t="shared" si="9"/>
        <v>6221150.2000000002</v>
      </c>
      <c r="P447">
        <f t="shared" si="10"/>
        <v>962221.8</v>
      </c>
      <c r="Q447">
        <f t="shared" si="11"/>
        <v>5738462.5999999996</v>
      </c>
      <c r="R447">
        <f t="shared" si="12"/>
        <v>840370</v>
      </c>
      <c r="S447">
        <f t="shared" si="13"/>
        <v>6096867.4000000004</v>
      </c>
      <c r="T447">
        <f t="shared" si="14"/>
        <v>3530230</v>
      </c>
      <c r="U447">
        <f t="shared" si="15"/>
        <v>3882255</v>
      </c>
      <c r="V447">
        <f t="shared" si="16"/>
        <v>3234570.4</v>
      </c>
      <c r="W447">
        <f t="shared" si="17"/>
        <v>9972709.5999999996</v>
      </c>
      <c r="Y447">
        <f t="shared" si="18"/>
        <v>1.5145473518059589</v>
      </c>
      <c r="Z447">
        <f t="shared" si="19"/>
        <v>4.597114262776449</v>
      </c>
      <c r="AA447">
        <f t="shared" si="20"/>
        <v>5.0912134347599931</v>
      </c>
      <c r="AB447">
        <f t="shared" si="21"/>
        <v>1.625198471592739</v>
      </c>
      <c r="AC447">
        <f t="shared" si="22"/>
        <v>5.6627088607812768</v>
      </c>
      <c r="AD447">
        <f t="shared" si="23"/>
        <v>1.2780620642006399</v>
      </c>
      <c r="AE447">
        <f t="shared" si="24"/>
        <v>4.8247408838011321</v>
      </c>
      <c r="AF447">
        <f t="shared" si="25"/>
        <v>1.592257653817069</v>
      </c>
      <c r="AG447">
        <f t="shared" si="26"/>
        <v>2.721200279705227</v>
      </c>
      <c r="AH447">
        <f t="shared" si="27"/>
        <v>3.8597402230137958</v>
      </c>
      <c r="AI447">
        <f t="shared" si="28"/>
        <v>12.549538792215751</v>
      </c>
      <c r="AK447">
        <f t="shared" si="29"/>
        <v>1.5145473518059589</v>
      </c>
      <c r="AL447">
        <f t="shared" si="30"/>
        <v>1.814030206587631</v>
      </c>
      <c r="AM447">
        <f t="shared" si="31"/>
        <v>2.256721156369895</v>
      </c>
      <c r="AN447">
        <f t="shared" si="32"/>
        <v>1.625198471592739</v>
      </c>
      <c r="AO447">
        <f t="shared" si="33"/>
        <v>2.582114739605458</v>
      </c>
      <c r="AP447">
        <f t="shared" si="34"/>
        <v>1.2780620642006399</v>
      </c>
      <c r="AQ447">
        <f t="shared" si="35"/>
        <v>2.031409026216715</v>
      </c>
      <c r="AR447">
        <f t="shared" si="36"/>
        <v>0.82758107602130626</v>
      </c>
      <c r="AS447">
        <f t="shared" si="37"/>
        <v>0.61265466598561036</v>
      </c>
      <c r="AT447">
        <f t="shared" si="38"/>
        <v>3.8597402230137958</v>
      </c>
      <c r="AU447">
        <f t="shared" si="39"/>
        <v>9.2167440052260652</v>
      </c>
    </row>
    <row r="448" spans="1:47" x14ac:dyDescent="0.3">
      <c r="A448">
        <v>5</v>
      </c>
      <c r="B448" t="s">
        <v>92</v>
      </c>
      <c r="C448" t="s">
        <v>93</v>
      </c>
      <c r="D448" t="s">
        <v>94</v>
      </c>
      <c r="F448" s="7">
        <v>0</v>
      </c>
      <c r="G448" s="7">
        <v>0</v>
      </c>
      <c r="H448" s="3">
        <v>0</v>
      </c>
      <c r="I448">
        <f t="shared" si="42"/>
        <v>0</v>
      </c>
      <c r="J448">
        <f t="shared" si="42"/>
        <v>1</v>
      </c>
      <c r="K448">
        <v>3</v>
      </c>
      <c r="L448">
        <v>0</v>
      </c>
      <c r="M448">
        <f t="shared" si="7"/>
        <v>208371</v>
      </c>
      <c r="N448">
        <f t="shared" si="8"/>
        <v>16396612.6</v>
      </c>
      <c r="O448">
        <f t="shared" si="9"/>
        <v>16399465</v>
      </c>
      <c r="P448">
        <f t="shared" si="10"/>
        <v>201376.6</v>
      </c>
      <c r="Q448">
        <f t="shared" si="11"/>
        <v>24029609</v>
      </c>
      <c r="R448">
        <f t="shared" si="12"/>
        <v>2603.1999999999998</v>
      </c>
      <c r="S448">
        <f t="shared" si="13"/>
        <v>21454038.399999999</v>
      </c>
      <c r="T448">
        <f t="shared" si="14"/>
        <v>3766247.8</v>
      </c>
      <c r="U448">
        <f t="shared" si="15"/>
        <v>4700986.2</v>
      </c>
      <c r="V448">
        <f t="shared" si="16"/>
        <v>9501</v>
      </c>
      <c r="W448">
        <f t="shared" si="17"/>
        <v>36423229.200000003</v>
      </c>
      <c r="Y448">
        <f t="shared" si="18"/>
        <v>0.41862316719489168</v>
      </c>
      <c r="Z448">
        <f t="shared" si="19"/>
        <v>13.240197510644791</v>
      </c>
      <c r="AA448">
        <f t="shared" si="20"/>
        <v>15.6006648096256</v>
      </c>
      <c r="AB448">
        <f t="shared" si="21"/>
        <v>0.47791331920889207</v>
      </c>
      <c r="AC448">
        <f t="shared" si="22"/>
        <v>19.007429299992509</v>
      </c>
      <c r="AD448">
        <f t="shared" si="23"/>
        <v>9.3256535392720191E-2</v>
      </c>
      <c r="AE448">
        <f t="shared" si="24"/>
        <v>15.90890420308569</v>
      </c>
      <c r="AF448">
        <f t="shared" si="25"/>
        <v>1.5937300106510519</v>
      </c>
      <c r="AG448">
        <f t="shared" si="26"/>
        <v>3.1237803630181591</v>
      </c>
      <c r="AH448">
        <f t="shared" si="27"/>
        <v>3.8777723815292077E-2</v>
      </c>
      <c r="AI448">
        <f t="shared" si="28"/>
        <v>37.393309907813091</v>
      </c>
      <c r="AK448">
        <f t="shared" si="29"/>
        <v>0.41862316719489168</v>
      </c>
      <c r="AL448">
        <f t="shared" si="30"/>
        <v>3.4541477150167341</v>
      </c>
      <c r="AM448">
        <f t="shared" si="31"/>
        <v>3.8570229204022319</v>
      </c>
      <c r="AN448">
        <f t="shared" si="32"/>
        <v>0.47791331920889207</v>
      </c>
      <c r="AO448">
        <f t="shared" si="33"/>
        <v>5.0553357922006397</v>
      </c>
      <c r="AP448">
        <f t="shared" si="34"/>
        <v>9.3256535392720191E-2</v>
      </c>
      <c r="AQ448">
        <f t="shared" si="35"/>
        <v>3.7286403756472279</v>
      </c>
      <c r="AR448">
        <f t="shared" si="36"/>
        <v>0.8866457208525389</v>
      </c>
      <c r="AS448">
        <f t="shared" si="37"/>
        <v>0.65372150014154617</v>
      </c>
      <c r="AT448">
        <f t="shared" si="38"/>
        <v>3.8777723815292077E-2</v>
      </c>
      <c r="AU448">
        <f t="shared" si="39"/>
        <v>27.810299468971792</v>
      </c>
    </row>
    <row r="449" spans="1:47" x14ac:dyDescent="0.3">
      <c r="A449">
        <v>5</v>
      </c>
      <c r="B449" t="s">
        <v>95</v>
      </c>
      <c r="C449" t="s">
        <v>93</v>
      </c>
      <c r="D449" t="s">
        <v>94</v>
      </c>
      <c r="F449" s="7">
        <v>0</v>
      </c>
      <c r="G449" s="7">
        <v>1</v>
      </c>
      <c r="H449" s="3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780470.8</v>
      </c>
      <c r="O449">
        <f t="shared" ref="O449:O512" si="46">IF($AY68 &gt; 0, O68, M68)</f>
        <v>785297.4</v>
      </c>
      <c r="P449">
        <f t="shared" ref="P449:P512" si="47">IF($AY68 &gt; 0, P68, P68)</f>
        <v>11193030.6</v>
      </c>
      <c r="Q449">
        <f t="shared" ref="Q449:Q512" si="48">IF($AY68 &gt; 0, Q68, P68)</f>
        <v>308446.2</v>
      </c>
      <c r="R449">
        <f t="shared" ref="R449:R512" si="49">IF($AY68 &gt; 0, R68, R68)</f>
        <v>7020716.7999999998</v>
      </c>
      <c r="S449">
        <f t="shared" ref="S449:S512" si="50">IF($AY68 &gt; 0, S68, R68)</f>
        <v>343702</v>
      </c>
      <c r="T449">
        <f t="shared" ref="T449:T512" si="51">IF($AY68 &gt; 0, T68, T68)</f>
        <v>5306523.2</v>
      </c>
      <c r="U449">
        <f t="shared" ref="U449:U512" si="52">IF($AY68 &gt; 0, U68, T68)</f>
        <v>3653036.6</v>
      </c>
      <c r="V449">
        <f t="shared" ref="V449:V512" si="53">IF($AY68 &gt; 0, V68, V68)</f>
        <v>8747838.8000000007</v>
      </c>
      <c r="W449">
        <f t="shared" ref="W449:W512" si="54">IF($AY68 &gt; 0, W68, V68)</f>
        <v>396436.8</v>
      </c>
      <c r="Y449">
        <f t="shared" ref="Y449:Y512" si="55">IF($AY68 &gt; 0, Y68, Y68)</f>
        <v>2.7883715435862539</v>
      </c>
      <c r="Z449">
        <f t="shared" ref="Z449:Z512" si="56">IF($AY68 &gt; 0, Z68, Y68)</f>
        <v>1.07971309699351</v>
      </c>
      <c r="AA449">
        <f t="shared" ref="AA449:AA512" si="57">IF($AY68 &gt; 0, AA68, Y68)</f>
        <v>1.086225554056</v>
      </c>
      <c r="AB449">
        <f t="shared" ref="AB449:AB512" si="58">IF($AY68 &gt; 0, AB68, AB68)</f>
        <v>7.6338531057932411</v>
      </c>
      <c r="AC449">
        <f t="shared" ref="AC449:AC512" si="59">IF($AY68 &gt; 0, AC68, AB68)</f>
        <v>0.81167887540068473</v>
      </c>
      <c r="AD449">
        <f t="shared" ref="AD449:AD512" si="60">IF($AY68 &gt; 0, AD68, AD68)</f>
        <v>5.3769689980079418</v>
      </c>
      <c r="AE449">
        <f t="shared" ref="AE449:AE512" si="61">IF($AY68 &gt; 0, AE68, AD68)</f>
        <v>0.82619047783082356</v>
      </c>
      <c r="AF449">
        <f t="shared" ref="AF449:AF512" si="62">IF($AY68 &gt; 0, AF68, AF68)</f>
        <v>3.4780211433884691</v>
      </c>
      <c r="AG449">
        <f t="shared" ref="AG449:AG512" si="63">IF($AY68 &gt; 0, AG68, AF68)</f>
        <v>2.7883326080162081</v>
      </c>
      <c r="AH449">
        <f t="shared" ref="AH449:AH512" si="64">IF($AY68 &gt; 0, AH68, AH68)</f>
        <v>4.8237253115978094</v>
      </c>
      <c r="AI449">
        <f t="shared" ref="AI449:AI512" si="65">IF($AY68 &gt; 0, AI68, AH68)</f>
        <v>1.5744324669474741</v>
      </c>
      <c r="AK449">
        <f t="shared" ref="AK449:AK512" si="66">IF($AY68 &gt; 0, AK68, AK68)</f>
        <v>2.7883715435862539</v>
      </c>
      <c r="AL449">
        <f t="shared" ref="AL449:AL512" si="67">IF($AY68 &gt; 0, AL68, AK68)</f>
        <v>0.46922456461470569</v>
      </c>
      <c r="AM449">
        <f t="shared" ref="AM449:AM512" si="68">IF($AY68 &gt; 0, AM68, AK68)</f>
        <v>0.47160997001919902</v>
      </c>
      <c r="AN449">
        <f t="shared" ref="AN449:AN512" si="69">IF($AY68 &gt; 0, AN68, AN68)</f>
        <v>7.6338531057932411</v>
      </c>
      <c r="AO449">
        <f t="shared" ref="AO449:AO512" si="70">IF($AY68 &gt; 0, AO68, AN68)</f>
        <v>0.39593863621121272</v>
      </c>
      <c r="AP449">
        <f t="shared" ref="AP449:AP512" si="71">IF($AY68 &gt; 0, AP68, AP68)</f>
        <v>5.3769689980079418</v>
      </c>
      <c r="AQ449">
        <f t="shared" ref="AQ449:AQ512" si="72">IF($AY68 &gt; 0, AQ68, AP68)</f>
        <v>0.54147665980271997</v>
      </c>
      <c r="AR449">
        <f t="shared" ref="AR449:AR512" si="73">IF($AY68 &gt; 0, AR68, AR68)</f>
        <v>2.0051984924124548</v>
      </c>
      <c r="AS449">
        <f t="shared" ref="AS449:AS512" si="74">IF($AY68 &gt; 0, AS68, AR68)</f>
        <v>0.55160850117681548</v>
      </c>
      <c r="AT449">
        <f t="shared" ref="AT449:AT512" si="75">IF($AY68 &gt; 0, AT68, AT68)</f>
        <v>4.8237253115978094</v>
      </c>
      <c r="AU449">
        <f t="shared" ref="AU449:AU512" si="76">IF($AY68 &gt; 0, AU68, AT68)</f>
        <v>0.77111481800675397</v>
      </c>
    </row>
    <row r="450" spans="1:47" x14ac:dyDescent="0.3">
      <c r="A450">
        <v>5</v>
      </c>
      <c r="B450" t="s">
        <v>96</v>
      </c>
      <c r="C450" t="s">
        <v>93</v>
      </c>
      <c r="D450" t="s">
        <v>94</v>
      </c>
      <c r="F450" s="7">
        <v>0</v>
      </c>
      <c r="G450" s="7">
        <v>1</v>
      </c>
      <c r="H450" s="3">
        <v>0</v>
      </c>
      <c r="I450">
        <f t="shared" si="43"/>
        <v>0</v>
      </c>
      <c r="J450">
        <f t="shared" si="43"/>
        <v>1</v>
      </c>
      <c r="K450">
        <v>3</v>
      </c>
      <c r="L450">
        <v>0</v>
      </c>
      <c r="M450">
        <f t="shared" si="44"/>
        <v>4442563</v>
      </c>
      <c r="N450">
        <f t="shared" si="45"/>
        <v>1269160.6000000001</v>
      </c>
      <c r="O450">
        <f t="shared" si="46"/>
        <v>1274744.8</v>
      </c>
      <c r="P450">
        <f t="shared" si="47"/>
        <v>16353725.4</v>
      </c>
      <c r="Q450">
        <f t="shared" si="48"/>
        <v>458393</v>
      </c>
      <c r="R450">
        <f t="shared" si="49"/>
        <v>19335396.399999999</v>
      </c>
      <c r="S450">
        <f t="shared" si="50"/>
        <v>449318.40000000002</v>
      </c>
      <c r="T450">
        <f t="shared" si="51"/>
        <v>5298766.8</v>
      </c>
      <c r="U450">
        <f t="shared" si="52"/>
        <v>3637716.6</v>
      </c>
      <c r="V450">
        <f t="shared" si="53"/>
        <v>20741767.199999999</v>
      </c>
      <c r="W450">
        <f t="shared" si="54"/>
        <v>1816447.8</v>
      </c>
      <c r="Y450">
        <f t="shared" si="55"/>
        <v>3.3980458643985911</v>
      </c>
      <c r="Z450">
        <f t="shared" si="56"/>
        <v>1.3691349736880509</v>
      </c>
      <c r="AA450">
        <f t="shared" si="57"/>
        <v>1.3630094210500829</v>
      </c>
      <c r="AB450">
        <f t="shared" si="58"/>
        <v>6.3246162689931227</v>
      </c>
      <c r="AC450">
        <f t="shared" si="59"/>
        <v>1.0033900491893291</v>
      </c>
      <c r="AD450">
        <f t="shared" si="60"/>
        <v>10.8758883537841</v>
      </c>
      <c r="AE450">
        <f t="shared" si="61"/>
        <v>0.86053213261766359</v>
      </c>
      <c r="AF450">
        <f t="shared" si="62"/>
        <v>2.78263853242388</v>
      </c>
      <c r="AG450">
        <f t="shared" si="63"/>
        <v>2.235925899550784</v>
      </c>
      <c r="AH450">
        <f t="shared" si="64"/>
        <v>7.1182307441951709</v>
      </c>
      <c r="AI450">
        <f t="shared" si="65"/>
        <v>2.3943555264151661</v>
      </c>
      <c r="AK450">
        <f t="shared" si="66"/>
        <v>3.3980458643985911</v>
      </c>
      <c r="AL450">
        <f t="shared" si="67"/>
        <v>0.54236930722836407</v>
      </c>
      <c r="AM450">
        <f t="shared" si="68"/>
        <v>0.53926834440790117</v>
      </c>
      <c r="AN450">
        <f t="shared" si="69"/>
        <v>6.3246162689931227</v>
      </c>
      <c r="AO450">
        <f t="shared" si="70"/>
        <v>0.46033931978163312</v>
      </c>
      <c r="AP450">
        <f t="shared" si="71"/>
        <v>10.8758883537841</v>
      </c>
      <c r="AQ450">
        <f t="shared" si="72"/>
        <v>0.46469473261386163</v>
      </c>
      <c r="AR450">
        <f t="shared" si="73"/>
        <v>1.602258529234678</v>
      </c>
      <c r="AS450">
        <f t="shared" si="74"/>
        <v>0.45665496140718459</v>
      </c>
      <c r="AT450">
        <f t="shared" si="75"/>
        <v>7.1182307441951709</v>
      </c>
      <c r="AU450">
        <f t="shared" si="76"/>
        <v>1.0783641247777269</v>
      </c>
    </row>
    <row r="451" spans="1:47" x14ac:dyDescent="0.3">
      <c r="A451">
        <v>5</v>
      </c>
      <c r="B451" t="s">
        <v>97</v>
      </c>
      <c r="C451" t="s">
        <v>93</v>
      </c>
      <c r="D451" t="s">
        <v>94</v>
      </c>
      <c r="F451" s="7">
        <v>0</v>
      </c>
      <c r="G451" s="7">
        <v>0</v>
      </c>
      <c r="H451" s="3">
        <v>0</v>
      </c>
      <c r="I451">
        <f t="shared" si="43"/>
        <v>0</v>
      </c>
      <c r="J451">
        <f t="shared" si="43"/>
        <v>1</v>
      </c>
      <c r="K451">
        <v>3</v>
      </c>
      <c r="L451">
        <v>0</v>
      </c>
      <c r="M451">
        <f t="shared" si="44"/>
        <v>7165620.4000000004</v>
      </c>
      <c r="N451">
        <f t="shared" si="45"/>
        <v>1205098</v>
      </c>
      <c r="O451">
        <f t="shared" si="46"/>
        <v>1215918.8</v>
      </c>
      <c r="P451">
        <f t="shared" si="47"/>
        <v>16705599.6</v>
      </c>
      <c r="Q451">
        <f t="shared" si="48"/>
        <v>545372.19999999995</v>
      </c>
      <c r="R451">
        <f t="shared" si="49"/>
        <v>34420914.200000003</v>
      </c>
      <c r="S451">
        <f t="shared" si="50"/>
        <v>568088</v>
      </c>
      <c r="T451">
        <f t="shared" si="51"/>
        <v>3836925.8</v>
      </c>
      <c r="U451">
        <f t="shared" si="52"/>
        <v>4215874</v>
      </c>
      <c r="V451">
        <f t="shared" si="53"/>
        <v>34501219.600000001</v>
      </c>
      <c r="W451">
        <f t="shared" si="54"/>
        <v>806419.4</v>
      </c>
      <c r="Y451">
        <f t="shared" si="55"/>
        <v>6.5082739271922039</v>
      </c>
      <c r="Z451">
        <f t="shared" si="56"/>
        <v>1.590976247470826</v>
      </c>
      <c r="AA451">
        <f t="shared" si="57"/>
        <v>1.6189582031453029</v>
      </c>
      <c r="AB451">
        <f t="shared" si="58"/>
        <v>17.236642256204501</v>
      </c>
      <c r="AC451">
        <f t="shared" si="59"/>
        <v>1.1027172053582039</v>
      </c>
      <c r="AD451">
        <f t="shared" si="60"/>
        <v>31.904790790192781</v>
      </c>
      <c r="AE451">
        <f t="shared" si="61"/>
        <v>0.96873204445000738</v>
      </c>
      <c r="AF451">
        <f t="shared" si="62"/>
        <v>1.6804887431557289</v>
      </c>
      <c r="AG451">
        <f t="shared" si="63"/>
        <v>2.8140210927231242</v>
      </c>
      <c r="AH451">
        <f t="shared" si="64"/>
        <v>14.93790458540898</v>
      </c>
      <c r="AI451">
        <f t="shared" si="65"/>
        <v>1.9744686308666131</v>
      </c>
      <c r="AK451">
        <f t="shared" si="66"/>
        <v>6.5082739271922039</v>
      </c>
      <c r="AL451">
        <f t="shared" si="67"/>
        <v>0.65079906182363634</v>
      </c>
      <c r="AM451">
        <f t="shared" si="68"/>
        <v>0.67090811119414862</v>
      </c>
      <c r="AN451">
        <f t="shared" si="69"/>
        <v>17.236642256204501</v>
      </c>
      <c r="AO451">
        <f t="shared" si="70"/>
        <v>0.55787175758741792</v>
      </c>
      <c r="AP451">
        <f t="shared" si="71"/>
        <v>31.904790790192781</v>
      </c>
      <c r="AQ451">
        <f t="shared" si="72"/>
        <v>0.56157418662915004</v>
      </c>
      <c r="AR451">
        <f t="shared" si="73"/>
        <v>0.90698727476410568</v>
      </c>
      <c r="AS451">
        <f t="shared" si="74"/>
        <v>0.56365354944719004</v>
      </c>
      <c r="AT451">
        <f t="shared" si="75"/>
        <v>14.93790458540898</v>
      </c>
      <c r="AU451">
        <f t="shared" si="76"/>
        <v>0.94690149540547286</v>
      </c>
    </row>
    <row r="452" spans="1:47" x14ac:dyDescent="0.3">
      <c r="A452">
        <v>5</v>
      </c>
      <c r="B452" t="s">
        <v>98</v>
      </c>
      <c r="C452" t="s">
        <v>93</v>
      </c>
      <c r="D452" t="s">
        <v>94</v>
      </c>
      <c r="F452" s="7">
        <v>0</v>
      </c>
      <c r="G452" s="7">
        <v>1</v>
      </c>
      <c r="H452" s="3">
        <v>0</v>
      </c>
      <c r="I452">
        <f t="shared" si="43"/>
        <v>0</v>
      </c>
      <c r="J452">
        <f t="shared" si="43"/>
        <v>1</v>
      </c>
      <c r="K452">
        <v>3</v>
      </c>
      <c r="L452">
        <v>0</v>
      </c>
      <c r="M452">
        <f t="shared" si="44"/>
        <v>5599438.4000000004</v>
      </c>
      <c r="N452">
        <f t="shared" si="45"/>
        <v>1188660</v>
      </c>
      <c r="O452">
        <f t="shared" si="46"/>
        <v>1192949</v>
      </c>
      <c r="P452">
        <f t="shared" si="47"/>
        <v>21848843.399999999</v>
      </c>
      <c r="Q452">
        <f t="shared" si="48"/>
        <v>472534.6</v>
      </c>
      <c r="R452">
        <f t="shared" si="49"/>
        <v>28067433</v>
      </c>
      <c r="S452">
        <f t="shared" si="50"/>
        <v>435654.2</v>
      </c>
      <c r="T452">
        <f t="shared" si="51"/>
        <v>3793876</v>
      </c>
      <c r="U452">
        <f t="shared" si="52"/>
        <v>4224659.2</v>
      </c>
      <c r="V452">
        <f t="shared" si="53"/>
        <v>24500181.199999999</v>
      </c>
      <c r="W452">
        <f t="shared" si="54"/>
        <v>1351476.8</v>
      </c>
      <c r="Y452">
        <f t="shared" si="55"/>
        <v>5.6195294300094254</v>
      </c>
      <c r="Z452">
        <f t="shared" si="56"/>
        <v>1.62297045661835</v>
      </c>
      <c r="AA452">
        <f t="shared" si="57"/>
        <v>1.631157206790522</v>
      </c>
      <c r="AB452">
        <f t="shared" si="58"/>
        <v>21.822319103602791</v>
      </c>
      <c r="AC452">
        <f t="shared" si="59"/>
        <v>1.002083624788793</v>
      </c>
      <c r="AD452">
        <f t="shared" si="60"/>
        <v>24.214781222399321</v>
      </c>
      <c r="AE452">
        <f t="shared" si="61"/>
        <v>0.83516905620926996</v>
      </c>
      <c r="AF452">
        <f t="shared" si="62"/>
        <v>1.627537781000137</v>
      </c>
      <c r="AG452">
        <f t="shared" si="63"/>
        <v>2.8047998501337128</v>
      </c>
      <c r="AH452">
        <f t="shared" si="64"/>
        <v>11.244123289803969</v>
      </c>
      <c r="AI452">
        <f t="shared" si="65"/>
        <v>2.210594777273946</v>
      </c>
      <c r="AK452">
        <f t="shared" si="66"/>
        <v>5.6195294300094254</v>
      </c>
      <c r="AL452">
        <f t="shared" si="67"/>
        <v>0.66627774381777272</v>
      </c>
      <c r="AM452">
        <f t="shared" si="68"/>
        <v>0.68145866699051116</v>
      </c>
      <c r="AN452">
        <f t="shared" si="69"/>
        <v>21.822319103602791</v>
      </c>
      <c r="AO452">
        <f t="shared" si="70"/>
        <v>0.48189407539903178</v>
      </c>
      <c r="AP452">
        <f t="shared" si="71"/>
        <v>24.214781222399321</v>
      </c>
      <c r="AQ452">
        <f t="shared" si="72"/>
        <v>0.45426578461192552</v>
      </c>
      <c r="AR452">
        <f t="shared" si="73"/>
        <v>0.90743013020837682</v>
      </c>
      <c r="AS452">
        <f t="shared" si="74"/>
        <v>0.55879173777066171</v>
      </c>
      <c r="AT452">
        <f t="shared" si="75"/>
        <v>11.244123289803969</v>
      </c>
      <c r="AU452">
        <f t="shared" si="76"/>
        <v>0.98132250679191202</v>
      </c>
    </row>
    <row r="453" spans="1:47" x14ac:dyDescent="0.3">
      <c r="A453">
        <v>5</v>
      </c>
      <c r="B453" t="s">
        <v>99</v>
      </c>
      <c r="C453" t="s">
        <v>93</v>
      </c>
      <c r="D453" t="s">
        <v>94</v>
      </c>
      <c r="F453" s="7">
        <v>0</v>
      </c>
      <c r="G453" s="7">
        <v>0</v>
      </c>
      <c r="H453" s="3">
        <v>0</v>
      </c>
      <c r="I453">
        <f t="shared" si="43"/>
        <v>0</v>
      </c>
      <c r="J453">
        <f t="shared" si="43"/>
        <v>1</v>
      </c>
      <c r="K453">
        <v>3</v>
      </c>
      <c r="L453">
        <v>0</v>
      </c>
      <c r="M453">
        <f t="shared" si="44"/>
        <v>7172555.4000000004</v>
      </c>
      <c r="N453">
        <f t="shared" si="45"/>
        <v>1430782.8</v>
      </c>
      <c r="O453">
        <f t="shared" si="46"/>
        <v>1440426.8</v>
      </c>
      <c r="P453">
        <f t="shared" si="47"/>
        <v>33690542.200000003</v>
      </c>
      <c r="Q453">
        <f t="shared" si="48"/>
        <v>493046.6</v>
      </c>
      <c r="R453">
        <f t="shared" si="49"/>
        <v>38861470</v>
      </c>
      <c r="S453">
        <f t="shared" si="50"/>
        <v>648254.6</v>
      </c>
      <c r="T453">
        <f t="shared" si="51"/>
        <v>5310778.8</v>
      </c>
      <c r="U453">
        <f t="shared" si="52"/>
        <v>3674256.6</v>
      </c>
      <c r="V453">
        <f t="shared" si="53"/>
        <v>36494432.200000003</v>
      </c>
      <c r="W453">
        <f t="shared" si="54"/>
        <v>1144092.6000000001</v>
      </c>
      <c r="Y453">
        <f t="shared" si="55"/>
        <v>7.562567102804314</v>
      </c>
      <c r="Z453">
        <f t="shared" si="56"/>
        <v>2.141547484591138</v>
      </c>
      <c r="AA453">
        <f t="shared" si="57"/>
        <v>2.337608700082638</v>
      </c>
      <c r="AB453">
        <f t="shared" si="58"/>
        <v>11.91322134081274</v>
      </c>
      <c r="AC453">
        <f t="shared" si="59"/>
        <v>1.023366313992301</v>
      </c>
      <c r="AD453">
        <f t="shared" si="60"/>
        <v>18.61931367421057</v>
      </c>
      <c r="AE453">
        <f t="shared" si="61"/>
        <v>1.0572686740430071</v>
      </c>
      <c r="AF453">
        <f t="shared" si="62"/>
        <v>2.8140222048037691</v>
      </c>
      <c r="AG453">
        <f t="shared" si="63"/>
        <v>2.2926481439033521</v>
      </c>
      <c r="AH453">
        <f t="shared" si="64"/>
        <v>10.7040114798001</v>
      </c>
      <c r="AI453">
        <f t="shared" si="65"/>
        <v>2.4793397393543271</v>
      </c>
      <c r="AK453">
        <f t="shared" si="66"/>
        <v>7.562567102804314</v>
      </c>
      <c r="AL453">
        <f t="shared" si="67"/>
        <v>0.80347500041825692</v>
      </c>
      <c r="AM453">
        <f t="shared" si="68"/>
        <v>0.85888542997417971</v>
      </c>
      <c r="AN453">
        <f t="shared" si="69"/>
        <v>11.91322134081274</v>
      </c>
      <c r="AO453">
        <f t="shared" si="70"/>
        <v>0.47488587339175858</v>
      </c>
      <c r="AP453">
        <f t="shared" si="71"/>
        <v>18.61931367421057</v>
      </c>
      <c r="AQ453">
        <f t="shared" si="72"/>
        <v>0.50892278859391804</v>
      </c>
      <c r="AR453">
        <f t="shared" si="73"/>
        <v>1.6341662786086091</v>
      </c>
      <c r="AS453">
        <f t="shared" si="74"/>
        <v>0.48010555194923649</v>
      </c>
      <c r="AT453">
        <f t="shared" si="75"/>
        <v>10.7040114798001</v>
      </c>
      <c r="AU453">
        <f t="shared" si="76"/>
        <v>1.126790986594278</v>
      </c>
    </row>
    <row r="454" spans="1:47" x14ac:dyDescent="0.3">
      <c r="A454">
        <v>5</v>
      </c>
      <c r="B454" t="s">
        <v>100</v>
      </c>
      <c r="C454" t="s">
        <v>93</v>
      </c>
      <c r="D454" t="s">
        <v>94</v>
      </c>
      <c r="F454" s="7">
        <v>0</v>
      </c>
      <c r="G454" s="7">
        <v>0</v>
      </c>
      <c r="H454" s="3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537991.80000000005</v>
      </c>
      <c r="O454">
        <f t="shared" si="46"/>
        <v>540322.4</v>
      </c>
      <c r="P454">
        <f t="shared" si="47"/>
        <v>10173845</v>
      </c>
      <c r="Q454">
        <f t="shared" si="48"/>
        <v>281046.40000000002</v>
      </c>
      <c r="R454">
        <f t="shared" si="49"/>
        <v>5449982.7999999998</v>
      </c>
      <c r="S454">
        <f t="shared" si="50"/>
        <v>249182.8</v>
      </c>
      <c r="T454">
        <f t="shared" si="51"/>
        <v>5295709.5999999996</v>
      </c>
      <c r="U454">
        <f t="shared" si="52"/>
        <v>3608303.8</v>
      </c>
      <c r="V454">
        <f t="shared" si="53"/>
        <v>11762103.199999999</v>
      </c>
      <c r="W454">
        <f t="shared" si="54"/>
        <v>324234.8</v>
      </c>
      <c r="Y454">
        <f t="shared" si="55"/>
        <v>3.0705613417900168</v>
      </c>
      <c r="Z454">
        <f t="shared" si="56"/>
        <v>1.461484581779223</v>
      </c>
      <c r="AA454">
        <f t="shared" si="57"/>
        <v>1.4520423288107851</v>
      </c>
      <c r="AB454">
        <f t="shared" si="58"/>
        <v>7.3665324271947608</v>
      </c>
      <c r="AC454">
        <f t="shared" si="59"/>
        <v>0.80890268521034159</v>
      </c>
      <c r="AD454">
        <f t="shared" si="60"/>
        <v>4.8008390807895918</v>
      </c>
      <c r="AE454">
        <f t="shared" si="61"/>
        <v>0.69119076700881121</v>
      </c>
      <c r="AF454">
        <f t="shared" si="62"/>
        <v>2.989970249182079</v>
      </c>
      <c r="AG454">
        <f t="shared" si="63"/>
        <v>2.3751655956497419</v>
      </c>
      <c r="AH454">
        <f t="shared" si="64"/>
        <v>5.3850853436044419</v>
      </c>
      <c r="AI454">
        <f t="shared" si="65"/>
        <v>0.96082825704943386</v>
      </c>
      <c r="AK454">
        <f t="shared" si="66"/>
        <v>3.0705613417900168</v>
      </c>
      <c r="AL454">
        <f t="shared" si="67"/>
        <v>0.64973116881446913</v>
      </c>
      <c r="AM454">
        <f t="shared" si="68"/>
        <v>0.64302518937038255</v>
      </c>
      <c r="AN454">
        <f t="shared" si="69"/>
        <v>7.3665324271947608</v>
      </c>
      <c r="AO454">
        <f t="shared" si="70"/>
        <v>0.40625637220800848</v>
      </c>
      <c r="AP454">
        <f t="shared" si="71"/>
        <v>4.8008390807895918</v>
      </c>
      <c r="AQ454">
        <f t="shared" si="72"/>
        <v>0.51450842759804805</v>
      </c>
      <c r="AR454">
        <f t="shared" si="73"/>
        <v>1.728759602794889</v>
      </c>
      <c r="AS454">
        <f t="shared" si="74"/>
        <v>0.4869128887425177</v>
      </c>
      <c r="AT454">
        <f t="shared" si="75"/>
        <v>5.3850853436044419</v>
      </c>
      <c r="AU454">
        <f t="shared" si="76"/>
        <v>0.64723285041982304</v>
      </c>
    </row>
    <row r="455" spans="1:47" x14ac:dyDescent="0.3">
      <c r="A455">
        <v>5</v>
      </c>
      <c r="B455" t="s">
        <v>101</v>
      </c>
      <c r="C455" t="s">
        <v>93</v>
      </c>
      <c r="D455" t="s">
        <v>94</v>
      </c>
      <c r="F455" s="7">
        <v>0</v>
      </c>
      <c r="G455" s="7">
        <v>1</v>
      </c>
      <c r="H455" s="3">
        <v>0</v>
      </c>
      <c r="I455">
        <f t="shared" si="43"/>
        <v>0</v>
      </c>
      <c r="J455">
        <f t="shared" si="43"/>
        <v>1</v>
      </c>
      <c r="K455">
        <v>3</v>
      </c>
      <c r="L455">
        <v>0</v>
      </c>
      <c r="M455">
        <f t="shared" si="44"/>
        <v>206046.2</v>
      </c>
      <c r="N455">
        <f t="shared" si="45"/>
        <v>16543911.199999999</v>
      </c>
      <c r="O455">
        <f t="shared" si="46"/>
        <v>16548210</v>
      </c>
      <c r="P455">
        <f t="shared" si="47"/>
        <v>201570.6</v>
      </c>
      <c r="Q455">
        <f t="shared" si="48"/>
        <v>22725261</v>
      </c>
      <c r="R455">
        <f t="shared" si="49"/>
        <v>890</v>
      </c>
      <c r="S455">
        <f t="shared" si="50"/>
        <v>22411059.199999999</v>
      </c>
      <c r="T455">
        <f t="shared" si="51"/>
        <v>3815273.4</v>
      </c>
      <c r="U455">
        <f t="shared" si="52"/>
        <v>4760376.2</v>
      </c>
      <c r="V455">
        <f t="shared" si="53"/>
        <v>3896.8</v>
      </c>
      <c r="W455">
        <f t="shared" si="54"/>
        <v>30984047.199999999</v>
      </c>
      <c r="Y455">
        <f t="shared" si="55"/>
        <v>0.39607051222119483</v>
      </c>
      <c r="Z455">
        <f t="shared" si="56"/>
        <v>13.172204467991831</v>
      </c>
      <c r="AA455">
        <f t="shared" si="57"/>
        <v>12.87803197795292</v>
      </c>
      <c r="AB455">
        <f t="shared" si="58"/>
        <v>0.40296075599035253</v>
      </c>
      <c r="AC455">
        <f t="shared" si="59"/>
        <v>19.21028890878079</v>
      </c>
      <c r="AD455">
        <f t="shared" si="60"/>
        <v>9.3593911430798427E-2</v>
      </c>
      <c r="AE455">
        <f t="shared" si="61"/>
        <v>15.25869747488759</v>
      </c>
      <c r="AF455">
        <f t="shared" si="62"/>
        <v>1.677654155634809</v>
      </c>
      <c r="AG455">
        <f t="shared" si="63"/>
        <v>3.2233065557433291</v>
      </c>
      <c r="AH455">
        <f t="shared" si="64"/>
        <v>2.4961942585650761E-2</v>
      </c>
      <c r="AI455">
        <f t="shared" si="65"/>
        <v>35.532054888247522</v>
      </c>
      <c r="AK455">
        <f t="shared" si="66"/>
        <v>0.39607051222119483</v>
      </c>
      <c r="AL455">
        <f t="shared" si="67"/>
        <v>3.185191348404623</v>
      </c>
      <c r="AM455">
        <f t="shared" si="68"/>
        <v>3.1545272169867529</v>
      </c>
      <c r="AN455">
        <f t="shared" si="69"/>
        <v>0.40296075599035253</v>
      </c>
      <c r="AO455">
        <f t="shared" si="70"/>
        <v>5.4242403905955143</v>
      </c>
      <c r="AP455">
        <f t="shared" si="71"/>
        <v>9.3593911430798427E-2</v>
      </c>
      <c r="AQ455">
        <f t="shared" si="72"/>
        <v>4.0511997802415856</v>
      </c>
      <c r="AR455">
        <f t="shared" si="73"/>
        <v>0.91072458643466236</v>
      </c>
      <c r="AS455">
        <f t="shared" si="74"/>
        <v>0.69116067197173836</v>
      </c>
      <c r="AT455">
        <f t="shared" si="75"/>
        <v>2.4961942585650761E-2</v>
      </c>
      <c r="AU455">
        <f t="shared" si="76"/>
        <v>27.16306466998067</v>
      </c>
    </row>
    <row r="456" spans="1:47" x14ac:dyDescent="0.3">
      <c r="A456">
        <v>5</v>
      </c>
      <c r="B456" t="s">
        <v>102</v>
      </c>
      <c r="C456" t="s">
        <v>103</v>
      </c>
      <c r="D456" t="s">
        <v>104</v>
      </c>
      <c r="F456" s="7">
        <v>0</v>
      </c>
      <c r="G456" s="7">
        <v>0</v>
      </c>
      <c r="H456" s="3">
        <v>0</v>
      </c>
      <c r="I456">
        <f t="shared" si="43"/>
        <v>0</v>
      </c>
      <c r="J456">
        <f t="shared" si="43"/>
        <v>1</v>
      </c>
      <c r="K456">
        <v>3</v>
      </c>
      <c r="L456">
        <v>0</v>
      </c>
      <c r="M456">
        <f t="shared" si="44"/>
        <v>310206.8</v>
      </c>
      <c r="N456">
        <f t="shared" si="45"/>
        <v>15851530.4</v>
      </c>
      <c r="O456">
        <f t="shared" si="46"/>
        <v>15888887.800000001</v>
      </c>
      <c r="P456">
        <f t="shared" si="47"/>
        <v>204639.2</v>
      </c>
      <c r="Q456">
        <f t="shared" si="48"/>
        <v>22739977</v>
      </c>
      <c r="R456">
        <f t="shared" si="49"/>
        <v>179053.6</v>
      </c>
      <c r="S456">
        <f t="shared" si="50"/>
        <v>25795290.600000001</v>
      </c>
      <c r="T456">
        <f t="shared" si="51"/>
        <v>3439355</v>
      </c>
      <c r="U456">
        <f t="shared" si="52"/>
        <v>4329285.4000000004</v>
      </c>
      <c r="V456">
        <f t="shared" si="53"/>
        <v>16989.400000000001</v>
      </c>
      <c r="W456">
        <f t="shared" si="54"/>
        <v>33779324.399999999</v>
      </c>
      <c r="Y456">
        <f t="shared" si="55"/>
        <v>0.79237498497823255</v>
      </c>
      <c r="Z456">
        <f t="shared" si="56"/>
        <v>12.90664130576188</v>
      </c>
      <c r="AA456">
        <f t="shared" si="57"/>
        <v>11.93417100040242</v>
      </c>
      <c r="AB456">
        <f t="shared" si="58"/>
        <v>0.55181283740093934</v>
      </c>
      <c r="AC456">
        <f t="shared" si="59"/>
        <v>21.275112746417289</v>
      </c>
      <c r="AD456">
        <f t="shared" si="60"/>
        <v>1.0561973428004421</v>
      </c>
      <c r="AE456">
        <f t="shared" si="61"/>
        <v>17.15555564905517</v>
      </c>
      <c r="AF456">
        <f t="shared" si="62"/>
        <v>1.318198370223399</v>
      </c>
      <c r="AG456">
        <f t="shared" si="63"/>
        <v>2.8418994008796288</v>
      </c>
      <c r="AH456">
        <f t="shared" si="64"/>
        <v>6.5240918600466033E-2</v>
      </c>
      <c r="AI456">
        <f t="shared" si="65"/>
        <v>34.269691028655508</v>
      </c>
      <c r="AK456">
        <f t="shared" si="66"/>
        <v>0.79237498497823255</v>
      </c>
      <c r="AL456">
        <f t="shared" si="67"/>
        <v>3.9963964787777519</v>
      </c>
      <c r="AM456">
        <f t="shared" si="68"/>
        <v>3.5552564737736252</v>
      </c>
      <c r="AN456">
        <f t="shared" si="69"/>
        <v>0.55181283740093934</v>
      </c>
      <c r="AO456">
        <f t="shared" si="70"/>
        <v>8.2891790874127764</v>
      </c>
      <c r="AP456">
        <f t="shared" si="71"/>
        <v>1.0561973428004421</v>
      </c>
      <c r="AQ456">
        <f t="shared" si="72"/>
        <v>4.8184494652086869</v>
      </c>
      <c r="AR456">
        <f t="shared" si="73"/>
        <v>0.70596511942567308</v>
      </c>
      <c r="AS456">
        <f t="shared" si="74"/>
        <v>0.64370022398652504</v>
      </c>
      <c r="AT456">
        <f t="shared" si="75"/>
        <v>6.5240918600466033E-2</v>
      </c>
      <c r="AU456">
        <f t="shared" si="76"/>
        <v>25.497882673586719</v>
      </c>
    </row>
    <row r="457" spans="1:47" x14ac:dyDescent="0.3">
      <c r="A457">
        <v>5</v>
      </c>
      <c r="B457" t="s">
        <v>105</v>
      </c>
      <c r="C457" t="s">
        <v>103</v>
      </c>
      <c r="D457" t="s">
        <v>104</v>
      </c>
      <c r="F457" s="7">
        <v>0</v>
      </c>
      <c r="G457" s="7">
        <v>1</v>
      </c>
      <c r="H457" s="3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1446090.6</v>
      </c>
      <c r="O457">
        <f t="shared" si="46"/>
        <v>1455420.4</v>
      </c>
      <c r="P457">
        <f t="shared" si="47"/>
        <v>5982706</v>
      </c>
      <c r="Q457">
        <f t="shared" si="48"/>
        <v>641405.6</v>
      </c>
      <c r="R457">
        <f t="shared" si="49"/>
        <v>22170304</v>
      </c>
      <c r="S457">
        <f t="shared" si="50"/>
        <v>1072128.6000000001</v>
      </c>
      <c r="T457">
        <f t="shared" si="51"/>
        <v>6610615.2000000002</v>
      </c>
      <c r="U457">
        <f t="shared" si="52"/>
        <v>4096135</v>
      </c>
      <c r="V457">
        <f t="shared" si="53"/>
        <v>19085195</v>
      </c>
      <c r="W457">
        <f t="shared" si="54"/>
        <v>1339185.6000000001</v>
      </c>
      <c r="Y457">
        <f t="shared" si="55"/>
        <v>5.8242807870148683</v>
      </c>
      <c r="Z457">
        <f t="shared" si="56"/>
        <v>1.797822650789749</v>
      </c>
      <c r="AA457">
        <f t="shared" si="57"/>
        <v>1.800624519225676</v>
      </c>
      <c r="AB457">
        <f t="shared" si="58"/>
        <v>4.8434638968028594</v>
      </c>
      <c r="AC457">
        <f t="shared" si="59"/>
        <v>1.133615138829918</v>
      </c>
      <c r="AD457">
        <f t="shared" si="60"/>
        <v>13.692017879593189</v>
      </c>
      <c r="AE457">
        <f t="shared" si="61"/>
        <v>1.3798417071695439</v>
      </c>
      <c r="AF457">
        <f t="shared" si="62"/>
        <v>3.7431890607811509</v>
      </c>
      <c r="AG457">
        <f t="shared" si="63"/>
        <v>2.550212765543256</v>
      </c>
      <c r="AH457">
        <f t="shared" si="64"/>
        <v>7.0002216926193794</v>
      </c>
      <c r="AI457">
        <f t="shared" si="65"/>
        <v>2.5099454357870861</v>
      </c>
      <c r="AK457">
        <f t="shared" si="66"/>
        <v>5.8242807870148683</v>
      </c>
      <c r="AL457">
        <f t="shared" si="67"/>
        <v>0.71701710037887101</v>
      </c>
      <c r="AM457">
        <f t="shared" si="68"/>
        <v>0.72464787622448057</v>
      </c>
      <c r="AN457">
        <f t="shared" si="69"/>
        <v>4.8434638968028594</v>
      </c>
      <c r="AO457">
        <f t="shared" si="70"/>
        <v>0.50011209740769114</v>
      </c>
      <c r="AP457">
        <f t="shared" si="71"/>
        <v>13.692017879593189</v>
      </c>
      <c r="AQ457">
        <f t="shared" si="72"/>
        <v>0.69295819058315833</v>
      </c>
      <c r="AR457">
        <f t="shared" si="73"/>
        <v>2.0666549213929102</v>
      </c>
      <c r="AS457">
        <f t="shared" si="74"/>
        <v>0.5205981853185222</v>
      </c>
      <c r="AT457">
        <f t="shared" si="75"/>
        <v>7.0002216926193794</v>
      </c>
      <c r="AU457">
        <f t="shared" si="76"/>
        <v>1.143567827378865</v>
      </c>
    </row>
    <row r="458" spans="1:47" x14ac:dyDescent="0.3">
      <c r="A458">
        <v>5</v>
      </c>
      <c r="B458" t="s">
        <v>106</v>
      </c>
      <c r="C458" t="s">
        <v>103</v>
      </c>
      <c r="D458" t="s">
        <v>104</v>
      </c>
      <c r="F458" s="7">
        <v>0</v>
      </c>
      <c r="G458" s="7">
        <v>1</v>
      </c>
      <c r="H458" s="3">
        <v>0</v>
      </c>
      <c r="I458">
        <f t="shared" si="43"/>
        <v>0</v>
      </c>
      <c r="J458">
        <f t="shared" si="43"/>
        <v>1</v>
      </c>
      <c r="K458">
        <v>3</v>
      </c>
      <c r="L458">
        <v>0</v>
      </c>
      <c r="M458">
        <f t="shared" si="44"/>
        <v>3423988</v>
      </c>
      <c r="N458">
        <f t="shared" si="45"/>
        <v>1294434.3999999999</v>
      </c>
      <c r="O458">
        <f t="shared" si="46"/>
        <v>1299361.2</v>
      </c>
      <c r="P458">
        <f t="shared" si="47"/>
        <v>6844367.7999999998</v>
      </c>
      <c r="Q458">
        <f t="shared" si="48"/>
        <v>523884.79999999999</v>
      </c>
      <c r="R458">
        <f t="shared" si="49"/>
        <v>13263103.199999999</v>
      </c>
      <c r="S458">
        <f t="shared" si="50"/>
        <v>1284836.8</v>
      </c>
      <c r="T458">
        <f t="shared" si="51"/>
        <v>6486954.5999999996</v>
      </c>
      <c r="U458">
        <f t="shared" si="52"/>
        <v>3997761.6</v>
      </c>
      <c r="V458">
        <f t="shared" si="53"/>
        <v>15211821.4</v>
      </c>
      <c r="W458">
        <f t="shared" si="54"/>
        <v>969282.8</v>
      </c>
      <c r="Y458">
        <f t="shared" si="55"/>
        <v>3.7721612195950001</v>
      </c>
      <c r="Z458">
        <f t="shared" si="56"/>
        <v>1.623908907838632</v>
      </c>
      <c r="AA458">
        <f t="shared" si="57"/>
        <v>1.486970666435081</v>
      </c>
      <c r="AB458">
        <f t="shared" si="58"/>
        <v>3.9657561063999309</v>
      </c>
      <c r="AC458">
        <f t="shared" si="59"/>
        <v>1.1295547349844131</v>
      </c>
      <c r="AD458">
        <f t="shared" si="60"/>
        <v>9.2749122070032168</v>
      </c>
      <c r="AE458">
        <f t="shared" si="61"/>
        <v>1.281320759188384</v>
      </c>
      <c r="AF458">
        <f t="shared" si="62"/>
        <v>3.69124720263062</v>
      </c>
      <c r="AG458">
        <f t="shared" si="63"/>
        <v>2.49044550609542</v>
      </c>
      <c r="AH458">
        <f t="shared" si="64"/>
        <v>6.0455477838055227</v>
      </c>
      <c r="AI458">
        <f t="shared" si="65"/>
        <v>2.1558099153917292</v>
      </c>
      <c r="AK458">
        <f t="shared" si="66"/>
        <v>3.7721612195950001</v>
      </c>
      <c r="AL458">
        <f t="shared" si="67"/>
        <v>0.70132214742479848</v>
      </c>
      <c r="AM458">
        <f t="shared" si="68"/>
        <v>0.6699709164211527</v>
      </c>
      <c r="AN458">
        <f t="shared" si="69"/>
        <v>3.9657561063999309</v>
      </c>
      <c r="AO458">
        <f t="shared" si="70"/>
        <v>0.58958688779966906</v>
      </c>
      <c r="AP458">
        <f t="shared" si="71"/>
        <v>9.2749122070032168</v>
      </c>
      <c r="AQ458">
        <f t="shared" si="72"/>
        <v>0.89037191818933936</v>
      </c>
      <c r="AR458">
        <f t="shared" si="73"/>
        <v>2.0048031046288091</v>
      </c>
      <c r="AS458">
        <f t="shared" si="74"/>
        <v>0.52058250899426639</v>
      </c>
      <c r="AT458">
        <f t="shared" si="75"/>
        <v>6.0455477838055227</v>
      </c>
      <c r="AU458">
        <f t="shared" si="76"/>
        <v>1.0806708779768091</v>
      </c>
    </row>
    <row r="459" spans="1:47" x14ac:dyDescent="0.3">
      <c r="A459">
        <v>5</v>
      </c>
      <c r="B459" t="s">
        <v>107</v>
      </c>
      <c r="C459" t="s">
        <v>103</v>
      </c>
      <c r="D459" t="s">
        <v>104</v>
      </c>
      <c r="F459" s="7">
        <v>0</v>
      </c>
      <c r="G459" s="7">
        <v>0</v>
      </c>
      <c r="H459" s="3">
        <v>0</v>
      </c>
      <c r="I459">
        <f t="shared" si="43"/>
        <v>0</v>
      </c>
      <c r="J459">
        <f t="shared" si="43"/>
        <v>1</v>
      </c>
      <c r="K459">
        <v>3</v>
      </c>
      <c r="L459">
        <v>0</v>
      </c>
      <c r="M459">
        <f t="shared" si="44"/>
        <v>2836113.2</v>
      </c>
      <c r="N459">
        <f t="shared" si="45"/>
        <v>1587954.4</v>
      </c>
      <c r="O459">
        <f t="shared" si="46"/>
        <v>1589384.4</v>
      </c>
      <c r="P459">
        <f t="shared" si="47"/>
        <v>2158619.2000000002</v>
      </c>
      <c r="Q459">
        <f t="shared" si="48"/>
        <v>1357428.6</v>
      </c>
      <c r="R459">
        <f t="shared" si="49"/>
        <v>2321572.4</v>
      </c>
      <c r="S459">
        <f t="shared" si="50"/>
        <v>2240868.4</v>
      </c>
      <c r="T459">
        <f t="shared" si="51"/>
        <v>3481139.6</v>
      </c>
      <c r="U459">
        <f t="shared" si="52"/>
        <v>3947083.4</v>
      </c>
      <c r="V459">
        <f t="shared" si="53"/>
        <v>2111224.4</v>
      </c>
      <c r="W459">
        <f t="shared" si="54"/>
        <v>2127452.2000000002</v>
      </c>
      <c r="Y459">
        <f t="shared" si="55"/>
        <v>2.4633531733881679</v>
      </c>
      <c r="Z459">
        <f t="shared" si="56"/>
        <v>1.6295023326063529</v>
      </c>
      <c r="AA459">
        <f t="shared" si="57"/>
        <v>1.6227974524255839</v>
      </c>
      <c r="AB459">
        <f t="shared" si="58"/>
        <v>2.4284462640003772</v>
      </c>
      <c r="AC459">
        <f t="shared" si="59"/>
        <v>1.700458305364009</v>
      </c>
      <c r="AD459">
        <f t="shared" si="60"/>
        <v>3.0941630597808398</v>
      </c>
      <c r="AE459">
        <f t="shared" si="61"/>
        <v>1.6545813932432789</v>
      </c>
      <c r="AF459">
        <f t="shared" si="62"/>
        <v>1.3657530233846049</v>
      </c>
      <c r="AG459">
        <f t="shared" si="63"/>
        <v>2.559404629585333</v>
      </c>
      <c r="AH459">
        <f t="shared" si="64"/>
        <v>3.4877134123817091</v>
      </c>
      <c r="AI459">
        <f t="shared" si="65"/>
        <v>2.4860009117983282</v>
      </c>
      <c r="AK459">
        <f t="shared" si="66"/>
        <v>2.4633531733881679</v>
      </c>
      <c r="AL459">
        <f t="shared" si="67"/>
        <v>0.96951679579215122</v>
      </c>
      <c r="AM459">
        <f t="shared" si="68"/>
        <v>0.96152264542179178</v>
      </c>
      <c r="AN459">
        <f t="shared" si="69"/>
        <v>2.4284462640003772</v>
      </c>
      <c r="AO459">
        <f t="shared" si="70"/>
        <v>1.1582791911903769</v>
      </c>
      <c r="AP459">
        <f t="shared" si="71"/>
        <v>3.0941630597808398</v>
      </c>
      <c r="AQ459">
        <f t="shared" si="72"/>
        <v>1.3189471132121979</v>
      </c>
      <c r="AR459">
        <f t="shared" si="73"/>
        <v>0.68853253239067269</v>
      </c>
      <c r="AS459">
        <f t="shared" si="74"/>
        <v>0.5617205907474272</v>
      </c>
      <c r="AT459">
        <f t="shared" si="75"/>
        <v>3.4877134123817091</v>
      </c>
      <c r="AU459">
        <f t="shared" si="76"/>
        <v>1.742153659206815</v>
      </c>
    </row>
    <row r="460" spans="1:47" x14ac:dyDescent="0.3">
      <c r="A460">
        <v>5</v>
      </c>
      <c r="B460" t="s">
        <v>108</v>
      </c>
      <c r="C460" t="s">
        <v>103</v>
      </c>
      <c r="D460" t="s">
        <v>104</v>
      </c>
      <c r="F460" s="7">
        <v>0</v>
      </c>
      <c r="G460" s="7">
        <v>1</v>
      </c>
      <c r="H460" s="3">
        <v>0</v>
      </c>
      <c r="I460">
        <f t="shared" si="43"/>
        <v>0</v>
      </c>
      <c r="J460">
        <f t="shared" si="43"/>
        <v>1</v>
      </c>
      <c r="K460">
        <v>3</v>
      </c>
      <c r="L460">
        <v>0</v>
      </c>
      <c r="M460">
        <f t="shared" si="44"/>
        <v>1460671.8</v>
      </c>
      <c r="N460">
        <f t="shared" si="45"/>
        <v>1385386</v>
      </c>
      <c r="O460">
        <f t="shared" si="46"/>
        <v>1384065.8</v>
      </c>
      <c r="P460">
        <f t="shared" si="47"/>
        <v>13296880.6</v>
      </c>
      <c r="Q460">
        <f t="shared" si="48"/>
        <v>979346.8</v>
      </c>
      <c r="R460">
        <f t="shared" si="49"/>
        <v>1673494.8</v>
      </c>
      <c r="S460">
        <f t="shared" si="50"/>
        <v>1633271.2</v>
      </c>
      <c r="T460">
        <f t="shared" si="51"/>
        <v>3440942.2</v>
      </c>
      <c r="U460">
        <f t="shared" si="52"/>
        <v>3911554</v>
      </c>
      <c r="V460">
        <f t="shared" si="53"/>
        <v>14522821.4</v>
      </c>
      <c r="W460">
        <f t="shared" si="54"/>
        <v>2226080.4</v>
      </c>
      <c r="Y460">
        <f t="shared" si="55"/>
        <v>1.4974954522098409</v>
      </c>
      <c r="Z460">
        <f t="shared" si="56"/>
        <v>1.4460116325994019</v>
      </c>
      <c r="AA460">
        <f t="shared" si="57"/>
        <v>1.434696878842078</v>
      </c>
      <c r="AB460">
        <f t="shared" si="58"/>
        <v>12.99486143919639</v>
      </c>
      <c r="AC460">
        <f t="shared" si="59"/>
        <v>1.444821975799278</v>
      </c>
      <c r="AD460">
        <f t="shared" si="60"/>
        <v>2.192067801812664</v>
      </c>
      <c r="AE460">
        <f t="shared" si="61"/>
        <v>1.3182478894130329</v>
      </c>
      <c r="AF460">
        <f t="shared" si="62"/>
        <v>1.328838522778824</v>
      </c>
      <c r="AG460">
        <f t="shared" si="63"/>
        <v>2.5301750984857789</v>
      </c>
      <c r="AH460">
        <f t="shared" si="64"/>
        <v>7.6436135893920438</v>
      </c>
      <c r="AI460">
        <f t="shared" si="65"/>
        <v>2.160230530402623</v>
      </c>
      <c r="AK460">
        <f t="shared" si="66"/>
        <v>1.4974954522098409</v>
      </c>
      <c r="AL460">
        <f t="shared" si="67"/>
        <v>0.95375512120081107</v>
      </c>
      <c r="AM460">
        <f t="shared" si="68"/>
        <v>0.94501559739001095</v>
      </c>
      <c r="AN460">
        <f t="shared" si="69"/>
        <v>12.99486143919639</v>
      </c>
      <c r="AO460">
        <f t="shared" si="70"/>
        <v>1.0127659857971589</v>
      </c>
      <c r="AP460">
        <f t="shared" si="71"/>
        <v>2.192067801812664</v>
      </c>
      <c r="AQ460">
        <f t="shared" si="72"/>
        <v>1.076845977804624</v>
      </c>
      <c r="AR460">
        <f t="shared" si="73"/>
        <v>0.71256019079592081</v>
      </c>
      <c r="AS460">
        <f t="shared" si="74"/>
        <v>0.54405163822229952</v>
      </c>
      <c r="AT460">
        <f t="shared" si="75"/>
        <v>7.6436135893920438</v>
      </c>
      <c r="AU460">
        <f t="shared" si="76"/>
        <v>1.620058592804708</v>
      </c>
    </row>
    <row r="461" spans="1:47" x14ac:dyDescent="0.3">
      <c r="A461">
        <v>5</v>
      </c>
      <c r="B461" t="s">
        <v>109</v>
      </c>
      <c r="C461" t="s">
        <v>103</v>
      </c>
      <c r="D461" t="s">
        <v>104</v>
      </c>
      <c r="F461" s="7">
        <v>0</v>
      </c>
      <c r="G461" s="7">
        <v>0</v>
      </c>
      <c r="H461" s="3">
        <v>0</v>
      </c>
      <c r="I461">
        <f t="shared" si="43"/>
        <v>0</v>
      </c>
      <c r="J461">
        <f t="shared" si="43"/>
        <v>1</v>
      </c>
      <c r="K461">
        <v>3</v>
      </c>
      <c r="L461">
        <v>0</v>
      </c>
      <c r="M461">
        <f t="shared" si="44"/>
        <v>5841890.5999999996</v>
      </c>
      <c r="N461">
        <f t="shared" si="45"/>
        <v>1630591.8</v>
      </c>
      <c r="O461">
        <f t="shared" si="46"/>
        <v>1638947</v>
      </c>
      <c r="P461">
        <f t="shared" si="47"/>
        <v>3257650</v>
      </c>
      <c r="Q461">
        <f t="shared" si="48"/>
        <v>899612.2</v>
      </c>
      <c r="R461">
        <f t="shared" si="49"/>
        <v>14360336.800000001</v>
      </c>
      <c r="S461">
        <f t="shared" si="50"/>
        <v>1560265.2</v>
      </c>
      <c r="T461">
        <f t="shared" si="51"/>
        <v>6616594.4000000004</v>
      </c>
      <c r="U461">
        <f t="shared" si="52"/>
        <v>4117493.8</v>
      </c>
      <c r="V461">
        <f t="shared" si="53"/>
        <v>21360085</v>
      </c>
      <c r="W461">
        <f t="shared" si="54"/>
        <v>1276976.6000000001</v>
      </c>
      <c r="Y461">
        <f t="shared" si="55"/>
        <v>4.2992540954030121</v>
      </c>
      <c r="Z461">
        <f t="shared" si="56"/>
        <v>1.596774579840712</v>
      </c>
      <c r="AA461">
        <f t="shared" si="57"/>
        <v>1.5977276467951009</v>
      </c>
      <c r="AB461">
        <f t="shared" si="58"/>
        <v>3.3409507310076152</v>
      </c>
      <c r="AC461">
        <f t="shared" si="59"/>
        <v>1.423604181612609</v>
      </c>
      <c r="AD461">
        <f t="shared" si="60"/>
        <v>7.7235716243856576</v>
      </c>
      <c r="AE461">
        <f t="shared" si="61"/>
        <v>1.684200140554458</v>
      </c>
      <c r="AF461">
        <f t="shared" si="62"/>
        <v>3.7479152621934189</v>
      </c>
      <c r="AG461">
        <f t="shared" si="63"/>
        <v>2.5411912284791471</v>
      </c>
      <c r="AH461">
        <f t="shared" si="64"/>
        <v>7.3454366423888144</v>
      </c>
      <c r="AI461">
        <f t="shared" si="65"/>
        <v>2.5663878042250872</v>
      </c>
      <c r="AK461">
        <f t="shared" si="66"/>
        <v>4.2992540954030121</v>
      </c>
      <c r="AL461">
        <f t="shared" si="67"/>
        <v>0.68698789241025227</v>
      </c>
      <c r="AM461">
        <f t="shared" si="68"/>
        <v>0.69142488259822132</v>
      </c>
      <c r="AN461">
        <f t="shared" si="69"/>
        <v>3.3409507310076152</v>
      </c>
      <c r="AO461">
        <f t="shared" si="70"/>
        <v>0.68155513239908028</v>
      </c>
      <c r="AP461">
        <f t="shared" si="71"/>
        <v>7.7235716243856576</v>
      </c>
      <c r="AQ461">
        <f t="shared" si="72"/>
        <v>0.87869942358229314</v>
      </c>
      <c r="AR461">
        <f t="shared" si="73"/>
        <v>2.0718876291881321</v>
      </c>
      <c r="AS461">
        <f t="shared" si="74"/>
        <v>0.51852742267074059</v>
      </c>
      <c r="AT461">
        <f t="shared" si="75"/>
        <v>7.3454366423888144</v>
      </c>
      <c r="AU461">
        <f t="shared" si="76"/>
        <v>1.197911282186396</v>
      </c>
    </row>
    <row r="462" spans="1:47" x14ac:dyDescent="0.3">
      <c r="A462">
        <v>5</v>
      </c>
      <c r="B462" t="s">
        <v>110</v>
      </c>
      <c r="C462" t="s">
        <v>103</v>
      </c>
      <c r="D462" t="s">
        <v>104</v>
      </c>
      <c r="F462" s="7">
        <v>0</v>
      </c>
      <c r="G462" s="7">
        <v>0</v>
      </c>
      <c r="H462" s="3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1403232</v>
      </c>
      <c r="O462">
        <f t="shared" si="46"/>
        <v>1420554</v>
      </c>
      <c r="P462">
        <f t="shared" si="47"/>
        <v>10473944.4</v>
      </c>
      <c r="Q462">
        <f t="shared" si="48"/>
        <v>973390.4</v>
      </c>
      <c r="R462">
        <f t="shared" si="49"/>
        <v>13645416</v>
      </c>
      <c r="S462">
        <f t="shared" si="50"/>
        <v>915037.6</v>
      </c>
      <c r="T462">
        <f t="shared" si="51"/>
        <v>6484050.7999999998</v>
      </c>
      <c r="U462">
        <f t="shared" si="52"/>
        <v>4002897.6</v>
      </c>
      <c r="V462">
        <f t="shared" si="53"/>
        <v>27706218.399999999</v>
      </c>
      <c r="W462">
        <f t="shared" si="54"/>
        <v>1383243.2</v>
      </c>
      <c r="Y462">
        <f t="shared" si="55"/>
        <v>3.860714892589022</v>
      </c>
      <c r="Z462">
        <f t="shared" si="56"/>
        <v>1.455077665590216</v>
      </c>
      <c r="AA462">
        <f t="shared" si="57"/>
        <v>1.457454198016785</v>
      </c>
      <c r="AB462">
        <f t="shared" si="58"/>
        <v>7.470262884604745</v>
      </c>
      <c r="AC462">
        <f t="shared" si="59"/>
        <v>1.377726362983231</v>
      </c>
      <c r="AD462">
        <f t="shared" si="60"/>
        <v>9.9358546980074607</v>
      </c>
      <c r="AE462">
        <f t="shared" si="61"/>
        <v>1.3420317705953491</v>
      </c>
      <c r="AF462">
        <f t="shared" si="62"/>
        <v>3.648792144178878</v>
      </c>
      <c r="AG462">
        <f t="shared" si="63"/>
        <v>2.4606941203819588</v>
      </c>
      <c r="AH462">
        <f t="shared" si="64"/>
        <v>9.178494689788204</v>
      </c>
      <c r="AI462">
        <f t="shared" si="65"/>
        <v>2.4259180911933069</v>
      </c>
      <c r="AK462">
        <f t="shared" si="66"/>
        <v>3.860714892589022</v>
      </c>
      <c r="AL462">
        <f t="shared" si="67"/>
        <v>0.60937069180654357</v>
      </c>
      <c r="AM462">
        <f t="shared" si="68"/>
        <v>0.61516436560777943</v>
      </c>
      <c r="AN462">
        <f t="shared" si="69"/>
        <v>7.470262884604745</v>
      </c>
      <c r="AO462">
        <f t="shared" si="70"/>
        <v>0.7098439807945397</v>
      </c>
      <c r="AP462">
        <f t="shared" si="71"/>
        <v>9.9358546980074607</v>
      </c>
      <c r="AQ462">
        <f t="shared" si="72"/>
        <v>0.65691025380510837</v>
      </c>
      <c r="AR462">
        <f t="shared" si="73"/>
        <v>1.9960235847858709</v>
      </c>
      <c r="AS462">
        <f t="shared" si="74"/>
        <v>0.50391869001323353</v>
      </c>
      <c r="AT462">
        <f t="shared" si="75"/>
        <v>9.178494689788204</v>
      </c>
      <c r="AU462">
        <f t="shared" si="76"/>
        <v>1.0976551596075299</v>
      </c>
    </row>
    <row r="463" spans="1:47" x14ac:dyDescent="0.3">
      <c r="A463">
        <v>5</v>
      </c>
      <c r="B463" t="s">
        <v>111</v>
      </c>
      <c r="C463" t="s">
        <v>103</v>
      </c>
      <c r="D463" t="s">
        <v>104</v>
      </c>
      <c r="F463" s="7">
        <v>0</v>
      </c>
      <c r="G463" s="7">
        <v>1</v>
      </c>
      <c r="H463" s="3">
        <v>0</v>
      </c>
      <c r="I463">
        <f t="shared" si="43"/>
        <v>0</v>
      </c>
      <c r="J463">
        <f t="shared" si="43"/>
        <v>1</v>
      </c>
      <c r="K463">
        <v>3</v>
      </c>
      <c r="L463">
        <v>0</v>
      </c>
      <c r="M463">
        <f t="shared" si="44"/>
        <v>210607.4</v>
      </c>
      <c r="N463">
        <f t="shared" si="45"/>
        <v>15710179.6</v>
      </c>
      <c r="O463">
        <f t="shared" si="46"/>
        <v>15793662.4</v>
      </c>
      <c r="P463">
        <f t="shared" si="47"/>
        <v>201023.6</v>
      </c>
      <c r="Q463">
        <f t="shared" si="48"/>
        <v>21992084</v>
      </c>
      <c r="R463">
        <f t="shared" si="49"/>
        <v>4669.2</v>
      </c>
      <c r="S463">
        <f t="shared" si="50"/>
        <v>23918298.800000001</v>
      </c>
      <c r="T463">
        <f t="shared" si="51"/>
        <v>3477472</v>
      </c>
      <c r="U463">
        <f t="shared" si="52"/>
        <v>4353778.4000000004</v>
      </c>
      <c r="V463">
        <f t="shared" si="53"/>
        <v>6097.4</v>
      </c>
      <c r="W463">
        <f t="shared" si="54"/>
        <v>31143049.800000001</v>
      </c>
      <c r="Y463">
        <f t="shared" si="55"/>
        <v>0.37873433538479728</v>
      </c>
      <c r="Z463">
        <f t="shared" si="56"/>
        <v>11.663129173405469</v>
      </c>
      <c r="AA463">
        <f t="shared" si="57"/>
        <v>11.725025374221151</v>
      </c>
      <c r="AB463">
        <f t="shared" si="58"/>
        <v>0.41607285499921998</v>
      </c>
      <c r="AC463">
        <f t="shared" si="59"/>
        <v>20.54645029941457</v>
      </c>
      <c r="AD463">
        <f t="shared" si="60"/>
        <v>0.109594480798114</v>
      </c>
      <c r="AE463">
        <f t="shared" si="61"/>
        <v>16.904560898942869</v>
      </c>
      <c r="AF463">
        <f t="shared" si="62"/>
        <v>1.3635257683927191</v>
      </c>
      <c r="AG463">
        <f t="shared" si="63"/>
        <v>2.858458064089064</v>
      </c>
      <c r="AH463">
        <f t="shared" si="64"/>
        <v>3.2922864810097922E-2</v>
      </c>
      <c r="AI463">
        <f t="shared" si="65"/>
        <v>33.568552631023337</v>
      </c>
      <c r="AK463">
        <f t="shared" si="66"/>
        <v>0.37873433538479728</v>
      </c>
      <c r="AL463">
        <f t="shared" si="67"/>
        <v>3.6728861989919102</v>
      </c>
      <c r="AM463">
        <f t="shared" si="68"/>
        <v>3.7238412404200059</v>
      </c>
      <c r="AN463">
        <f t="shared" si="69"/>
        <v>0.41607285499921998</v>
      </c>
      <c r="AO463">
        <f t="shared" si="70"/>
        <v>8.1887024176015988</v>
      </c>
      <c r="AP463">
        <f t="shared" si="71"/>
        <v>0.109594480798114</v>
      </c>
      <c r="AQ463">
        <f t="shared" si="72"/>
        <v>5.0852507989853617</v>
      </c>
      <c r="AR463">
        <f t="shared" si="73"/>
        <v>0.68460533980978655</v>
      </c>
      <c r="AS463">
        <f t="shared" si="74"/>
        <v>0.65864880584413188</v>
      </c>
      <c r="AT463">
        <f t="shared" si="75"/>
        <v>3.2922864810097922E-2</v>
      </c>
      <c r="AU463">
        <f t="shared" si="76"/>
        <v>25.558858363598119</v>
      </c>
    </row>
    <row r="464" spans="1:47" x14ac:dyDescent="0.3">
      <c r="A464">
        <v>5</v>
      </c>
      <c r="B464" t="s">
        <v>112</v>
      </c>
      <c r="C464" t="s">
        <v>113</v>
      </c>
      <c r="D464" t="s">
        <v>114</v>
      </c>
      <c r="F464" s="7">
        <v>0</v>
      </c>
      <c r="G464" s="7">
        <v>0</v>
      </c>
      <c r="H464" s="3">
        <v>0</v>
      </c>
      <c r="I464">
        <f t="shared" si="43"/>
        <v>0</v>
      </c>
      <c r="J464">
        <f t="shared" si="43"/>
        <v>1</v>
      </c>
      <c r="K464">
        <v>3</v>
      </c>
      <c r="L464">
        <v>0</v>
      </c>
      <c r="M464">
        <f t="shared" si="44"/>
        <v>319086.2</v>
      </c>
      <c r="N464">
        <f t="shared" si="45"/>
        <v>3013936.2</v>
      </c>
      <c r="O464">
        <f t="shared" si="46"/>
        <v>3052100</v>
      </c>
      <c r="P464">
        <f t="shared" si="47"/>
        <v>239957</v>
      </c>
      <c r="Q464">
        <f t="shared" si="48"/>
        <v>4337992.4000000004</v>
      </c>
      <c r="R464">
        <f t="shared" si="49"/>
        <v>125583.6</v>
      </c>
      <c r="S464">
        <f t="shared" si="50"/>
        <v>6022323.4000000004</v>
      </c>
      <c r="T464">
        <f t="shared" si="51"/>
        <v>4306558</v>
      </c>
      <c r="U464">
        <f t="shared" si="52"/>
        <v>3334004.2</v>
      </c>
      <c r="V464">
        <f t="shared" si="53"/>
        <v>228518.39999999999</v>
      </c>
      <c r="W464">
        <f t="shared" si="54"/>
        <v>6914929.5999999996</v>
      </c>
      <c r="Y464">
        <f t="shared" si="55"/>
        <v>0.53807245538337156</v>
      </c>
      <c r="Z464">
        <f t="shared" si="56"/>
        <v>2.9537634116015399</v>
      </c>
      <c r="AA464">
        <f t="shared" si="57"/>
        <v>2.9445070322602991</v>
      </c>
      <c r="AB464">
        <f t="shared" si="58"/>
        <v>0.59467028318904336</v>
      </c>
      <c r="AC464">
        <f t="shared" si="59"/>
        <v>4.4531850290019062</v>
      </c>
      <c r="AD464">
        <f t="shared" si="60"/>
        <v>0.53789664518553759</v>
      </c>
      <c r="AE464">
        <f t="shared" si="61"/>
        <v>5.0266390054253858</v>
      </c>
      <c r="AF464">
        <f t="shared" si="62"/>
        <v>2.0831990183913152</v>
      </c>
      <c r="AG464">
        <f t="shared" si="63"/>
        <v>2.0696054577361789</v>
      </c>
      <c r="AH464">
        <f t="shared" si="64"/>
        <v>1.015181635390036</v>
      </c>
      <c r="AI464">
        <f t="shared" si="65"/>
        <v>6.7288921391940679</v>
      </c>
      <c r="AK464">
        <f t="shared" si="66"/>
        <v>0.53807245538337156</v>
      </c>
      <c r="AL464">
        <f t="shared" si="67"/>
        <v>1.0267225539893841</v>
      </c>
      <c r="AM464">
        <f t="shared" si="68"/>
        <v>1.0391604129923511</v>
      </c>
      <c r="AN464">
        <f t="shared" si="69"/>
        <v>0.59467028318904336</v>
      </c>
      <c r="AO464">
        <f t="shared" si="70"/>
        <v>1.739214902214008</v>
      </c>
      <c r="AP464">
        <f t="shared" si="71"/>
        <v>0.53789664518553759</v>
      </c>
      <c r="AQ464">
        <f t="shared" si="72"/>
        <v>1.909720673214178</v>
      </c>
      <c r="AR464">
        <f t="shared" si="73"/>
        <v>1.227163892402314</v>
      </c>
      <c r="AS464">
        <f t="shared" si="74"/>
        <v>0.51362161694560204</v>
      </c>
      <c r="AT464">
        <f t="shared" si="75"/>
        <v>1.015181635390036</v>
      </c>
      <c r="AU464">
        <f t="shared" si="76"/>
        <v>4.2571906508179378</v>
      </c>
    </row>
    <row r="465" spans="1:47" x14ac:dyDescent="0.3">
      <c r="A465">
        <v>5</v>
      </c>
      <c r="B465" t="s">
        <v>115</v>
      </c>
      <c r="C465" t="s">
        <v>113</v>
      </c>
      <c r="D465" t="s">
        <v>114</v>
      </c>
      <c r="F465" s="7">
        <v>0</v>
      </c>
      <c r="G465" s="7">
        <v>1</v>
      </c>
      <c r="H465" s="3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1006642.8</v>
      </c>
      <c r="O465">
        <f t="shared" si="46"/>
        <v>1009537.4</v>
      </c>
      <c r="P465">
        <f t="shared" si="47"/>
        <v>4663570.4000000004</v>
      </c>
      <c r="Q465">
        <f t="shared" si="48"/>
        <v>504104.4</v>
      </c>
      <c r="R465">
        <f t="shared" si="49"/>
        <v>4324974.2</v>
      </c>
      <c r="S465">
        <f t="shared" si="50"/>
        <v>506407</v>
      </c>
      <c r="T465">
        <f t="shared" si="51"/>
        <v>3928340</v>
      </c>
      <c r="U465">
        <f t="shared" si="52"/>
        <v>3042984</v>
      </c>
      <c r="V465">
        <f t="shared" si="53"/>
        <v>4677741</v>
      </c>
      <c r="W465">
        <f t="shared" si="54"/>
        <v>796006.6</v>
      </c>
      <c r="Y465">
        <f t="shared" si="55"/>
        <v>2.326520007383079</v>
      </c>
      <c r="Z465">
        <f t="shared" si="56"/>
        <v>1.1940859941765669</v>
      </c>
      <c r="AA465">
        <f t="shared" si="57"/>
        <v>1.1846293381997379</v>
      </c>
      <c r="AB465">
        <f t="shared" si="58"/>
        <v>4.0075087522098327</v>
      </c>
      <c r="AC465">
        <f t="shared" si="59"/>
        <v>1.014116325386567</v>
      </c>
      <c r="AD465">
        <f t="shared" si="60"/>
        <v>3.5588754887809051</v>
      </c>
      <c r="AE465">
        <f t="shared" si="61"/>
        <v>1.10789423462702</v>
      </c>
      <c r="AF465">
        <f t="shared" si="62"/>
        <v>1.7883487569983121</v>
      </c>
      <c r="AG465">
        <f t="shared" si="63"/>
        <v>1.8477516191313039</v>
      </c>
      <c r="AH465">
        <f t="shared" si="64"/>
        <v>4.2159597007906999</v>
      </c>
      <c r="AI465">
        <f t="shared" si="65"/>
        <v>1.9819163216161539</v>
      </c>
      <c r="AK465">
        <f t="shared" si="66"/>
        <v>2.326520007383079</v>
      </c>
      <c r="AL465">
        <f t="shared" si="67"/>
        <v>0.47222563421819358</v>
      </c>
      <c r="AM465">
        <f t="shared" si="68"/>
        <v>0.46830094079487028</v>
      </c>
      <c r="AN465">
        <f t="shared" si="69"/>
        <v>4.0075087522098327</v>
      </c>
      <c r="AO465">
        <f t="shared" si="70"/>
        <v>0.46746815959340893</v>
      </c>
      <c r="AP465">
        <f t="shared" si="71"/>
        <v>3.5588754887809051</v>
      </c>
      <c r="AQ465">
        <f t="shared" si="72"/>
        <v>0.46089469442376868</v>
      </c>
      <c r="AR465">
        <f t="shared" si="73"/>
        <v>0.98335602480219675</v>
      </c>
      <c r="AS465">
        <f t="shared" si="74"/>
        <v>0.45937519302824509</v>
      </c>
      <c r="AT465">
        <f t="shared" si="75"/>
        <v>4.2159597007906999</v>
      </c>
      <c r="AU465">
        <f t="shared" si="76"/>
        <v>0.79337898980593313</v>
      </c>
    </row>
    <row r="466" spans="1:47" x14ac:dyDescent="0.3">
      <c r="A466">
        <v>5</v>
      </c>
      <c r="B466" t="s">
        <v>116</v>
      </c>
      <c r="C466" t="s">
        <v>113</v>
      </c>
      <c r="D466" t="s">
        <v>114</v>
      </c>
      <c r="F466" s="7">
        <v>0</v>
      </c>
      <c r="G466" s="7">
        <v>1</v>
      </c>
      <c r="H466" s="3">
        <v>0</v>
      </c>
      <c r="I466">
        <f t="shared" si="77"/>
        <v>0</v>
      </c>
      <c r="J466">
        <f t="shared" si="77"/>
        <v>1</v>
      </c>
      <c r="K466">
        <v>3</v>
      </c>
      <c r="L466">
        <v>0</v>
      </c>
      <c r="M466">
        <f t="shared" si="44"/>
        <v>781166.8</v>
      </c>
      <c r="N466">
        <f t="shared" si="45"/>
        <v>1391345.2</v>
      </c>
      <c r="O466">
        <f t="shared" si="46"/>
        <v>1404313</v>
      </c>
      <c r="P466">
        <f t="shared" si="47"/>
        <v>1547781.6</v>
      </c>
      <c r="Q466">
        <f t="shared" si="48"/>
        <v>1883512.6</v>
      </c>
      <c r="R466">
        <f t="shared" si="49"/>
        <v>1990193</v>
      </c>
      <c r="S466">
        <f t="shared" si="50"/>
        <v>1962113.4</v>
      </c>
      <c r="T466">
        <f t="shared" si="51"/>
        <v>3853685</v>
      </c>
      <c r="U466">
        <f t="shared" si="52"/>
        <v>3063502.8</v>
      </c>
      <c r="V466">
        <f t="shared" si="53"/>
        <v>3464936</v>
      </c>
      <c r="W466">
        <f t="shared" si="54"/>
        <v>2583664.4</v>
      </c>
      <c r="Y466">
        <f t="shared" si="55"/>
        <v>0.77720446860184889</v>
      </c>
      <c r="Z466">
        <f t="shared" si="56"/>
        <v>1.5785295416135341</v>
      </c>
      <c r="AA466">
        <f t="shared" si="57"/>
        <v>1.5784353168215599</v>
      </c>
      <c r="AB466">
        <f t="shared" si="58"/>
        <v>0.91531379540101621</v>
      </c>
      <c r="AC466">
        <f t="shared" si="59"/>
        <v>2.060980108787771</v>
      </c>
      <c r="AD466">
        <f t="shared" si="60"/>
        <v>1.6322687602136281</v>
      </c>
      <c r="AE466">
        <f t="shared" si="61"/>
        <v>2.1024657604168171</v>
      </c>
      <c r="AF466">
        <f t="shared" si="62"/>
        <v>1.718714826204814</v>
      </c>
      <c r="AG466">
        <f t="shared" si="63"/>
        <v>1.8385599297354931</v>
      </c>
      <c r="AH466">
        <f t="shared" si="64"/>
        <v>3.8183293513953691</v>
      </c>
      <c r="AI466">
        <f t="shared" si="65"/>
        <v>3.2655953711480832</v>
      </c>
      <c r="AK466">
        <f t="shared" si="66"/>
        <v>0.77720446860184889</v>
      </c>
      <c r="AL466">
        <f t="shared" si="67"/>
        <v>0.71341981521109121</v>
      </c>
      <c r="AM466">
        <f t="shared" si="68"/>
        <v>0.71905556202400478</v>
      </c>
      <c r="AN466">
        <f t="shared" si="69"/>
        <v>0.91531379540101621</v>
      </c>
      <c r="AO466">
        <f t="shared" si="70"/>
        <v>1.0770820187986829</v>
      </c>
      <c r="AP466">
        <f t="shared" si="71"/>
        <v>1.6322687602136281</v>
      </c>
      <c r="AQ466">
        <f t="shared" si="72"/>
        <v>1.0111933248117571</v>
      </c>
      <c r="AR466">
        <f t="shared" si="73"/>
        <v>0.96772316400893033</v>
      </c>
      <c r="AS466">
        <f t="shared" si="74"/>
        <v>0.44842205838067462</v>
      </c>
      <c r="AT466">
        <f t="shared" si="75"/>
        <v>3.8183293513953691</v>
      </c>
      <c r="AU466">
        <f t="shared" si="76"/>
        <v>1.770759271166753</v>
      </c>
    </row>
    <row r="467" spans="1:47" x14ac:dyDescent="0.3">
      <c r="A467">
        <v>5</v>
      </c>
      <c r="B467" t="s">
        <v>117</v>
      </c>
      <c r="C467" t="s">
        <v>113</v>
      </c>
      <c r="D467" t="s">
        <v>114</v>
      </c>
      <c r="F467" s="7">
        <v>0</v>
      </c>
      <c r="G467" s="7">
        <v>0</v>
      </c>
      <c r="H467" s="3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>
        <f t="shared" si="44"/>
        <v>4408749</v>
      </c>
      <c r="N467">
        <f t="shared" si="45"/>
        <v>1079557.8</v>
      </c>
      <c r="O467">
        <f t="shared" si="46"/>
        <v>1081122.3999999999</v>
      </c>
      <c r="P467">
        <f t="shared" si="47"/>
        <v>2025758.4</v>
      </c>
      <c r="Q467">
        <f t="shared" si="48"/>
        <v>414201.8</v>
      </c>
      <c r="R467">
        <f t="shared" si="49"/>
        <v>9883125.4000000004</v>
      </c>
      <c r="S467">
        <f t="shared" si="50"/>
        <v>441963.6</v>
      </c>
      <c r="T467">
        <f t="shared" si="51"/>
        <v>4039682.4</v>
      </c>
      <c r="U467">
        <f t="shared" si="52"/>
        <v>3210476.6</v>
      </c>
      <c r="V467">
        <f t="shared" si="53"/>
        <v>11459876.6</v>
      </c>
      <c r="W467">
        <f t="shared" si="54"/>
        <v>862534</v>
      </c>
      <c r="Y467">
        <f t="shared" si="55"/>
        <v>3.7213982498040421</v>
      </c>
      <c r="Z467">
        <f t="shared" si="56"/>
        <v>1.2658303431235249</v>
      </c>
      <c r="AA467">
        <f t="shared" si="57"/>
        <v>1.248043701204006</v>
      </c>
      <c r="AB467">
        <f t="shared" si="58"/>
        <v>2.3773119978024631</v>
      </c>
      <c r="AC467">
        <f t="shared" si="59"/>
        <v>0.90872376683983025</v>
      </c>
      <c r="AD467">
        <f t="shared" si="60"/>
        <v>8.5962411609827534</v>
      </c>
      <c r="AE467">
        <f t="shared" si="61"/>
        <v>1.108204171061516</v>
      </c>
      <c r="AF467">
        <f t="shared" si="62"/>
        <v>1.819191434024833</v>
      </c>
      <c r="AG467">
        <f t="shared" si="63"/>
        <v>1.944710770028178</v>
      </c>
      <c r="AH467">
        <f t="shared" si="64"/>
        <v>6.6055439088027921</v>
      </c>
      <c r="AI467">
        <f t="shared" si="65"/>
        <v>2.095383129967376</v>
      </c>
      <c r="AK467">
        <f t="shared" si="66"/>
        <v>3.7213982498040421</v>
      </c>
      <c r="AL467">
        <f t="shared" si="67"/>
        <v>0.52614816419081767</v>
      </c>
      <c r="AM467">
        <f t="shared" si="68"/>
        <v>0.51440937200095505</v>
      </c>
      <c r="AN467">
        <f t="shared" si="69"/>
        <v>2.3773119978024631</v>
      </c>
      <c r="AO467">
        <f t="shared" si="70"/>
        <v>0.43981112500187008</v>
      </c>
      <c r="AP467">
        <f t="shared" si="71"/>
        <v>8.5962411609827534</v>
      </c>
      <c r="AQ467">
        <f t="shared" si="72"/>
        <v>0.52049540781881665</v>
      </c>
      <c r="AR467">
        <f t="shared" si="73"/>
        <v>1.0547347530140541</v>
      </c>
      <c r="AS467">
        <f t="shared" si="74"/>
        <v>0.49058012181194499</v>
      </c>
      <c r="AT467">
        <f t="shared" si="75"/>
        <v>6.6055439088027921</v>
      </c>
      <c r="AU467">
        <f t="shared" si="76"/>
        <v>0.8780423460062593</v>
      </c>
    </row>
    <row r="468" spans="1:47" x14ac:dyDescent="0.3">
      <c r="A468">
        <v>5</v>
      </c>
      <c r="B468" t="s">
        <v>118</v>
      </c>
      <c r="C468" t="s">
        <v>113</v>
      </c>
      <c r="D468" t="s">
        <v>114</v>
      </c>
      <c r="F468" s="7">
        <v>0</v>
      </c>
      <c r="G468" s="7">
        <v>1</v>
      </c>
      <c r="H468" s="3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>
        <f t="shared" si="44"/>
        <v>5315485</v>
      </c>
      <c r="N468">
        <f t="shared" si="45"/>
        <v>1128305.6000000001</v>
      </c>
      <c r="O468">
        <f t="shared" si="46"/>
        <v>1127957.3999999999</v>
      </c>
      <c r="P468">
        <f t="shared" si="47"/>
        <v>15647339</v>
      </c>
      <c r="Q468">
        <f t="shared" si="48"/>
        <v>806524.6</v>
      </c>
      <c r="R468">
        <f t="shared" si="49"/>
        <v>12464840.6</v>
      </c>
      <c r="S468">
        <f t="shared" si="50"/>
        <v>718181.2</v>
      </c>
      <c r="T468">
        <f t="shared" si="51"/>
        <v>4336350.8</v>
      </c>
      <c r="U468">
        <f t="shared" si="52"/>
        <v>3249082.6</v>
      </c>
      <c r="V468">
        <f t="shared" si="53"/>
        <v>15843471.800000001</v>
      </c>
      <c r="W468">
        <f t="shared" si="54"/>
        <v>914248.4</v>
      </c>
      <c r="Y468">
        <f t="shared" si="55"/>
        <v>4.8149044131976551</v>
      </c>
      <c r="Z468">
        <f t="shared" si="56"/>
        <v>1.2693264472065491</v>
      </c>
      <c r="AA468">
        <f t="shared" si="57"/>
        <v>1.266229727573227</v>
      </c>
      <c r="AB468">
        <f t="shared" si="58"/>
        <v>15.933516612194939</v>
      </c>
      <c r="AC468">
        <f t="shared" si="59"/>
        <v>1.271136161399772</v>
      </c>
      <c r="AD468">
        <f t="shared" si="60"/>
        <v>10.1368539991905</v>
      </c>
      <c r="AE468">
        <f t="shared" si="61"/>
        <v>1.295413589198142</v>
      </c>
      <c r="AF468">
        <f t="shared" si="62"/>
        <v>2.116120262362529</v>
      </c>
      <c r="AG468">
        <f t="shared" si="63"/>
        <v>1.9811340127722361</v>
      </c>
      <c r="AH468">
        <f t="shared" si="64"/>
        <v>8.2049888856126927</v>
      </c>
      <c r="AI468">
        <f t="shared" si="65"/>
        <v>2.0024821377941411</v>
      </c>
      <c r="AK468">
        <f t="shared" si="66"/>
        <v>4.8149044131976551</v>
      </c>
      <c r="AL468">
        <f t="shared" si="67"/>
        <v>0.53384853159077461</v>
      </c>
      <c r="AM468">
        <f t="shared" si="68"/>
        <v>0.5280718225752935</v>
      </c>
      <c r="AN468">
        <f t="shared" si="69"/>
        <v>15.933516612194939</v>
      </c>
      <c r="AO468">
        <f t="shared" si="70"/>
        <v>0.5628122092108242</v>
      </c>
      <c r="AP468">
        <f t="shared" si="71"/>
        <v>10.1368539991905</v>
      </c>
      <c r="AQ468">
        <f t="shared" si="72"/>
        <v>0.56930906638735901</v>
      </c>
      <c r="AR468">
        <f t="shared" si="73"/>
        <v>1.240511595772114</v>
      </c>
      <c r="AS468">
        <f t="shared" si="74"/>
        <v>0.48207425555447109</v>
      </c>
      <c r="AT468">
        <f t="shared" si="75"/>
        <v>8.2049888856126927</v>
      </c>
      <c r="AU468">
        <f t="shared" si="76"/>
        <v>0.91113970160949975</v>
      </c>
    </row>
    <row r="469" spans="1:47" x14ac:dyDescent="0.3">
      <c r="A469">
        <v>5</v>
      </c>
      <c r="B469" t="s">
        <v>119</v>
      </c>
      <c r="C469" t="s">
        <v>113</v>
      </c>
      <c r="D469" t="s">
        <v>114</v>
      </c>
      <c r="F469" s="7">
        <v>0</v>
      </c>
      <c r="G469" s="7">
        <v>0</v>
      </c>
      <c r="H469" s="3">
        <v>0</v>
      </c>
      <c r="I469">
        <f t="shared" si="77"/>
        <v>0</v>
      </c>
      <c r="J469">
        <f t="shared" si="77"/>
        <v>1</v>
      </c>
      <c r="K469">
        <v>3</v>
      </c>
      <c r="L469">
        <v>0</v>
      </c>
      <c r="M469">
        <f t="shared" si="44"/>
        <v>1032997.2</v>
      </c>
      <c r="N469">
        <f t="shared" si="45"/>
        <v>1600626.8</v>
      </c>
      <c r="O469">
        <f t="shared" si="46"/>
        <v>1609792.6</v>
      </c>
      <c r="P469">
        <f t="shared" si="47"/>
        <v>569045.4</v>
      </c>
      <c r="Q469">
        <f t="shared" si="48"/>
        <v>2313565.7999999998</v>
      </c>
      <c r="R469">
        <f t="shared" si="49"/>
        <v>3558555.6</v>
      </c>
      <c r="S469">
        <f t="shared" si="50"/>
        <v>3142883</v>
      </c>
      <c r="T469">
        <f t="shared" si="51"/>
        <v>3929436.4</v>
      </c>
      <c r="U469">
        <f t="shared" si="52"/>
        <v>3093102</v>
      </c>
      <c r="V469">
        <f t="shared" si="53"/>
        <v>3126287.2</v>
      </c>
      <c r="W469">
        <f t="shared" si="54"/>
        <v>4878558.5999999996</v>
      </c>
      <c r="Y469">
        <f t="shared" si="55"/>
        <v>1.0904556163935919</v>
      </c>
      <c r="Z469">
        <f t="shared" si="56"/>
        <v>1.8154895026120359</v>
      </c>
      <c r="AA469">
        <f t="shared" si="57"/>
        <v>1.814957960753236</v>
      </c>
      <c r="AB469">
        <f t="shared" si="58"/>
        <v>1.0386526652029719</v>
      </c>
      <c r="AC469">
        <f t="shared" si="59"/>
        <v>2.535475677007343</v>
      </c>
      <c r="AD469">
        <f t="shared" si="60"/>
        <v>2.4195017033838671</v>
      </c>
      <c r="AE469">
        <f t="shared" si="61"/>
        <v>3.2100725213764241</v>
      </c>
      <c r="AF469">
        <f t="shared" si="62"/>
        <v>1.7698489721980879</v>
      </c>
      <c r="AG469">
        <f t="shared" si="63"/>
        <v>1.862958315131255</v>
      </c>
      <c r="AH469">
        <f t="shared" si="64"/>
        <v>3.7441791357938201</v>
      </c>
      <c r="AI469">
        <f t="shared" si="65"/>
        <v>4.0683466702350417</v>
      </c>
      <c r="AK469">
        <f t="shared" si="66"/>
        <v>1.0904556163935919</v>
      </c>
      <c r="AL469">
        <f t="shared" si="67"/>
        <v>0.85349586439551783</v>
      </c>
      <c r="AM469">
        <f t="shared" si="68"/>
        <v>0.85781254097819326</v>
      </c>
      <c r="AN469">
        <f t="shared" si="69"/>
        <v>1.0386526652029719</v>
      </c>
      <c r="AO469">
        <f t="shared" si="70"/>
        <v>1.410956723400159</v>
      </c>
      <c r="AP469">
        <f t="shared" si="71"/>
        <v>2.4195017033838671</v>
      </c>
      <c r="AQ469">
        <f t="shared" si="72"/>
        <v>1.641120004374534</v>
      </c>
      <c r="AR469">
        <f t="shared" si="73"/>
        <v>0.97252671140013258</v>
      </c>
      <c r="AS469">
        <f t="shared" si="74"/>
        <v>0.47796432479517542</v>
      </c>
      <c r="AT469">
        <f t="shared" si="75"/>
        <v>3.7441791357938201</v>
      </c>
      <c r="AU469">
        <f t="shared" si="76"/>
        <v>2.3764756922260859</v>
      </c>
    </row>
    <row r="470" spans="1:47" x14ac:dyDescent="0.3">
      <c r="A470">
        <v>5</v>
      </c>
      <c r="B470" t="s">
        <v>120</v>
      </c>
      <c r="C470" t="s">
        <v>113</v>
      </c>
      <c r="D470" t="s">
        <v>114</v>
      </c>
      <c r="F470" s="7">
        <v>0</v>
      </c>
      <c r="G470" s="7">
        <v>0</v>
      </c>
      <c r="H470" s="3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789100.4</v>
      </c>
      <c r="O470">
        <f t="shared" si="46"/>
        <v>788832.2</v>
      </c>
      <c r="P470">
        <f t="shared" si="47"/>
        <v>2397875.6</v>
      </c>
      <c r="Q470">
        <f t="shared" si="48"/>
        <v>352548.4</v>
      </c>
      <c r="R470">
        <f t="shared" si="49"/>
        <v>5850146.2000000002</v>
      </c>
      <c r="S470">
        <f t="shared" si="50"/>
        <v>254807.6</v>
      </c>
      <c r="T470">
        <f t="shared" si="51"/>
        <v>3855495.2</v>
      </c>
      <c r="U470">
        <f t="shared" si="52"/>
        <v>3013265.6</v>
      </c>
      <c r="V470">
        <f t="shared" si="53"/>
        <v>3518969</v>
      </c>
      <c r="W470">
        <f t="shared" si="54"/>
        <v>465597.2</v>
      </c>
      <c r="Y470">
        <f t="shared" si="55"/>
        <v>1.900030914798845</v>
      </c>
      <c r="Z470">
        <f t="shared" si="56"/>
        <v>1.035229437996168</v>
      </c>
      <c r="AA470">
        <f t="shared" si="57"/>
        <v>1.0310965198441411</v>
      </c>
      <c r="AB470">
        <f t="shared" si="58"/>
        <v>2.2364979353966188</v>
      </c>
      <c r="AC470">
        <f t="shared" si="59"/>
        <v>0.845020467415452</v>
      </c>
      <c r="AD470">
        <f t="shared" si="60"/>
        <v>4.8555480809882283</v>
      </c>
      <c r="AE470">
        <f t="shared" si="61"/>
        <v>0.84718133044661958</v>
      </c>
      <c r="AF470">
        <f t="shared" si="62"/>
        <v>1.7152353463927279</v>
      </c>
      <c r="AG470">
        <f t="shared" si="63"/>
        <v>1.8000188064295799</v>
      </c>
      <c r="AH470">
        <f t="shared" si="64"/>
        <v>3.782669536606408</v>
      </c>
      <c r="AI470">
        <f t="shared" si="65"/>
        <v>1.5206758356653149</v>
      </c>
      <c r="AK470">
        <f t="shared" si="66"/>
        <v>1.900030914798845</v>
      </c>
      <c r="AL470">
        <f t="shared" si="67"/>
        <v>0.43560034178663037</v>
      </c>
      <c r="AM470">
        <f t="shared" si="68"/>
        <v>0.43102273101685568</v>
      </c>
      <c r="AN470">
        <f t="shared" si="69"/>
        <v>2.2364979353966188</v>
      </c>
      <c r="AO470">
        <f t="shared" si="70"/>
        <v>0.42790218399604779</v>
      </c>
      <c r="AP470">
        <f t="shared" si="71"/>
        <v>4.8555480809882283</v>
      </c>
      <c r="AQ470">
        <f t="shared" si="72"/>
        <v>0.41058105942793188</v>
      </c>
      <c r="AR470">
        <f t="shared" si="73"/>
        <v>0.96538919060258199</v>
      </c>
      <c r="AS470">
        <f t="shared" si="74"/>
        <v>0.43919322813162581</v>
      </c>
      <c r="AT470">
        <f t="shared" si="75"/>
        <v>3.782669536606408</v>
      </c>
      <c r="AU470">
        <f t="shared" si="76"/>
        <v>0.72530627422966065</v>
      </c>
    </row>
    <row r="471" spans="1:47" x14ac:dyDescent="0.3">
      <c r="A471">
        <v>5</v>
      </c>
      <c r="B471" t="s">
        <v>121</v>
      </c>
      <c r="C471" t="s">
        <v>113</v>
      </c>
      <c r="D471" t="s">
        <v>114</v>
      </c>
      <c r="F471" s="7">
        <v>0</v>
      </c>
      <c r="G471" s="7">
        <v>1</v>
      </c>
      <c r="H471" s="3">
        <v>0</v>
      </c>
      <c r="I471">
        <f t="shared" si="77"/>
        <v>0</v>
      </c>
      <c r="J471">
        <f t="shared" si="77"/>
        <v>1</v>
      </c>
      <c r="K471">
        <v>3</v>
      </c>
      <c r="L471">
        <v>0</v>
      </c>
      <c r="M471">
        <f t="shared" si="44"/>
        <v>208470.2</v>
      </c>
      <c r="N471">
        <f t="shared" si="45"/>
        <v>2863036.6</v>
      </c>
      <c r="O471">
        <f t="shared" si="46"/>
        <v>2901896.2</v>
      </c>
      <c r="P471">
        <f t="shared" si="47"/>
        <v>202026.4</v>
      </c>
      <c r="Q471">
        <f t="shared" si="48"/>
        <v>4669454.4000000004</v>
      </c>
      <c r="R471">
        <f t="shared" si="49"/>
        <v>1063.5999999999999</v>
      </c>
      <c r="S471">
        <f t="shared" si="50"/>
        <v>5169893.2</v>
      </c>
      <c r="T471">
        <f t="shared" si="51"/>
        <v>4030484.4</v>
      </c>
      <c r="U471">
        <f t="shared" si="52"/>
        <v>3346468.6</v>
      </c>
      <c r="V471">
        <f t="shared" si="53"/>
        <v>4608.6000000000004</v>
      </c>
      <c r="W471">
        <f t="shared" si="54"/>
        <v>5970337</v>
      </c>
      <c r="Y471">
        <f t="shared" si="55"/>
        <v>0.36569223020924257</v>
      </c>
      <c r="Z471">
        <f t="shared" si="56"/>
        <v>2.849694967619143</v>
      </c>
      <c r="AA471">
        <f t="shared" si="57"/>
        <v>2.8687261188053532</v>
      </c>
      <c r="AB471">
        <f t="shared" si="58"/>
        <v>0.3927047835953999</v>
      </c>
      <c r="AC471">
        <f t="shared" si="59"/>
        <v>4.561984815384494</v>
      </c>
      <c r="AD471">
        <f t="shared" si="60"/>
        <v>9.05126225901767E-2</v>
      </c>
      <c r="AE471">
        <f t="shared" si="61"/>
        <v>4.4385620447923433</v>
      </c>
      <c r="AF471">
        <f t="shared" si="62"/>
        <v>1.821615403622854</v>
      </c>
      <c r="AG471">
        <f t="shared" si="63"/>
        <v>2.0484854225185698</v>
      </c>
      <c r="AH471">
        <f t="shared" si="64"/>
        <v>2.6615142601076482E-2</v>
      </c>
      <c r="AI471">
        <f t="shared" si="65"/>
        <v>6.5157201251713559</v>
      </c>
      <c r="AK471">
        <f t="shared" si="66"/>
        <v>0.36569223020924257</v>
      </c>
      <c r="AL471">
        <f t="shared" si="67"/>
        <v>1.1000620926031841</v>
      </c>
      <c r="AM471">
        <f t="shared" si="68"/>
        <v>1.118001760391053</v>
      </c>
      <c r="AN471">
        <f t="shared" si="69"/>
        <v>0.3927047835953999</v>
      </c>
      <c r="AO471">
        <f t="shared" si="70"/>
        <v>1.776501447003102</v>
      </c>
      <c r="AP471">
        <f t="shared" si="71"/>
        <v>9.05126225901767E-2</v>
      </c>
      <c r="AQ471">
        <f t="shared" si="72"/>
        <v>1.6666937173809859</v>
      </c>
      <c r="AR471">
        <f t="shared" si="73"/>
        <v>1.0662748630158601</v>
      </c>
      <c r="AS471">
        <f t="shared" si="74"/>
        <v>0.52699637981131675</v>
      </c>
      <c r="AT471">
        <f t="shared" si="75"/>
        <v>2.6615142601076482E-2</v>
      </c>
      <c r="AU471">
        <f t="shared" si="76"/>
        <v>4.3423161249840634</v>
      </c>
    </row>
    <row r="472" spans="1:47" x14ac:dyDescent="0.3">
      <c r="A472">
        <v>6</v>
      </c>
      <c r="B472" t="s">
        <v>122</v>
      </c>
      <c r="C472" t="s">
        <v>123</v>
      </c>
      <c r="D472" t="s">
        <v>124</v>
      </c>
      <c r="F472" s="7">
        <v>0</v>
      </c>
      <c r="G472" s="7">
        <v>0</v>
      </c>
      <c r="H472" s="3">
        <v>0</v>
      </c>
      <c r="I472">
        <f t="shared" si="77"/>
        <v>0</v>
      </c>
      <c r="J472">
        <f t="shared" si="77"/>
        <v>1</v>
      </c>
      <c r="K472">
        <v>3</v>
      </c>
      <c r="L472">
        <v>0</v>
      </c>
      <c r="M472">
        <f t="shared" si="44"/>
        <v>623122.6</v>
      </c>
      <c r="N472">
        <f t="shared" si="45"/>
        <v>816513</v>
      </c>
      <c r="O472">
        <f t="shared" si="46"/>
        <v>817960.4</v>
      </c>
      <c r="P472">
        <f t="shared" si="47"/>
        <v>444173</v>
      </c>
      <c r="Q472">
        <f t="shared" si="48"/>
        <v>403470.8</v>
      </c>
      <c r="R472">
        <f t="shared" si="49"/>
        <v>477290.2</v>
      </c>
      <c r="S472">
        <f t="shared" si="50"/>
        <v>319658.59999999998</v>
      </c>
      <c r="T472">
        <f t="shared" si="51"/>
        <v>3001506.4</v>
      </c>
      <c r="U472">
        <f t="shared" si="52"/>
        <v>2523854</v>
      </c>
      <c r="V472">
        <f t="shared" si="53"/>
        <v>1187507</v>
      </c>
      <c r="W472">
        <f t="shared" si="54"/>
        <v>1563524.8</v>
      </c>
      <c r="Y472">
        <f t="shared" si="55"/>
        <v>0.86089369499823076</v>
      </c>
      <c r="Z472">
        <f t="shared" si="56"/>
        <v>1.08777791041648</v>
      </c>
      <c r="AA472">
        <f t="shared" si="57"/>
        <v>1.091570929414593</v>
      </c>
      <c r="AB472">
        <f t="shared" si="58"/>
        <v>0.88723179540247654</v>
      </c>
      <c r="AC472">
        <f t="shared" si="59"/>
        <v>0.91650289660901763</v>
      </c>
      <c r="AD472">
        <f t="shared" si="60"/>
        <v>1.5877905315835961</v>
      </c>
      <c r="AE472">
        <f t="shared" si="61"/>
        <v>1.241834516415838</v>
      </c>
      <c r="AF472">
        <f t="shared" si="62"/>
        <v>0.45617367440136147</v>
      </c>
      <c r="AG472">
        <f t="shared" si="63"/>
        <v>0.87569670204538852</v>
      </c>
      <c r="AH472">
        <f t="shared" si="64"/>
        <v>3.0218935391982091</v>
      </c>
      <c r="AI472">
        <f t="shared" si="65"/>
        <v>2.1726156007498498</v>
      </c>
      <c r="AK472">
        <f t="shared" si="66"/>
        <v>0.86089369499823076</v>
      </c>
      <c r="AL472">
        <f t="shared" si="67"/>
        <v>0.52876477320678528</v>
      </c>
      <c r="AM472">
        <f t="shared" si="68"/>
        <v>0.52818242440698671</v>
      </c>
      <c r="AN472">
        <f t="shared" si="69"/>
        <v>0.88723179540247654</v>
      </c>
      <c r="AO472">
        <f t="shared" si="70"/>
        <v>0.50439080741489306</v>
      </c>
      <c r="AP472">
        <f t="shared" si="71"/>
        <v>1.5877905315835961</v>
      </c>
      <c r="AQ472">
        <f t="shared" si="72"/>
        <v>0.6442513952031732</v>
      </c>
      <c r="AR472">
        <f t="shared" si="73"/>
        <v>0.34955499978968868</v>
      </c>
      <c r="AS472">
        <f t="shared" si="74"/>
        <v>0.36799622921971598</v>
      </c>
      <c r="AT472">
        <f t="shared" si="75"/>
        <v>3.0218935391982091</v>
      </c>
      <c r="AU472">
        <f t="shared" si="76"/>
        <v>1.130339884373825</v>
      </c>
    </row>
    <row r="473" spans="1:47" x14ac:dyDescent="0.3">
      <c r="A473">
        <v>6</v>
      </c>
      <c r="B473" t="s">
        <v>125</v>
      </c>
      <c r="C473" t="s">
        <v>123</v>
      </c>
      <c r="D473" t="s">
        <v>124</v>
      </c>
      <c r="F473" s="7">
        <v>0</v>
      </c>
      <c r="G473" s="7">
        <v>1</v>
      </c>
      <c r="H473" s="3">
        <v>0</v>
      </c>
      <c r="I473">
        <f t="shared" si="77"/>
        <v>0</v>
      </c>
      <c r="J473">
        <f t="shared" si="77"/>
        <v>1</v>
      </c>
      <c r="K473">
        <v>3</v>
      </c>
      <c r="L473">
        <v>0</v>
      </c>
      <c r="M473">
        <f t="shared" si="44"/>
        <v>391828.4</v>
      </c>
      <c r="N473">
        <f t="shared" si="45"/>
        <v>666678.6</v>
      </c>
      <c r="O473">
        <f t="shared" si="46"/>
        <v>668773.4</v>
      </c>
      <c r="P473">
        <f t="shared" si="47"/>
        <v>236045</v>
      </c>
      <c r="Q473">
        <f t="shared" si="48"/>
        <v>311409.8</v>
      </c>
      <c r="R473">
        <f t="shared" si="49"/>
        <v>195592.4</v>
      </c>
      <c r="S473">
        <f t="shared" si="50"/>
        <v>275975.59999999998</v>
      </c>
      <c r="T473">
        <f t="shared" si="51"/>
        <v>2999604.4</v>
      </c>
      <c r="U473">
        <f t="shared" si="52"/>
        <v>2510836.2000000002</v>
      </c>
      <c r="V473">
        <f t="shared" si="53"/>
        <v>72201.600000000006</v>
      </c>
      <c r="W473">
        <f t="shared" si="54"/>
        <v>408801.8</v>
      </c>
      <c r="Y473">
        <f t="shared" si="55"/>
        <v>0.48890694922301919</v>
      </c>
      <c r="Z473">
        <f t="shared" si="56"/>
        <v>0.90291068556252863</v>
      </c>
      <c r="AA473">
        <f t="shared" si="57"/>
        <v>0.89949367396766322</v>
      </c>
      <c r="AB473">
        <f t="shared" si="58"/>
        <v>0.44756351780379189</v>
      </c>
      <c r="AC473">
        <f t="shared" si="59"/>
        <v>0.76241889619268477</v>
      </c>
      <c r="AD473">
        <f t="shared" si="60"/>
        <v>1.050590835383628</v>
      </c>
      <c r="AE473">
        <f t="shared" si="61"/>
        <v>1.3006843907991421</v>
      </c>
      <c r="AF473">
        <f t="shared" si="62"/>
        <v>0.45893777018645782</v>
      </c>
      <c r="AG473">
        <f t="shared" si="63"/>
        <v>0.8666222185012884</v>
      </c>
      <c r="AH473">
        <f t="shared" si="64"/>
        <v>0.1344731542048975</v>
      </c>
      <c r="AI473">
        <f t="shared" si="65"/>
        <v>0.96017597737954929</v>
      </c>
      <c r="AK473">
        <f t="shared" si="66"/>
        <v>0.48890694922301919</v>
      </c>
      <c r="AL473">
        <f t="shared" si="67"/>
        <v>0.51079536559991534</v>
      </c>
      <c r="AM473">
        <f t="shared" si="68"/>
        <v>0.51048287780722601</v>
      </c>
      <c r="AN473">
        <f t="shared" si="69"/>
        <v>0.44756351780379189</v>
      </c>
      <c r="AO473">
        <f t="shared" si="70"/>
        <v>0.45193443840835251</v>
      </c>
      <c r="AP473">
        <f t="shared" si="71"/>
        <v>1.050590835383628</v>
      </c>
      <c r="AQ473">
        <f t="shared" si="72"/>
        <v>0.62453108399640767</v>
      </c>
      <c r="AR473">
        <f t="shared" si="73"/>
        <v>0.35063259239541361</v>
      </c>
      <c r="AS473">
        <f t="shared" si="74"/>
        <v>0.36819748922716827</v>
      </c>
      <c r="AT473">
        <f t="shared" si="75"/>
        <v>0.1344731542048975</v>
      </c>
      <c r="AU473">
        <f t="shared" si="76"/>
        <v>0.61300960917724301</v>
      </c>
    </row>
    <row r="474" spans="1:47" x14ac:dyDescent="0.3">
      <c r="A474">
        <v>6</v>
      </c>
      <c r="B474" t="s">
        <v>126</v>
      </c>
      <c r="C474" t="s">
        <v>123</v>
      </c>
      <c r="D474" t="s">
        <v>124</v>
      </c>
      <c r="F474" s="7">
        <v>0</v>
      </c>
      <c r="G474" s="7">
        <v>1</v>
      </c>
      <c r="H474" s="3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>
        <f t="shared" si="44"/>
        <v>367392.4</v>
      </c>
      <c r="N474">
        <f t="shared" si="45"/>
        <v>597864.6</v>
      </c>
      <c r="O474">
        <f t="shared" si="46"/>
        <v>597504</v>
      </c>
      <c r="P474">
        <f t="shared" si="47"/>
        <v>433332.4</v>
      </c>
      <c r="Q474">
        <f t="shared" si="48"/>
        <v>313664.59999999998</v>
      </c>
      <c r="R474">
        <f t="shared" si="49"/>
        <v>289901.59999999998</v>
      </c>
      <c r="S474">
        <f t="shared" si="50"/>
        <v>280131</v>
      </c>
      <c r="T474">
        <f t="shared" si="51"/>
        <v>2965491.8</v>
      </c>
      <c r="U474">
        <f t="shared" si="52"/>
        <v>2461744.6</v>
      </c>
      <c r="V474">
        <f t="shared" si="53"/>
        <v>21360</v>
      </c>
      <c r="W474">
        <f t="shared" si="54"/>
        <v>144768.20000000001</v>
      </c>
      <c r="Y474">
        <f t="shared" si="55"/>
        <v>0.44471540739759802</v>
      </c>
      <c r="Z474">
        <f t="shared" si="56"/>
        <v>0.8560472303885035</v>
      </c>
      <c r="AA474">
        <f t="shared" si="57"/>
        <v>0.85850930326851083</v>
      </c>
      <c r="AB474">
        <f t="shared" si="58"/>
        <v>0.54728572760359384</v>
      </c>
      <c r="AC474">
        <f t="shared" si="59"/>
        <v>0.74354919458855873</v>
      </c>
      <c r="AD474">
        <f t="shared" si="60"/>
        <v>1.131377794011496</v>
      </c>
      <c r="AE474">
        <f t="shared" si="61"/>
        <v>1.2169149446650409</v>
      </c>
      <c r="AF474">
        <f t="shared" si="62"/>
        <v>0.4193845850182697</v>
      </c>
      <c r="AG474">
        <f t="shared" si="63"/>
        <v>0.79832104938104753</v>
      </c>
      <c r="AH474">
        <f t="shared" si="64"/>
        <v>7.91079525952227E-2</v>
      </c>
      <c r="AI474">
        <f t="shared" si="65"/>
        <v>0.58385326380375768</v>
      </c>
      <c r="AK474">
        <f t="shared" si="66"/>
        <v>0.44471540739759802</v>
      </c>
      <c r="AL474">
        <f t="shared" si="67"/>
        <v>0.45777273139683528</v>
      </c>
      <c r="AM474">
        <f t="shared" si="68"/>
        <v>0.45943175203865388</v>
      </c>
      <c r="AN474">
        <f t="shared" si="69"/>
        <v>0.54728572760359384</v>
      </c>
      <c r="AO474">
        <f t="shared" si="70"/>
        <v>0.43442619441193531</v>
      </c>
      <c r="AP474">
        <f t="shared" si="71"/>
        <v>1.131377794011496</v>
      </c>
      <c r="AQ474">
        <f t="shared" si="72"/>
        <v>0.5505932025960647</v>
      </c>
      <c r="AR474">
        <f t="shared" si="73"/>
        <v>0.34861334061715749</v>
      </c>
      <c r="AS474">
        <f t="shared" si="74"/>
        <v>0.35919226180994879</v>
      </c>
      <c r="AT474">
        <f t="shared" si="75"/>
        <v>7.91079525952227E-2</v>
      </c>
      <c r="AU474">
        <f t="shared" si="76"/>
        <v>0.44593868320807822</v>
      </c>
    </row>
    <row r="475" spans="1:47" x14ac:dyDescent="0.3">
      <c r="A475">
        <v>6</v>
      </c>
      <c r="B475" t="s">
        <v>127</v>
      </c>
      <c r="C475" t="s">
        <v>123</v>
      </c>
      <c r="D475" t="s">
        <v>124</v>
      </c>
      <c r="F475" s="7">
        <v>0</v>
      </c>
      <c r="G475" s="7">
        <v>0</v>
      </c>
      <c r="H475" s="3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>
        <f t="shared" si="44"/>
        <v>355374.2</v>
      </c>
      <c r="N475">
        <f t="shared" si="45"/>
        <v>3578286.8</v>
      </c>
      <c r="O475">
        <f t="shared" si="46"/>
        <v>3608216.8</v>
      </c>
      <c r="P475">
        <f t="shared" si="47"/>
        <v>234725.8</v>
      </c>
      <c r="Q475">
        <f t="shared" si="48"/>
        <v>1868387</v>
      </c>
      <c r="R475">
        <f t="shared" si="49"/>
        <v>217926.39999999999</v>
      </c>
      <c r="S475">
        <f t="shared" si="50"/>
        <v>1819811.6</v>
      </c>
      <c r="T475">
        <f t="shared" si="51"/>
        <v>2964979.6</v>
      </c>
      <c r="U475">
        <f t="shared" si="52"/>
        <v>2477394.4</v>
      </c>
      <c r="V475">
        <f t="shared" si="53"/>
        <v>527.4</v>
      </c>
      <c r="W475">
        <f t="shared" si="54"/>
        <v>2844899.4</v>
      </c>
      <c r="Y475">
        <f t="shared" si="55"/>
        <v>0.39949024759698659</v>
      </c>
      <c r="Z475">
        <f t="shared" si="56"/>
        <v>6.2881164464168249</v>
      </c>
      <c r="AA475">
        <f t="shared" si="57"/>
        <v>6.2688206602586432</v>
      </c>
      <c r="AB475">
        <f t="shared" si="58"/>
        <v>0.37008581879199481</v>
      </c>
      <c r="AC475">
        <f t="shared" si="59"/>
        <v>6.0486680278030693</v>
      </c>
      <c r="AD475">
        <f t="shared" si="60"/>
        <v>1.060795219813008</v>
      </c>
      <c r="AE475">
        <f t="shared" si="61"/>
        <v>6.2613938814494761</v>
      </c>
      <c r="AF475">
        <f t="shared" si="62"/>
        <v>0.40867232895689087</v>
      </c>
      <c r="AG475">
        <f t="shared" si="63"/>
        <v>0.79450864398386334</v>
      </c>
      <c r="AH475">
        <f t="shared" si="64"/>
        <v>7.8896421939133998E-3</v>
      </c>
      <c r="AI475">
        <f t="shared" si="65"/>
        <v>13.49791963597527</v>
      </c>
      <c r="AK475">
        <f t="shared" si="66"/>
        <v>0.39949024759698659</v>
      </c>
      <c r="AL475">
        <f t="shared" si="67"/>
        <v>2.842447936779354</v>
      </c>
      <c r="AM475">
        <f t="shared" si="68"/>
        <v>2.8465658915811218</v>
      </c>
      <c r="AN475">
        <f t="shared" si="69"/>
        <v>0.37008581879199481</v>
      </c>
      <c r="AO475">
        <f t="shared" si="70"/>
        <v>2.6853717030026019</v>
      </c>
      <c r="AP475">
        <f t="shared" si="71"/>
        <v>1.060795219813008</v>
      </c>
      <c r="AQ475">
        <f t="shared" si="72"/>
        <v>2.698621195799205</v>
      </c>
      <c r="AR475">
        <f t="shared" si="73"/>
        <v>0.33735645216656851</v>
      </c>
      <c r="AS475">
        <f t="shared" si="74"/>
        <v>0.36297887400723988</v>
      </c>
      <c r="AT475">
        <f t="shared" si="75"/>
        <v>7.8896421939133998E-3</v>
      </c>
      <c r="AU475">
        <f t="shared" si="76"/>
        <v>11.98439224817557</v>
      </c>
    </row>
    <row r="476" spans="1:47" x14ac:dyDescent="0.3">
      <c r="A476">
        <v>6</v>
      </c>
      <c r="B476" t="s">
        <v>128</v>
      </c>
      <c r="C476" t="s">
        <v>123</v>
      </c>
      <c r="D476" t="s">
        <v>124</v>
      </c>
      <c r="F476" s="7">
        <v>0</v>
      </c>
      <c r="G476" s="7">
        <v>1</v>
      </c>
      <c r="H476" s="3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>
        <f t="shared" si="44"/>
        <v>1103736</v>
      </c>
      <c r="N476">
        <f t="shared" si="45"/>
        <v>793767.8</v>
      </c>
      <c r="O476">
        <f t="shared" si="46"/>
        <v>792834.8</v>
      </c>
      <c r="P476">
        <f t="shared" si="47"/>
        <v>869599.8</v>
      </c>
      <c r="Q476">
        <f t="shared" si="48"/>
        <v>384019</v>
      </c>
      <c r="R476">
        <f t="shared" si="49"/>
        <v>1407443.4</v>
      </c>
      <c r="S476">
        <f t="shared" si="50"/>
        <v>313688.8</v>
      </c>
      <c r="T476">
        <f t="shared" si="51"/>
        <v>3038410.8</v>
      </c>
      <c r="U476">
        <f t="shared" si="52"/>
        <v>2526175.6</v>
      </c>
      <c r="V476">
        <f t="shared" si="53"/>
        <v>2238261</v>
      </c>
      <c r="W476">
        <f t="shared" si="54"/>
        <v>1270688.2</v>
      </c>
      <c r="Y476">
        <f t="shared" si="55"/>
        <v>1.263480119616724</v>
      </c>
      <c r="Z476">
        <f t="shared" si="56"/>
        <v>1.092781116964761</v>
      </c>
      <c r="AA476">
        <f t="shared" si="57"/>
        <v>1.085530032566749</v>
      </c>
      <c r="AB476">
        <f t="shared" si="58"/>
        <v>1.2152948332019149</v>
      </c>
      <c r="AC476">
        <f t="shared" si="59"/>
        <v>0.94691844022017901</v>
      </c>
      <c r="AD476">
        <f t="shared" si="60"/>
        <v>2.2308321717893711</v>
      </c>
      <c r="AE476">
        <f t="shared" si="61"/>
        <v>1.2554184164037001</v>
      </c>
      <c r="AF476">
        <f t="shared" si="62"/>
        <v>0.48643642720999197</v>
      </c>
      <c r="AG476">
        <f t="shared" si="63"/>
        <v>0.88857755108037961</v>
      </c>
      <c r="AH476">
        <f t="shared" si="64"/>
        <v>3.1908217324060391</v>
      </c>
      <c r="AI476">
        <f t="shared" si="65"/>
        <v>2.1169072114047589</v>
      </c>
      <c r="AK476">
        <f t="shared" si="66"/>
        <v>1.263480119616724</v>
      </c>
      <c r="AL476">
        <f t="shared" si="67"/>
        <v>0.55221335698151963</v>
      </c>
      <c r="AM476">
        <f t="shared" si="68"/>
        <v>0.54746163497911771</v>
      </c>
      <c r="AN476">
        <f t="shared" si="69"/>
        <v>1.2152948332019149</v>
      </c>
      <c r="AO476">
        <f t="shared" si="70"/>
        <v>0.52536475340020838</v>
      </c>
      <c r="AP476">
        <f t="shared" si="71"/>
        <v>2.2308321717893711</v>
      </c>
      <c r="AQ476">
        <f t="shared" si="72"/>
        <v>0.58831009822897617</v>
      </c>
      <c r="AR476">
        <f t="shared" si="73"/>
        <v>0.3737473484245129</v>
      </c>
      <c r="AS476">
        <f t="shared" si="74"/>
        <v>0.37357559517258782</v>
      </c>
      <c r="AT476">
        <f t="shared" si="75"/>
        <v>3.1908217324060391</v>
      </c>
      <c r="AU476">
        <f t="shared" si="76"/>
        <v>1.0525147610227581</v>
      </c>
    </row>
    <row r="477" spans="1:47" x14ac:dyDescent="0.3">
      <c r="A477">
        <v>6</v>
      </c>
      <c r="B477" t="s">
        <v>129</v>
      </c>
      <c r="C477" t="s">
        <v>123</v>
      </c>
      <c r="D477" t="s">
        <v>124</v>
      </c>
      <c r="F477" s="7">
        <v>0</v>
      </c>
      <c r="G477" s="7">
        <v>0</v>
      </c>
      <c r="H477" s="3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>
        <f t="shared" si="44"/>
        <v>570411.80000000005</v>
      </c>
      <c r="N477">
        <f t="shared" si="45"/>
        <v>612609.4</v>
      </c>
      <c r="O477">
        <f t="shared" si="46"/>
        <v>612590</v>
      </c>
      <c r="P477">
        <f t="shared" si="47"/>
        <v>286209.59999999998</v>
      </c>
      <c r="Q477">
        <f t="shared" si="48"/>
        <v>260013.4</v>
      </c>
      <c r="R477">
        <f t="shared" si="49"/>
        <v>228253.6</v>
      </c>
      <c r="S477">
        <f t="shared" si="50"/>
        <v>238487.8</v>
      </c>
      <c r="T477">
        <f t="shared" si="51"/>
        <v>3037943.2</v>
      </c>
      <c r="U477">
        <f t="shared" si="52"/>
        <v>2513656.7999999998</v>
      </c>
      <c r="V477">
        <f t="shared" si="53"/>
        <v>543614</v>
      </c>
      <c r="W477">
        <f t="shared" si="54"/>
        <v>376809.8</v>
      </c>
      <c r="Y477">
        <f t="shared" si="55"/>
        <v>0.59488167702220385</v>
      </c>
      <c r="Z477">
        <f t="shared" si="56"/>
        <v>0.87031750392634422</v>
      </c>
      <c r="AA477">
        <f t="shared" si="57"/>
        <v>0.86131739661796014</v>
      </c>
      <c r="AB477">
        <f t="shared" si="58"/>
        <v>0.47180705899372699</v>
      </c>
      <c r="AC477">
        <f t="shared" si="59"/>
        <v>0.72841694600647311</v>
      </c>
      <c r="AD477">
        <f t="shared" si="60"/>
        <v>1.061003327404614</v>
      </c>
      <c r="AE477">
        <f t="shared" si="61"/>
        <v>1.2391473986208441</v>
      </c>
      <c r="AF477">
        <f t="shared" si="62"/>
        <v>0.47728294096887108</v>
      </c>
      <c r="AG477">
        <f t="shared" si="63"/>
        <v>0.87542120723519479</v>
      </c>
      <c r="AH477">
        <f t="shared" si="64"/>
        <v>0.94585640659788628</v>
      </c>
      <c r="AI477">
        <f t="shared" si="65"/>
        <v>0.89163915984099729</v>
      </c>
      <c r="AK477">
        <f t="shared" si="66"/>
        <v>0.59488167702220385</v>
      </c>
      <c r="AL477">
        <f t="shared" si="67"/>
        <v>0.47704407578567037</v>
      </c>
      <c r="AM477">
        <f t="shared" si="68"/>
        <v>0.47299827920505783</v>
      </c>
      <c r="AN477">
        <f t="shared" si="69"/>
        <v>0.47180705899372699</v>
      </c>
      <c r="AO477">
        <f t="shared" si="70"/>
        <v>0.42710650101071218</v>
      </c>
      <c r="AP477">
        <f t="shared" si="71"/>
        <v>1.061003327404614</v>
      </c>
      <c r="AQ477">
        <f t="shared" si="72"/>
        <v>0.59745392263866959</v>
      </c>
      <c r="AR477">
        <f t="shared" si="73"/>
        <v>0.36238011717796331</v>
      </c>
      <c r="AS477">
        <f t="shared" si="74"/>
        <v>0.36976207162952052</v>
      </c>
      <c r="AT477">
        <f t="shared" si="75"/>
        <v>0.94585640659788628</v>
      </c>
      <c r="AU477">
        <f t="shared" si="76"/>
        <v>0.62611483978107574</v>
      </c>
    </row>
    <row r="478" spans="1:47" x14ac:dyDescent="0.3">
      <c r="A478">
        <v>6</v>
      </c>
      <c r="B478" t="s">
        <v>130</v>
      </c>
      <c r="C478" t="s">
        <v>123</v>
      </c>
      <c r="D478" t="s">
        <v>124</v>
      </c>
      <c r="F478" s="7">
        <v>0</v>
      </c>
      <c r="G478" s="7">
        <v>0</v>
      </c>
      <c r="H478" s="3">
        <v>0</v>
      </c>
      <c r="I478">
        <f t="shared" si="77"/>
        <v>0</v>
      </c>
      <c r="J478">
        <f t="shared" si="77"/>
        <v>1</v>
      </c>
      <c r="K478">
        <v>3</v>
      </c>
      <c r="L478">
        <v>0</v>
      </c>
      <c r="M478">
        <f t="shared" si="44"/>
        <v>659628.4</v>
      </c>
      <c r="N478">
        <f t="shared" si="45"/>
        <v>631831.80000000005</v>
      </c>
      <c r="O478">
        <f t="shared" si="46"/>
        <v>632201</v>
      </c>
      <c r="P478">
        <f t="shared" si="47"/>
        <v>736767.4</v>
      </c>
      <c r="Q478">
        <f t="shared" si="48"/>
        <v>341284.6</v>
      </c>
      <c r="R478">
        <f t="shared" si="49"/>
        <v>484121.4</v>
      </c>
      <c r="S478">
        <f t="shared" si="50"/>
        <v>310558.8</v>
      </c>
      <c r="T478">
        <f t="shared" si="51"/>
        <v>2971883.6</v>
      </c>
      <c r="U478">
        <f t="shared" si="52"/>
        <v>2459071</v>
      </c>
      <c r="V478">
        <f t="shared" si="53"/>
        <v>470268.2</v>
      </c>
      <c r="W478">
        <f t="shared" si="54"/>
        <v>150449.60000000001</v>
      </c>
      <c r="Y478">
        <f t="shared" si="55"/>
        <v>0.66389228439657022</v>
      </c>
      <c r="Z478">
        <f t="shared" si="56"/>
        <v>0.88935536658391356</v>
      </c>
      <c r="AA478">
        <f t="shared" si="57"/>
        <v>0.89255098135909061</v>
      </c>
      <c r="AB478">
        <f t="shared" si="58"/>
        <v>0.65014853019965813</v>
      </c>
      <c r="AC478">
        <f t="shared" si="59"/>
        <v>0.72186508958693596</v>
      </c>
      <c r="AD478">
        <f t="shared" si="60"/>
        <v>1.2037840472185051</v>
      </c>
      <c r="AE478">
        <f t="shared" si="61"/>
        <v>1.260048898973037</v>
      </c>
      <c r="AF478">
        <f t="shared" si="62"/>
        <v>0.406359136372339</v>
      </c>
      <c r="AG478">
        <f t="shared" si="63"/>
        <v>0.7997965630842373</v>
      </c>
      <c r="AH478">
        <f t="shared" si="64"/>
        <v>0.7100850929855369</v>
      </c>
      <c r="AI478">
        <f t="shared" si="65"/>
        <v>0.61132793001597752</v>
      </c>
      <c r="AK478">
        <f t="shared" si="66"/>
        <v>0.66389228439657022</v>
      </c>
      <c r="AL478">
        <f t="shared" si="67"/>
        <v>0.47258335899095982</v>
      </c>
      <c r="AM478">
        <f t="shared" si="68"/>
        <v>0.4792382195824757</v>
      </c>
      <c r="AN478">
        <f t="shared" si="69"/>
        <v>0.65014853019965813</v>
      </c>
      <c r="AO478">
        <f t="shared" si="70"/>
        <v>0.41993822918739171</v>
      </c>
      <c r="AP478">
        <f t="shared" si="71"/>
        <v>1.2037840472185051</v>
      </c>
      <c r="AQ478">
        <f t="shared" si="72"/>
        <v>0.60610129260458057</v>
      </c>
      <c r="AR478">
        <f t="shared" si="73"/>
        <v>0.33736308017978439</v>
      </c>
      <c r="AS478">
        <f t="shared" si="74"/>
        <v>0.36493213878711678</v>
      </c>
      <c r="AT478">
        <f t="shared" si="75"/>
        <v>0.7100850929855369</v>
      </c>
      <c r="AU478">
        <f t="shared" si="76"/>
        <v>0.46943812681129199</v>
      </c>
    </row>
    <row r="479" spans="1:47" x14ac:dyDescent="0.3">
      <c r="A479">
        <v>6</v>
      </c>
      <c r="B479" t="s">
        <v>131</v>
      </c>
      <c r="C479" t="s">
        <v>123</v>
      </c>
      <c r="D479" t="s">
        <v>124</v>
      </c>
      <c r="F479" s="7">
        <v>0</v>
      </c>
      <c r="G479" s="7">
        <v>1</v>
      </c>
      <c r="H479" s="3">
        <v>0</v>
      </c>
      <c r="I479">
        <f t="shared" si="77"/>
        <v>0</v>
      </c>
      <c r="J479">
        <f t="shared" si="77"/>
        <v>1</v>
      </c>
      <c r="K479">
        <v>3</v>
      </c>
      <c r="L479">
        <v>0</v>
      </c>
      <c r="M479">
        <f t="shared" si="44"/>
        <v>233765.6</v>
      </c>
      <c r="N479">
        <f t="shared" si="45"/>
        <v>3522656.8</v>
      </c>
      <c r="O479">
        <f t="shared" si="46"/>
        <v>3602551.4</v>
      </c>
      <c r="P479">
        <f t="shared" si="47"/>
        <v>251124.6</v>
      </c>
      <c r="Q479">
        <f t="shared" si="48"/>
        <v>1903894.4</v>
      </c>
      <c r="R479">
        <f t="shared" si="49"/>
        <v>199467.4</v>
      </c>
      <c r="S479">
        <f t="shared" si="50"/>
        <v>1859704.4</v>
      </c>
      <c r="T479">
        <f t="shared" si="51"/>
        <v>2971089.2</v>
      </c>
      <c r="U479">
        <f t="shared" si="52"/>
        <v>2480078.4</v>
      </c>
      <c r="V479">
        <f t="shared" si="53"/>
        <v>1120.2</v>
      </c>
      <c r="W479">
        <f t="shared" si="54"/>
        <v>2676654</v>
      </c>
      <c r="Y479">
        <f t="shared" si="55"/>
        <v>0.33470535740489138</v>
      </c>
      <c r="Z479">
        <f t="shared" si="56"/>
        <v>5.9345396379823798</v>
      </c>
      <c r="AA479">
        <f t="shared" si="57"/>
        <v>5.9747474317089653</v>
      </c>
      <c r="AB479">
        <f t="shared" si="58"/>
        <v>0.38110072380513882</v>
      </c>
      <c r="AC479">
        <f t="shared" si="59"/>
        <v>5.4883679393446076</v>
      </c>
      <c r="AD479">
        <f t="shared" si="60"/>
        <v>1.084136099612806</v>
      </c>
      <c r="AE479">
        <f t="shared" si="61"/>
        <v>5.9704399767448191</v>
      </c>
      <c r="AF479">
        <f t="shared" si="62"/>
        <v>0.40786382296355439</v>
      </c>
      <c r="AG479">
        <f t="shared" si="63"/>
        <v>0.80677221475634719</v>
      </c>
      <c r="AH479">
        <f t="shared" si="64"/>
        <v>1.2047738395631259E-2</v>
      </c>
      <c r="AI479">
        <f t="shared" si="65"/>
        <v>12.887814067408909</v>
      </c>
      <c r="AK479">
        <f t="shared" si="66"/>
        <v>0.33470535740489138</v>
      </c>
      <c r="AL479">
        <f t="shared" si="67"/>
        <v>2.8922812843928112</v>
      </c>
      <c r="AM479">
        <f t="shared" si="68"/>
        <v>2.9426674232119701</v>
      </c>
      <c r="AN479">
        <f t="shared" si="69"/>
        <v>0.38110072380513882</v>
      </c>
      <c r="AO479">
        <f t="shared" si="70"/>
        <v>2.7317263925855508</v>
      </c>
      <c r="AP479">
        <f t="shared" si="71"/>
        <v>1.084136099612806</v>
      </c>
      <c r="AQ479">
        <f t="shared" si="72"/>
        <v>2.866489502566401</v>
      </c>
      <c r="AR479">
        <f t="shared" si="73"/>
        <v>0.33612027397612099</v>
      </c>
      <c r="AS479">
        <f t="shared" si="74"/>
        <v>0.37141668942058459</v>
      </c>
      <c r="AT479">
        <f t="shared" si="75"/>
        <v>1.2047738395631259E-2</v>
      </c>
      <c r="AU479">
        <f t="shared" si="76"/>
        <v>11.69507102540229</v>
      </c>
    </row>
    <row r="480" spans="1:47" x14ac:dyDescent="0.3">
      <c r="A480">
        <v>7</v>
      </c>
      <c r="B480" t="s">
        <v>132</v>
      </c>
      <c r="C480" t="s">
        <v>133</v>
      </c>
      <c r="D480" t="s">
        <v>134</v>
      </c>
      <c r="F480" s="7">
        <v>0</v>
      </c>
      <c r="G480" s="7">
        <v>0</v>
      </c>
      <c r="H480" s="3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1525355.6</v>
      </c>
      <c r="O480">
        <f t="shared" si="46"/>
        <v>1516412.8</v>
      </c>
      <c r="P480">
        <f t="shared" si="47"/>
        <v>1014775</v>
      </c>
      <c r="Q480">
        <f t="shared" si="48"/>
        <v>994170.8</v>
      </c>
      <c r="R480">
        <f t="shared" si="49"/>
        <v>972987.4</v>
      </c>
      <c r="S480">
        <f t="shared" si="50"/>
        <v>1469711.2</v>
      </c>
      <c r="T480">
        <f t="shared" si="51"/>
        <v>4884451.4000000004</v>
      </c>
      <c r="U480">
        <f t="shared" si="52"/>
        <v>3630636.4</v>
      </c>
      <c r="V480">
        <f t="shared" si="53"/>
        <v>855986.4</v>
      </c>
      <c r="W480">
        <f t="shared" si="54"/>
        <v>1306299.3999999999</v>
      </c>
      <c r="Y480">
        <f t="shared" si="55"/>
        <v>1.456298658391461</v>
      </c>
      <c r="Z480">
        <f t="shared" si="56"/>
        <v>1.6854570538271221</v>
      </c>
      <c r="AA480">
        <f t="shared" si="57"/>
        <v>1.6728627583826889</v>
      </c>
      <c r="AB480">
        <f t="shared" si="58"/>
        <v>1.428671989392023</v>
      </c>
      <c r="AC480">
        <f t="shared" si="59"/>
        <v>1.6753078465873841</v>
      </c>
      <c r="AD480">
        <f t="shared" si="60"/>
        <v>0.96331279800506309</v>
      </c>
      <c r="AE480">
        <f t="shared" si="61"/>
        <v>1.6353416622034269</v>
      </c>
      <c r="AF480">
        <f t="shared" si="62"/>
        <v>2.4620721736107951</v>
      </c>
      <c r="AG480">
        <f t="shared" si="63"/>
        <v>2.2758745971834289</v>
      </c>
      <c r="AH480">
        <f t="shared" si="64"/>
        <v>3.0306152006029148</v>
      </c>
      <c r="AI480">
        <f t="shared" si="65"/>
        <v>3.269303354225122</v>
      </c>
      <c r="AK480">
        <f t="shared" si="66"/>
        <v>1.456298658391461</v>
      </c>
      <c r="AL480">
        <f t="shared" si="67"/>
        <v>0.70283249439671636</v>
      </c>
      <c r="AM480">
        <f t="shared" si="68"/>
        <v>0.6946530389715917</v>
      </c>
      <c r="AN480">
        <f t="shared" si="69"/>
        <v>1.428671989392023</v>
      </c>
      <c r="AO480">
        <f t="shared" si="70"/>
        <v>0.74160709119169044</v>
      </c>
      <c r="AP480">
        <f t="shared" si="71"/>
        <v>0.96331279800506309</v>
      </c>
      <c r="AQ480">
        <f t="shared" si="72"/>
        <v>0.82907707242993633</v>
      </c>
      <c r="AR480">
        <f t="shared" si="73"/>
        <v>1.2901712926221081</v>
      </c>
      <c r="AS480">
        <f t="shared" si="74"/>
        <v>0.53194878058275208</v>
      </c>
      <c r="AT480">
        <f t="shared" si="75"/>
        <v>3.0306152006029148</v>
      </c>
      <c r="AU480">
        <f t="shared" si="76"/>
        <v>1.933006677555386</v>
      </c>
    </row>
    <row r="481" spans="1:47" x14ac:dyDescent="0.3">
      <c r="A481">
        <v>7</v>
      </c>
      <c r="B481" t="s">
        <v>135</v>
      </c>
      <c r="C481" t="s">
        <v>133</v>
      </c>
      <c r="D481" t="s">
        <v>134</v>
      </c>
      <c r="F481" s="7">
        <v>0</v>
      </c>
      <c r="G481" s="7">
        <v>1</v>
      </c>
      <c r="H481" s="3">
        <v>0</v>
      </c>
      <c r="I481">
        <f t="shared" ref="I481:J496" si="78">I100</f>
        <v>0</v>
      </c>
      <c r="J481">
        <f t="shared" si="78"/>
        <v>1</v>
      </c>
      <c r="K481">
        <v>3</v>
      </c>
      <c r="L481">
        <v>0</v>
      </c>
      <c r="M481">
        <f t="shared" si="44"/>
        <v>3089676</v>
      </c>
      <c r="N481">
        <f t="shared" si="45"/>
        <v>2176554.4</v>
      </c>
      <c r="O481">
        <f t="shared" si="46"/>
        <v>2278571.6</v>
      </c>
      <c r="P481">
        <f t="shared" si="47"/>
        <v>4290516.2</v>
      </c>
      <c r="Q481">
        <f t="shared" si="48"/>
        <v>1513596.8</v>
      </c>
      <c r="R481">
        <f t="shared" si="49"/>
        <v>3206274.8</v>
      </c>
      <c r="S481">
        <f t="shared" si="50"/>
        <v>2323359.4</v>
      </c>
      <c r="T481">
        <f t="shared" si="51"/>
        <v>4895271.2</v>
      </c>
      <c r="U481">
        <f t="shared" si="52"/>
        <v>3640586.8</v>
      </c>
      <c r="V481">
        <f t="shared" si="53"/>
        <v>7112350.4000000004</v>
      </c>
      <c r="W481">
        <f t="shared" si="54"/>
        <v>2563976</v>
      </c>
      <c r="Y481">
        <f t="shared" si="55"/>
        <v>3.0030792121891858</v>
      </c>
      <c r="Z481">
        <f t="shared" si="56"/>
        <v>2.1423156183911489</v>
      </c>
      <c r="AA481">
        <f t="shared" si="57"/>
        <v>2.185918522998691</v>
      </c>
      <c r="AB481">
        <f t="shared" si="58"/>
        <v>3.9793162535934239</v>
      </c>
      <c r="AC481">
        <f t="shared" si="59"/>
        <v>2.2105827374034561</v>
      </c>
      <c r="AD481">
        <f t="shared" si="60"/>
        <v>2.5926256582024512</v>
      </c>
      <c r="AE481">
        <f t="shared" si="61"/>
        <v>2.1944194128154781</v>
      </c>
      <c r="AF481">
        <f t="shared" si="62"/>
        <v>2.468258591368794</v>
      </c>
      <c r="AG481">
        <f t="shared" si="63"/>
        <v>2.27461631357437</v>
      </c>
      <c r="AH481">
        <f t="shared" si="64"/>
        <v>5.2371682088123626</v>
      </c>
      <c r="AI481">
        <f t="shared" si="65"/>
        <v>4.2901823549647817</v>
      </c>
      <c r="AK481">
        <f t="shared" si="66"/>
        <v>3.0030792121891858</v>
      </c>
      <c r="AL481">
        <f t="shared" si="67"/>
        <v>0.81889104380970823</v>
      </c>
      <c r="AM481">
        <f t="shared" si="68"/>
        <v>0.86686861437046903</v>
      </c>
      <c r="AN481">
        <f t="shared" si="69"/>
        <v>3.9793162535934239</v>
      </c>
      <c r="AO481">
        <f t="shared" si="70"/>
        <v>0.90867223879904491</v>
      </c>
      <c r="AP481">
        <f t="shared" si="71"/>
        <v>2.5926256582024512</v>
      </c>
      <c r="AQ481">
        <f t="shared" si="72"/>
        <v>0.89849473143694925</v>
      </c>
      <c r="AR481">
        <f t="shared" si="73"/>
        <v>1.2908132075681349</v>
      </c>
      <c r="AS481">
        <f t="shared" si="74"/>
        <v>0.52891313533764328</v>
      </c>
      <c r="AT481">
        <f t="shared" si="75"/>
        <v>5.2371682088123626</v>
      </c>
      <c r="AU481">
        <f t="shared" si="76"/>
        <v>2.6569703325512819</v>
      </c>
    </row>
    <row r="482" spans="1:47" x14ac:dyDescent="0.3">
      <c r="A482">
        <v>7</v>
      </c>
      <c r="B482" t="s">
        <v>136</v>
      </c>
      <c r="C482" t="s">
        <v>133</v>
      </c>
      <c r="D482" t="s">
        <v>134</v>
      </c>
      <c r="F482" s="7">
        <v>0</v>
      </c>
      <c r="G482" s="7">
        <v>1</v>
      </c>
      <c r="H482" s="3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1830596.8</v>
      </c>
      <c r="O482">
        <f t="shared" si="46"/>
        <v>1832314</v>
      </c>
      <c r="P482">
        <f t="shared" si="47"/>
        <v>326637</v>
      </c>
      <c r="Q482">
        <f t="shared" si="48"/>
        <v>942983.6</v>
      </c>
      <c r="R482">
        <f t="shared" si="49"/>
        <v>207457.4</v>
      </c>
      <c r="S482">
        <f t="shared" si="50"/>
        <v>1134841.2</v>
      </c>
      <c r="T482">
        <f t="shared" si="51"/>
        <v>3452162.6</v>
      </c>
      <c r="U482">
        <f t="shared" si="52"/>
        <v>3387027.2</v>
      </c>
      <c r="V482">
        <f t="shared" si="53"/>
        <v>751336.8</v>
      </c>
      <c r="W482">
        <f t="shared" si="54"/>
        <v>1404187.2</v>
      </c>
      <c r="Y482">
        <f t="shared" si="55"/>
        <v>0.9282685626065359</v>
      </c>
      <c r="Z482">
        <f t="shared" si="56"/>
        <v>1.797607336565852</v>
      </c>
      <c r="AA482">
        <f t="shared" si="57"/>
        <v>1.7916738384054041</v>
      </c>
      <c r="AB482">
        <f t="shared" si="58"/>
        <v>0.72444107760093179</v>
      </c>
      <c r="AC482">
        <f t="shared" si="59"/>
        <v>1.601314287807327</v>
      </c>
      <c r="AD482">
        <f t="shared" si="60"/>
        <v>0.80546978939091785</v>
      </c>
      <c r="AE482">
        <f t="shared" si="61"/>
        <v>1.8390558660030361</v>
      </c>
      <c r="AF482">
        <f t="shared" si="62"/>
        <v>1.244923089200165</v>
      </c>
      <c r="AG482">
        <f t="shared" si="63"/>
        <v>1.992978560598567</v>
      </c>
      <c r="AH482">
        <f t="shared" si="64"/>
        <v>2.4774779692059381</v>
      </c>
      <c r="AI482">
        <f t="shared" si="65"/>
        <v>2.970979766431264</v>
      </c>
      <c r="AK482">
        <f t="shared" si="66"/>
        <v>0.9282685626065359</v>
      </c>
      <c r="AL482">
        <f t="shared" si="67"/>
        <v>0.76116628637537365</v>
      </c>
      <c r="AM482">
        <f t="shared" si="68"/>
        <v>0.75821461479645225</v>
      </c>
      <c r="AN482">
        <f t="shared" si="69"/>
        <v>0.72444107760093179</v>
      </c>
      <c r="AO482">
        <f t="shared" si="70"/>
        <v>0.70184311200864613</v>
      </c>
      <c r="AP482">
        <f t="shared" si="71"/>
        <v>0.80546978939091785</v>
      </c>
      <c r="AQ482">
        <f t="shared" si="72"/>
        <v>0.72731759061571211</v>
      </c>
      <c r="AR482">
        <f t="shared" si="73"/>
        <v>0.68233210981125014</v>
      </c>
      <c r="AS482">
        <f t="shared" si="74"/>
        <v>0.51540582197485496</v>
      </c>
      <c r="AT482">
        <f t="shared" si="75"/>
        <v>2.4774779692059381</v>
      </c>
      <c r="AU482">
        <f t="shared" si="76"/>
        <v>1.6752364744083019</v>
      </c>
    </row>
    <row r="483" spans="1:47" x14ac:dyDescent="0.3">
      <c r="A483">
        <v>7</v>
      </c>
      <c r="B483" t="s">
        <v>137</v>
      </c>
      <c r="C483" t="s">
        <v>133</v>
      </c>
      <c r="D483" t="s">
        <v>134</v>
      </c>
      <c r="F483" s="7">
        <v>0</v>
      </c>
      <c r="G483" s="7">
        <v>0</v>
      </c>
      <c r="H483" s="3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1553359.6</v>
      </c>
      <c r="O483">
        <f t="shared" si="46"/>
        <v>1583319.8</v>
      </c>
      <c r="P483">
        <f t="shared" si="47"/>
        <v>1086458.3999999999</v>
      </c>
      <c r="Q483">
        <f t="shared" si="48"/>
        <v>1283827</v>
      </c>
      <c r="R483">
        <f t="shared" si="49"/>
        <v>521542.6</v>
      </c>
      <c r="S483">
        <f t="shared" si="50"/>
        <v>1253619.8</v>
      </c>
      <c r="T483">
        <f t="shared" si="51"/>
        <v>3447800.2</v>
      </c>
      <c r="U483">
        <f t="shared" si="52"/>
        <v>3389023.2</v>
      </c>
      <c r="V483">
        <f t="shared" si="53"/>
        <v>1751115.2</v>
      </c>
      <c r="W483">
        <f t="shared" si="54"/>
        <v>1870183</v>
      </c>
      <c r="Y483">
        <f t="shared" si="55"/>
        <v>0.90215354121755809</v>
      </c>
      <c r="Z483">
        <f t="shared" si="56"/>
        <v>1.6732662024325691</v>
      </c>
      <c r="AA483">
        <f t="shared" si="57"/>
        <v>1.6781955043552439</v>
      </c>
      <c r="AB483">
        <f t="shared" si="58"/>
        <v>1.372373148798943</v>
      </c>
      <c r="AC483">
        <f t="shared" si="59"/>
        <v>1.9355691691976971</v>
      </c>
      <c r="AD483">
        <f t="shared" si="60"/>
        <v>1.2268704082118349</v>
      </c>
      <c r="AE483">
        <f t="shared" si="61"/>
        <v>1.9723218376282601</v>
      </c>
      <c r="AF483">
        <f t="shared" si="62"/>
        <v>1.233290986367501</v>
      </c>
      <c r="AG483">
        <f t="shared" si="63"/>
        <v>1.9845514507731421</v>
      </c>
      <c r="AH483">
        <f t="shared" si="64"/>
        <v>3.3301359287928789</v>
      </c>
      <c r="AI483">
        <f t="shared" si="65"/>
        <v>3.0605813437956391</v>
      </c>
      <c r="AK483">
        <f t="shared" si="66"/>
        <v>0.90215354121755809</v>
      </c>
      <c r="AL483">
        <f t="shared" si="67"/>
        <v>0.70374364439630877</v>
      </c>
      <c r="AM483">
        <f t="shared" si="68"/>
        <v>0.70894543341128158</v>
      </c>
      <c r="AN483">
        <f t="shared" si="69"/>
        <v>1.372373148798943</v>
      </c>
      <c r="AO483">
        <f t="shared" si="70"/>
        <v>0.96945331799797718</v>
      </c>
      <c r="AP483">
        <f t="shared" si="71"/>
        <v>1.2268704082118349</v>
      </c>
      <c r="AQ483">
        <f t="shared" si="72"/>
        <v>0.90640675364993517</v>
      </c>
      <c r="AR483">
        <f t="shared" si="73"/>
        <v>0.6793059237650596</v>
      </c>
      <c r="AS483">
        <f t="shared" si="74"/>
        <v>0.51122415277641264</v>
      </c>
      <c r="AT483">
        <f t="shared" si="75"/>
        <v>3.3301359287928789</v>
      </c>
      <c r="AU483">
        <f t="shared" si="76"/>
        <v>1.6366358557948839</v>
      </c>
    </row>
    <row r="484" spans="1:47" x14ac:dyDescent="0.3">
      <c r="A484">
        <v>7</v>
      </c>
      <c r="B484" t="s">
        <v>138</v>
      </c>
      <c r="C484" t="s">
        <v>133</v>
      </c>
      <c r="D484" t="s">
        <v>134</v>
      </c>
      <c r="F484" s="7">
        <v>0</v>
      </c>
      <c r="G484" s="7">
        <v>1</v>
      </c>
      <c r="H484" s="3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1400665.2</v>
      </c>
      <c r="O484">
        <f t="shared" si="46"/>
        <v>1440819.6</v>
      </c>
      <c r="P484">
        <f t="shared" si="47"/>
        <v>347999.6</v>
      </c>
      <c r="Q484">
        <f t="shared" si="48"/>
        <v>803979</v>
      </c>
      <c r="R484">
        <f t="shared" si="49"/>
        <v>181533.6</v>
      </c>
      <c r="S484">
        <f t="shared" si="50"/>
        <v>963744.8</v>
      </c>
      <c r="T484">
        <f t="shared" si="51"/>
        <v>3664953.4</v>
      </c>
      <c r="U484">
        <f t="shared" si="52"/>
        <v>3267087.6</v>
      </c>
      <c r="V484">
        <f t="shared" si="53"/>
        <v>272164</v>
      </c>
      <c r="W484">
        <f t="shared" si="54"/>
        <v>985166</v>
      </c>
      <c r="Y484">
        <f t="shared" si="55"/>
        <v>1.6964513551793059</v>
      </c>
      <c r="Z484">
        <f t="shared" si="56"/>
        <v>1.525782381987665</v>
      </c>
      <c r="AA484">
        <f t="shared" si="57"/>
        <v>1.530840218323283</v>
      </c>
      <c r="AB484">
        <f t="shared" si="58"/>
        <v>0.76458566839573905</v>
      </c>
      <c r="AC484">
        <f t="shared" si="59"/>
        <v>1.357404874206986</v>
      </c>
      <c r="AD484">
        <f t="shared" si="60"/>
        <v>0.77443775578867646</v>
      </c>
      <c r="AE484">
        <f t="shared" si="61"/>
        <v>1.6373106384184211</v>
      </c>
      <c r="AF484">
        <f t="shared" si="62"/>
        <v>1.4935339043731799</v>
      </c>
      <c r="AG484">
        <f t="shared" si="63"/>
        <v>1.9470979113481011</v>
      </c>
      <c r="AH484">
        <f t="shared" si="64"/>
        <v>2.0133713909774089</v>
      </c>
      <c r="AI484">
        <f t="shared" si="65"/>
        <v>2.3024505731766109</v>
      </c>
      <c r="AK484">
        <f t="shared" si="66"/>
        <v>1.6964513551793059</v>
      </c>
      <c r="AL484">
        <f t="shared" si="67"/>
        <v>0.6244151880033314</v>
      </c>
      <c r="AM484">
        <f t="shared" si="68"/>
        <v>0.63499048998346552</v>
      </c>
      <c r="AN484">
        <f t="shared" si="69"/>
        <v>0.76458566839573905</v>
      </c>
      <c r="AO484">
        <f t="shared" si="70"/>
        <v>0.6115530708048027</v>
      </c>
      <c r="AP484">
        <f t="shared" si="71"/>
        <v>0.77443775578867646</v>
      </c>
      <c r="AQ484">
        <f t="shared" si="72"/>
        <v>0.7663616792298853</v>
      </c>
      <c r="AR484">
        <f t="shared" si="73"/>
        <v>0.8408928861957975</v>
      </c>
      <c r="AS484">
        <f t="shared" si="74"/>
        <v>0.47354266326874489</v>
      </c>
      <c r="AT484">
        <f t="shared" si="75"/>
        <v>2.0133713909774089</v>
      </c>
      <c r="AU484">
        <f t="shared" si="76"/>
        <v>1.4327660552109589</v>
      </c>
    </row>
    <row r="485" spans="1:47" x14ac:dyDescent="0.3">
      <c r="A485">
        <v>7</v>
      </c>
      <c r="B485" t="s">
        <v>139</v>
      </c>
      <c r="C485" t="s">
        <v>133</v>
      </c>
      <c r="D485" t="s">
        <v>134</v>
      </c>
      <c r="F485" s="7">
        <v>0</v>
      </c>
      <c r="G485" s="7">
        <v>0</v>
      </c>
      <c r="H485" s="3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1587779</v>
      </c>
      <c r="O485">
        <f t="shared" si="46"/>
        <v>1627162.8</v>
      </c>
      <c r="P485">
        <f t="shared" si="47"/>
        <v>482415.4</v>
      </c>
      <c r="Q485">
        <f t="shared" si="48"/>
        <v>908769.8</v>
      </c>
      <c r="R485">
        <f t="shared" si="49"/>
        <v>132356.4</v>
      </c>
      <c r="S485">
        <f t="shared" si="50"/>
        <v>1301884</v>
      </c>
      <c r="T485">
        <f t="shared" si="51"/>
        <v>3657574.2</v>
      </c>
      <c r="U485">
        <f t="shared" si="52"/>
        <v>3261589.6</v>
      </c>
      <c r="V485">
        <f t="shared" si="53"/>
        <v>207770.4</v>
      </c>
      <c r="W485">
        <f t="shared" si="54"/>
        <v>1275848.2</v>
      </c>
      <c r="Y485">
        <f t="shared" si="55"/>
        <v>0.78654659840976815</v>
      </c>
      <c r="Z485">
        <f t="shared" si="56"/>
        <v>1.699365795194171</v>
      </c>
      <c r="AA485">
        <f t="shared" si="57"/>
        <v>1.7090310601633969</v>
      </c>
      <c r="AB485">
        <f t="shared" si="58"/>
        <v>0.63725188679527489</v>
      </c>
      <c r="AC485">
        <f t="shared" si="59"/>
        <v>1.561242184782168</v>
      </c>
      <c r="AD485">
        <f t="shared" si="60"/>
        <v>0.70805182099575181</v>
      </c>
      <c r="AE485">
        <f t="shared" si="61"/>
        <v>2.056274801597465</v>
      </c>
      <c r="AF485">
        <f t="shared" si="62"/>
        <v>1.481003822817001</v>
      </c>
      <c r="AG485">
        <f t="shared" si="63"/>
        <v>1.9425477701239291</v>
      </c>
      <c r="AH485">
        <f t="shared" si="64"/>
        <v>2.2167987136170271</v>
      </c>
      <c r="AI485">
        <f t="shared" si="65"/>
        <v>2.939628873020411</v>
      </c>
      <c r="AK485">
        <f t="shared" si="66"/>
        <v>0.78654659840976815</v>
      </c>
      <c r="AL485">
        <f t="shared" si="67"/>
        <v>0.62960539739578958</v>
      </c>
      <c r="AM485">
        <f t="shared" si="68"/>
        <v>0.63899147697957237</v>
      </c>
      <c r="AN485">
        <f t="shared" si="69"/>
        <v>0.63725188679527489</v>
      </c>
      <c r="AO485">
        <f t="shared" si="70"/>
        <v>0.63485294780693946</v>
      </c>
      <c r="AP485">
        <f t="shared" si="71"/>
        <v>0.70805182099575181</v>
      </c>
      <c r="AQ485">
        <f t="shared" si="72"/>
        <v>0.83492494459496813</v>
      </c>
      <c r="AR485">
        <f t="shared" si="73"/>
        <v>0.83409525620518254</v>
      </c>
      <c r="AS485">
        <f t="shared" si="74"/>
        <v>0.47130931803258141</v>
      </c>
      <c r="AT485">
        <f t="shared" si="75"/>
        <v>2.2167987136170271</v>
      </c>
      <c r="AU485">
        <f t="shared" si="76"/>
        <v>1.693574017600622</v>
      </c>
    </row>
    <row r="486" spans="1:47" x14ac:dyDescent="0.3">
      <c r="A486">
        <v>7</v>
      </c>
      <c r="B486" t="s">
        <v>140</v>
      </c>
      <c r="C486" t="s">
        <v>133</v>
      </c>
      <c r="D486" t="s">
        <v>134</v>
      </c>
      <c r="F486" s="7">
        <v>0</v>
      </c>
      <c r="G486" s="7">
        <v>0</v>
      </c>
      <c r="H486" s="3">
        <v>0</v>
      </c>
      <c r="I486">
        <f t="shared" si="78"/>
        <v>0</v>
      </c>
      <c r="J486">
        <f t="shared" si="78"/>
        <v>1</v>
      </c>
      <c r="K486">
        <v>3</v>
      </c>
      <c r="L486">
        <v>0</v>
      </c>
      <c r="M486">
        <f t="shared" si="44"/>
        <v>2682862.4</v>
      </c>
      <c r="N486">
        <f t="shared" si="45"/>
        <v>1691330.6</v>
      </c>
      <c r="O486">
        <f t="shared" si="46"/>
        <v>1723338.2</v>
      </c>
      <c r="P486">
        <f t="shared" si="47"/>
        <v>246323.20000000001</v>
      </c>
      <c r="Q486">
        <f t="shared" si="48"/>
        <v>969230.4</v>
      </c>
      <c r="R486">
        <f t="shared" si="49"/>
        <v>200260.6</v>
      </c>
      <c r="S486">
        <f t="shared" si="50"/>
        <v>838101.6</v>
      </c>
      <c r="T486">
        <f t="shared" si="51"/>
        <v>3638570</v>
      </c>
      <c r="U486">
        <f t="shared" si="52"/>
        <v>2959207.8</v>
      </c>
      <c r="V486">
        <f t="shared" si="53"/>
        <v>37841.800000000003</v>
      </c>
      <c r="W486">
        <f t="shared" si="54"/>
        <v>925093</v>
      </c>
      <c r="Y486">
        <f t="shared" si="55"/>
        <v>1.745694319007453</v>
      </c>
      <c r="Z486">
        <f t="shared" si="56"/>
        <v>1.716103114862926</v>
      </c>
      <c r="AA486">
        <f t="shared" si="57"/>
        <v>1.7142646994208921</v>
      </c>
      <c r="AB486">
        <f t="shared" si="58"/>
        <v>0.45498863999964673</v>
      </c>
      <c r="AC486">
        <f t="shared" si="59"/>
        <v>1.439080766175175</v>
      </c>
      <c r="AD486">
        <f t="shared" si="60"/>
        <v>0.96728387459879739</v>
      </c>
      <c r="AE486">
        <f t="shared" si="61"/>
        <v>1.786951903789304</v>
      </c>
      <c r="AF486">
        <f t="shared" si="62"/>
        <v>1.3283972396166059</v>
      </c>
      <c r="AG486">
        <f t="shared" si="63"/>
        <v>1.634031138941646</v>
      </c>
      <c r="AH486">
        <f t="shared" si="64"/>
        <v>0.26132479119114582</v>
      </c>
      <c r="AI486">
        <f t="shared" si="65"/>
        <v>2.4435945400153281</v>
      </c>
      <c r="AK486">
        <f t="shared" si="66"/>
        <v>1.745694319007453</v>
      </c>
      <c r="AL486">
        <f t="shared" si="67"/>
        <v>0.75612755059264602</v>
      </c>
      <c r="AM486">
        <f t="shared" si="68"/>
        <v>0.76308088639052585</v>
      </c>
      <c r="AN486">
        <f t="shared" si="69"/>
        <v>0.45498863999964673</v>
      </c>
      <c r="AO486">
        <f t="shared" si="70"/>
        <v>0.65886190559831448</v>
      </c>
      <c r="AP486">
        <f t="shared" si="71"/>
        <v>0.96728387459879739</v>
      </c>
      <c r="AQ486">
        <f t="shared" si="72"/>
        <v>0.66019484341377388</v>
      </c>
      <c r="AR486">
        <f t="shared" si="73"/>
        <v>0.76758728881832217</v>
      </c>
      <c r="AS486">
        <f t="shared" si="74"/>
        <v>0.47472405281150709</v>
      </c>
      <c r="AT486">
        <f t="shared" si="75"/>
        <v>0.26132479119114582</v>
      </c>
      <c r="AU486">
        <f t="shared" si="76"/>
        <v>1.4698657757951881</v>
      </c>
    </row>
    <row r="487" spans="1:47" x14ac:dyDescent="0.3">
      <c r="A487">
        <v>7</v>
      </c>
      <c r="B487" t="s">
        <v>141</v>
      </c>
      <c r="C487" t="s">
        <v>133</v>
      </c>
      <c r="D487" t="s">
        <v>134</v>
      </c>
      <c r="F487" s="7">
        <v>0</v>
      </c>
      <c r="G487" s="7">
        <v>1</v>
      </c>
      <c r="H487" s="3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1463686.2</v>
      </c>
      <c r="O487">
        <f t="shared" si="46"/>
        <v>1458491.6</v>
      </c>
      <c r="P487">
        <f t="shared" si="47"/>
        <v>220160.4</v>
      </c>
      <c r="Q487">
        <f t="shared" si="48"/>
        <v>782000.8</v>
      </c>
      <c r="R487">
        <f t="shared" si="49"/>
        <v>192620.2</v>
      </c>
      <c r="S487">
        <f t="shared" si="50"/>
        <v>671037.6</v>
      </c>
      <c r="T487">
        <f t="shared" si="51"/>
        <v>3639713.4</v>
      </c>
      <c r="U487">
        <f t="shared" si="52"/>
        <v>2936900</v>
      </c>
      <c r="V487">
        <f t="shared" si="53"/>
        <v>127144.4</v>
      </c>
      <c r="W487">
        <f t="shared" si="54"/>
        <v>824454.6</v>
      </c>
      <c r="Y487">
        <f t="shared" si="55"/>
        <v>2.6877138279960491</v>
      </c>
      <c r="Z487">
        <f t="shared" si="56"/>
        <v>1.520326089148875</v>
      </c>
      <c r="AA487">
        <f t="shared" si="57"/>
        <v>1.5138194609549831</v>
      </c>
      <c r="AB487">
        <f t="shared" si="58"/>
        <v>0.50040889119845811</v>
      </c>
      <c r="AC487">
        <f t="shared" si="59"/>
        <v>1.2294087870279331</v>
      </c>
      <c r="AD487">
        <f t="shared" si="60"/>
        <v>1.01959764220519</v>
      </c>
      <c r="AE487">
        <f t="shared" si="61"/>
        <v>1.548378719005268</v>
      </c>
      <c r="AF487">
        <f t="shared" si="62"/>
        <v>1.341624005197082</v>
      </c>
      <c r="AG487">
        <f t="shared" si="63"/>
        <v>1.6147361852927129</v>
      </c>
      <c r="AH487">
        <f t="shared" si="64"/>
        <v>1.2631843969807961</v>
      </c>
      <c r="AI487">
        <f t="shared" si="65"/>
        <v>2.0751613830332638</v>
      </c>
      <c r="AK487">
        <f t="shared" si="66"/>
        <v>2.6877138279960491</v>
      </c>
      <c r="AL487">
        <f t="shared" si="67"/>
        <v>0.65719865764258434</v>
      </c>
      <c r="AM487">
        <f t="shared" si="68"/>
        <v>0.65290518098045136</v>
      </c>
      <c r="AN487">
        <f t="shared" si="69"/>
        <v>0.50040889119845811</v>
      </c>
      <c r="AO487">
        <f t="shared" si="70"/>
        <v>0.57072015982121227</v>
      </c>
      <c r="AP487">
        <f t="shared" si="71"/>
        <v>1.01959764220519</v>
      </c>
      <c r="AQ487">
        <f t="shared" si="72"/>
        <v>0.60308017738861963</v>
      </c>
      <c r="AR487">
        <f t="shared" si="73"/>
        <v>0.76602443119045349</v>
      </c>
      <c r="AS487">
        <f t="shared" si="74"/>
        <v>0.46126665235497061</v>
      </c>
      <c r="AT487">
        <f t="shared" si="75"/>
        <v>1.2631843969807961</v>
      </c>
      <c r="AU487">
        <f t="shared" si="76"/>
        <v>1.2525718376156869</v>
      </c>
    </row>
    <row r="488" spans="1:47" x14ac:dyDescent="0.3">
      <c r="A488">
        <v>7</v>
      </c>
      <c r="B488" t="s">
        <v>142</v>
      </c>
      <c r="C488" t="s">
        <v>143</v>
      </c>
      <c r="D488" t="s">
        <v>144</v>
      </c>
      <c r="F488" s="7">
        <v>0</v>
      </c>
      <c r="G488" s="7">
        <v>0</v>
      </c>
      <c r="H488" s="3">
        <v>0</v>
      </c>
      <c r="I488">
        <f t="shared" si="78"/>
        <v>0</v>
      </c>
      <c r="J488">
        <f t="shared" si="78"/>
        <v>1</v>
      </c>
      <c r="K488">
        <v>3</v>
      </c>
      <c r="L488">
        <v>0</v>
      </c>
      <c r="M488">
        <f t="shared" si="44"/>
        <v>1828962.8</v>
      </c>
      <c r="N488">
        <f t="shared" si="45"/>
        <v>2190960</v>
      </c>
      <c r="O488">
        <f t="shared" si="46"/>
        <v>2222125.2000000002</v>
      </c>
      <c r="P488">
        <f t="shared" si="47"/>
        <v>2367710.2000000002</v>
      </c>
      <c r="Q488">
        <f t="shared" si="48"/>
        <v>1577062.6</v>
      </c>
      <c r="R488">
        <f t="shared" si="49"/>
        <v>1918490.2</v>
      </c>
      <c r="S488">
        <f t="shared" si="50"/>
        <v>2077524.2</v>
      </c>
      <c r="T488">
        <f t="shared" si="51"/>
        <v>4494862</v>
      </c>
      <c r="U488">
        <f t="shared" si="52"/>
        <v>3459104.8</v>
      </c>
      <c r="V488">
        <f t="shared" si="53"/>
        <v>2724994.2</v>
      </c>
      <c r="W488">
        <f t="shared" si="54"/>
        <v>2451722.2000000002</v>
      </c>
      <c r="Y488">
        <f t="shared" si="55"/>
        <v>2.1395707193994888</v>
      </c>
      <c r="Z488">
        <f t="shared" si="56"/>
        <v>2.1337933343718758</v>
      </c>
      <c r="AA488">
        <f t="shared" si="57"/>
        <v>2.1315243028220721</v>
      </c>
      <c r="AB488">
        <f t="shared" si="58"/>
        <v>2.5059401838050692</v>
      </c>
      <c r="AC488">
        <f t="shared" si="59"/>
        <v>2.129259609797737</v>
      </c>
      <c r="AD488">
        <f t="shared" si="60"/>
        <v>1.5484804902109319</v>
      </c>
      <c r="AE488">
        <f t="shared" si="61"/>
        <v>1.988799061998725</v>
      </c>
      <c r="AF488">
        <f t="shared" si="62"/>
        <v>2.019852626032661</v>
      </c>
      <c r="AG488">
        <f t="shared" si="63"/>
        <v>1.9950871239765551</v>
      </c>
      <c r="AH488">
        <f t="shared" si="64"/>
        <v>3.7925724416156301</v>
      </c>
      <c r="AI488">
        <f t="shared" si="65"/>
        <v>4.4795995967462661</v>
      </c>
      <c r="AK488">
        <f t="shared" si="66"/>
        <v>2.1395707193994888</v>
      </c>
      <c r="AL488">
        <f t="shared" si="67"/>
        <v>0.94610662359045816</v>
      </c>
      <c r="AM488">
        <f t="shared" si="68"/>
        <v>0.95283488141139971</v>
      </c>
      <c r="AN488">
        <f t="shared" si="69"/>
        <v>2.5059401838050692</v>
      </c>
      <c r="AO488">
        <f t="shared" si="70"/>
        <v>1.0121953025925901</v>
      </c>
      <c r="AP488">
        <f t="shared" si="71"/>
        <v>1.5484804902109319</v>
      </c>
      <c r="AQ488">
        <f t="shared" si="72"/>
        <v>1.063423825206701</v>
      </c>
      <c r="AR488">
        <f t="shared" si="73"/>
        <v>1.284200364421122</v>
      </c>
      <c r="AS488">
        <f t="shared" si="74"/>
        <v>0.51541935625718904</v>
      </c>
      <c r="AT488">
        <f t="shared" si="75"/>
        <v>3.7925724416156301</v>
      </c>
      <c r="AU488">
        <f t="shared" si="76"/>
        <v>2.8360970896086659</v>
      </c>
    </row>
    <row r="489" spans="1:47" x14ac:dyDescent="0.3">
      <c r="A489">
        <v>7</v>
      </c>
      <c r="B489" t="s">
        <v>145</v>
      </c>
      <c r="C489" t="s">
        <v>143</v>
      </c>
      <c r="D489" t="s">
        <v>144</v>
      </c>
      <c r="F489" s="7">
        <v>0</v>
      </c>
      <c r="G489" s="7">
        <v>1</v>
      </c>
      <c r="H489" s="3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1504932.6</v>
      </c>
      <c r="O489">
        <f t="shared" si="46"/>
        <v>1495434.4</v>
      </c>
      <c r="P489">
        <f t="shared" si="47"/>
        <v>5105499.2</v>
      </c>
      <c r="Q489">
        <f t="shared" si="48"/>
        <v>888110</v>
      </c>
      <c r="R489">
        <f t="shared" si="49"/>
        <v>1304607.3999999999</v>
      </c>
      <c r="S489">
        <f t="shared" si="50"/>
        <v>1455833</v>
      </c>
      <c r="T489">
        <f t="shared" si="51"/>
        <v>4489197</v>
      </c>
      <c r="U489">
        <f t="shared" si="52"/>
        <v>3451463.2</v>
      </c>
      <c r="V489">
        <f t="shared" si="53"/>
        <v>2425089.7999999998</v>
      </c>
      <c r="W489">
        <f t="shared" si="54"/>
        <v>1180278.3999999999</v>
      </c>
      <c r="Y489">
        <f t="shared" si="55"/>
        <v>1.904775869601872</v>
      </c>
      <c r="Z489">
        <f t="shared" si="56"/>
        <v>1.6018611673964189</v>
      </c>
      <c r="AA489">
        <f t="shared" si="57"/>
        <v>1.593666713009589</v>
      </c>
      <c r="AB489">
        <f t="shared" si="58"/>
        <v>4.940544171392685</v>
      </c>
      <c r="AC489">
        <f t="shared" si="59"/>
        <v>1.437288277590415</v>
      </c>
      <c r="AD489">
        <f t="shared" si="60"/>
        <v>1.885691276798025</v>
      </c>
      <c r="AE489">
        <f t="shared" si="61"/>
        <v>1.9091440278571099</v>
      </c>
      <c r="AF489">
        <f t="shared" si="62"/>
        <v>2.0330784966354258</v>
      </c>
      <c r="AG489">
        <f t="shared" si="63"/>
        <v>1.9974661115324119</v>
      </c>
      <c r="AH489">
        <f t="shared" si="64"/>
        <v>3.597805362404324</v>
      </c>
      <c r="AI489">
        <f t="shared" si="65"/>
        <v>2.6437025305815038</v>
      </c>
      <c r="AK489">
        <f t="shared" si="66"/>
        <v>1.904775869601872</v>
      </c>
      <c r="AL489">
        <f t="shared" si="67"/>
        <v>0.79685368940699841</v>
      </c>
      <c r="AM489">
        <f t="shared" si="68"/>
        <v>0.79050311479950319</v>
      </c>
      <c r="AN489">
        <f t="shared" si="69"/>
        <v>4.940544171392685</v>
      </c>
      <c r="AO489">
        <f t="shared" si="70"/>
        <v>0.76705741899204438</v>
      </c>
      <c r="AP489">
        <f t="shared" si="71"/>
        <v>1.885691276798025</v>
      </c>
      <c r="AQ489">
        <f t="shared" si="72"/>
        <v>1.1042019312269991</v>
      </c>
      <c r="AR489">
        <f t="shared" si="73"/>
        <v>1.295602944819257</v>
      </c>
      <c r="AS489">
        <f t="shared" si="74"/>
        <v>0.51878873778041457</v>
      </c>
      <c r="AT489">
        <f t="shared" si="75"/>
        <v>3.597805362404324</v>
      </c>
      <c r="AU489">
        <f t="shared" si="76"/>
        <v>1.569852407812141</v>
      </c>
    </row>
    <row r="490" spans="1:47" x14ac:dyDescent="0.3">
      <c r="A490">
        <v>7</v>
      </c>
      <c r="B490" t="s">
        <v>146</v>
      </c>
      <c r="C490" t="s">
        <v>143</v>
      </c>
      <c r="D490" t="s">
        <v>144</v>
      </c>
      <c r="F490" s="7">
        <v>0</v>
      </c>
      <c r="G490" s="7">
        <v>1</v>
      </c>
      <c r="H490" s="3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1473398.4</v>
      </c>
      <c r="O490">
        <f t="shared" si="46"/>
        <v>1491405.2</v>
      </c>
      <c r="P490">
        <f t="shared" si="47"/>
        <v>744153.2</v>
      </c>
      <c r="Q490">
        <f t="shared" si="48"/>
        <v>731607.4</v>
      </c>
      <c r="R490">
        <f t="shared" si="49"/>
        <v>443271</v>
      </c>
      <c r="S490">
        <f t="shared" si="50"/>
        <v>1085912.3999999999</v>
      </c>
      <c r="T490">
        <f t="shared" si="51"/>
        <v>3433139.4</v>
      </c>
      <c r="U490">
        <f t="shared" si="52"/>
        <v>3318754.8</v>
      </c>
      <c r="V490">
        <f t="shared" si="53"/>
        <v>1904336.6</v>
      </c>
      <c r="W490">
        <f t="shared" si="54"/>
        <v>1425079.4</v>
      </c>
      <c r="Y490">
        <f t="shared" si="55"/>
        <v>0.73730986440787094</v>
      </c>
      <c r="Z490">
        <f t="shared" si="56"/>
        <v>1.5873895369702951</v>
      </c>
      <c r="AA490">
        <f t="shared" si="57"/>
        <v>1.5881308493553661</v>
      </c>
      <c r="AB490">
        <f t="shared" si="58"/>
        <v>0.74041516559664156</v>
      </c>
      <c r="AC490">
        <f t="shared" si="59"/>
        <v>1.3764606676122639</v>
      </c>
      <c r="AD490">
        <f t="shared" si="60"/>
        <v>0.93494628618936981</v>
      </c>
      <c r="AE490">
        <f t="shared" si="61"/>
        <v>1.7972450419911179</v>
      </c>
      <c r="AF490">
        <f t="shared" si="62"/>
        <v>1.1320204925374131</v>
      </c>
      <c r="AG490">
        <f t="shared" si="63"/>
        <v>1.8287729748990389</v>
      </c>
      <c r="AH490">
        <f t="shared" si="64"/>
        <v>3.3041046186001042</v>
      </c>
      <c r="AI490">
        <f t="shared" si="65"/>
        <v>2.8066606355598198</v>
      </c>
      <c r="AK490">
        <f t="shared" si="66"/>
        <v>0.73730986440787094</v>
      </c>
      <c r="AL490">
        <f t="shared" si="67"/>
        <v>0.65209215561626477</v>
      </c>
      <c r="AM490">
        <f t="shared" si="68"/>
        <v>0.65774521880084647</v>
      </c>
      <c r="AN490">
        <f t="shared" si="69"/>
        <v>0.74041516559664156</v>
      </c>
      <c r="AO490">
        <f t="shared" si="70"/>
        <v>0.60084137400845061</v>
      </c>
      <c r="AP490">
        <f t="shared" si="71"/>
        <v>0.93494628618936981</v>
      </c>
      <c r="AQ490">
        <f t="shared" si="72"/>
        <v>0.74543568217195566</v>
      </c>
      <c r="AR490">
        <f t="shared" si="73"/>
        <v>0.66204044176265597</v>
      </c>
      <c r="AS490">
        <f t="shared" si="74"/>
        <v>0.51523735356749967</v>
      </c>
      <c r="AT490">
        <f t="shared" si="75"/>
        <v>3.3041046186001042</v>
      </c>
      <c r="AU490">
        <f t="shared" si="76"/>
        <v>1.4364900709828361</v>
      </c>
    </row>
    <row r="491" spans="1:47" x14ac:dyDescent="0.3">
      <c r="A491">
        <v>7</v>
      </c>
      <c r="B491" t="s">
        <v>147</v>
      </c>
      <c r="C491" t="s">
        <v>143</v>
      </c>
      <c r="D491" t="s">
        <v>144</v>
      </c>
      <c r="F491" s="7">
        <v>0</v>
      </c>
      <c r="G491" s="7">
        <v>0</v>
      </c>
      <c r="H491" s="3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1248890.6000000001</v>
      </c>
      <c r="O491">
        <f t="shared" si="46"/>
        <v>1256580.6000000001</v>
      </c>
      <c r="P491">
        <f t="shared" si="47"/>
        <v>286664</v>
      </c>
      <c r="Q491">
        <f t="shared" si="48"/>
        <v>583264.80000000005</v>
      </c>
      <c r="R491">
        <f t="shared" si="49"/>
        <v>171907.4</v>
      </c>
      <c r="S491">
        <f t="shared" si="50"/>
        <v>779411.4</v>
      </c>
      <c r="T491">
        <f t="shared" si="51"/>
        <v>3430780.6</v>
      </c>
      <c r="U491">
        <f t="shared" si="52"/>
        <v>3311038.4</v>
      </c>
      <c r="V491">
        <f t="shared" si="53"/>
        <v>2180.1999999999998</v>
      </c>
      <c r="W491">
        <f t="shared" si="54"/>
        <v>1039442.6</v>
      </c>
      <c r="Y491">
        <f t="shared" si="55"/>
        <v>0.42179171220632272</v>
      </c>
      <c r="Z491">
        <f t="shared" si="56"/>
        <v>1.400093524181284</v>
      </c>
      <c r="AA491">
        <f t="shared" si="57"/>
        <v>1.4022388508426959</v>
      </c>
      <c r="AB491">
        <f t="shared" si="58"/>
        <v>0.43503060440416452</v>
      </c>
      <c r="AC491">
        <f t="shared" si="59"/>
        <v>1.2321067234035581</v>
      </c>
      <c r="AD491">
        <f t="shared" si="60"/>
        <v>0.57720556518761446</v>
      </c>
      <c r="AE491">
        <f t="shared" si="61"/>
        <v>1.5455745553947049</v>
      </c>
      <c r="AF491">
        <f t="shared" si="62"/>
        <v>1.126902866631281</v>
      </c>
      <c r="AG491">
        <f t="shared" si="63"/>
        <v>1.8093356667552141</v>
      </c>
      <c r="AH491">
        <f t="shared" si="64"/>
        <v>9.3076895922422197E-3</v>
      </c>
      <c r="AI491">
        <f t="shared" si="65"/>
        <v>2.0020666474127209</v>
      </c>
      <c r="AK491">
        <f t="shared" si="66"/>
        <v>0.42179171220632272</v>
      </c>
      <c r="AL491">
        <f t="shared" si="67"/>
        <v>0.61746538340812551</v>
      </c>
      <c r="AM491">
        <f t="shared" si="68"/>
        <v>0.61915945700602604</v>
      </c>
      <c r="AN491">
        <f t="shared" si="69"/>
        <v>0.43503060440416452</v>
      </c>
      <c r="AO491">
        <f t="shared" si="70"/>
        <v>0.6545239122177009</v>
      </c>
      <c r="AP491">
        <f t="shared" si="71"/>
        <v>0.57720556518761446</v>
      </c>
      <c r="AQ491">
        <f t="shared" si="72"/>
        <v>0.72171396461781112</v>
      </c>
      <c r="AR491">
        <f t="shared" si="73"/>
        <v>0.66311374022625391</v>
      </c>
      <c r="AS491">
        <f t="shared" si="74"/>
        <v>0.50669986880384388</v>
      </c>
      <c r="AT491">
        <f t="shared" si="75"/>
        <v>9.3076895922422197E-3</v>
      </c>
      <c r="AU491">
        <f t="shared" si="76"/>
        <v>1.2376343646086749</v>
      </c>
    </row>
    <row r="492" spans="1:47" x14ac:dyDescent="0.3">
      <c r="A492">
        <v>7</v>
      </c>
      <c r="B492" t="s">
        <v>148</v>
      </c>
      <c r="C492" t="s">
        <v>143</v>
      </c>
      <c r="D492" t="s">
        <v>144</v>
      </c>
      <c r="F492" s="7">
        <v>0</v>
      </c>
      <c r="G492" s="7">
        <v>1</v>
      </c>
      <c r="H492" s="3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1144004.2</v>
      </c>
      <c r="O492">
        <f t="shared" si="46"/>
        <v>1144875.6000000001</v>
      </c>
      <c r="P492">
        <f t="shared" si="47"/>
        <v>337782.4</v>
      </c>
      <c r="Q492">
        <f t="shared" si="48"/>
        <v>624904</v>
      </c>
      <c r="R492">
        <f t="shared" si="49"/>
        <v>228596.2</v>
      </c>
      <c r="S492">
        <f t="shared" si="50"/>
        <v>907778.8</v>
      </c>
      <c r="T492">
        <f t="shared" si="51"/>
        <v>3588745.6</v>
      </c>
      <c r="U492">
        <f t="shared" si="52"/>
        <v>3188178</v>
      </c>
      <c r="V492">
        <f t="shared" si="53"/>
        <v>442924.2</v>
      </c>
      <c r="W492">
        <f t="shared" si="54"/>
        <v>1166188.3999999999</v>
      </c>
      <c r="Y492">
        <f t="shared" si="55"/>
        <v>1.058324048586655</v>
      </c>
      <c r="Z492">
        <f t="shared" si="56"/>
        <v>1.375427062192466</v>
      </c>
      <c r="AA492">
        <f t="shared" si="57"/>
        <v>1.361343169142492</v>
      </c>
      <c r="AB492">
        <f t="shared" si="58"/>
        <v>0.80639232000685301</v>
      </c>
      <c r="AC492">
        <f t="shared" si="59"/>
        <v>1.191139152005781</v>
      </c>
      <c r="AD492">
        <f t="shared" si="60"/>
        <v>1.040916044195183</v>
      </c>
      <c r="AE492">
        <f t="shared" si="61"/>
        <v>1.713138400786556</v>
      </c>
      <c r="AF492">
        <f t="shared" si="62"/>
        <v>1.302283638343215</v>
      </c>
      <c r="AG492">
        <f t="shared" si="63"/>
        <v>1.7291884127072989</v>
      </c>
      <c r="AH492">
        <f t="shared" si="64"/>
        <v>2.5439871140057222</v>
      </c>
      <c r="AI492">
        <f t="shared" si="65"/>
        <v>2.3992316446150652</v>
      </c>
      <c r="AK492">
        <f t="shared" si="66"/>
        <v>1.058324048586655</v>
      </c>
      <c r="AL492">
        <f t="shared" si="67"/>
        <v>0.57160762300482015</v>
      </c>
      <c r="AM492">
        <f t="shared" si="68"/>
        <v>0.56202245060121636</v>
      </c>
      <c r="AN492">
        <f t="shared" si="69"/>
        <v>0.80639232000685301</v>
      </c>
      <c r="AO492">
        <f t="shared" si="70"/>
        <v>0.50269683001097287</v>
      </c>
      <c r="AP492">
        <f t="shared" si="71"/>
        <v>1.040916044195183</v>
      </c>
      <c r="AQ492">
        <f t="shared" si="72"/>
        <v>0.75369047480635343</v>
      </c>
      <c r="AR492">
        <f t="shared" si="73"/>
        <v>0.75731314995791765</v>
      </c>
      <c r="AS492">
        <f t="shared" si="74"/>
        <v>0.44568268116563559</v>
      </c>
      <c r="AT492">
        <f t="shared" si="75"/>
        <v>2.5439871140057222</v>
      </c>
      <c r="AU492">
        <f t="shared" si="76"/>
        <v>1.397224984632339</v>
      </c>
    </row>
    <row r="493" spans="1:47" x14ac:dyDescent="0.3">
      <c r="A493">
        <v>7</v>
      </c>
      <c r="B493" t="s">
        <v>149</v>
      </c>
      <c r="C493" t="s">
        <v>143</v>
      </c>
      <c r="D493" t="s">
        <v>144</v>
      </c>
      <c r="F493" s="7">
        <v>0</v>
      </c>
      <c r="G493" s="7">
        <v>0</v>
      </c>
      <c r="H493" s="3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1230659</v>
      </c>
      <c r="O493">
        <f t="shared" si="46"/>
        <v>1233903.8</v>
      </c>
      <c r="P493">
        <f t="shared" si="47"/>
        <v>801108.4</v>
      </c>
      <c r="Q493">
        <f t="shared" si="48"/>
        <v>715721.6</v>
      </c>
      <c r="R493">
        <f t="shared" si="49"/>
        <v>417479.4</v>
      </c>
      <c r="S493">
        <f t="shared" si="50"/>
        <v>802088.4</v>
      </c>
      <c r="T493">
        <f t="shared" si="51"/>
        <v>3588444.8</v>
      </c>
      <c r="U493">
        <f t="shared" si="52"/>
        <v>3177877.4</v>
      </c>
      <c r="V493">
        <f t="shared" si="53"/>
        <v>1857730</v>
      </c>
      <c r="W493">
        <f t="shared" si="54"/>
        <v>1770498.6</v>
      </c>
      <c r="Y493">
        <f t="shared" si="55"/>
        <v>2.0521801395923829</v>
      </c>
      <c r="Z493">
        <f t="shared" si="56"/>
        <v>1.4026525362045501</v>
      </c>
      <c r="AA493">
        <f t="shared" si="57"/>
        <v>1.392528187774587</v>
      </c>
      <c r="AB493">
        <f t="shared" si="58"/>
        <v>0.95564904980710708</v>
      </c>
      <c r="AC493">
        <f t="shared" si="59"/>
        <v>1.1811651814088691</v>
      </c>
      <c r="AD493">
        <f t="shared" si="60"/>
        <v>1.0664413081831301</v>
      </c>
      <c r="AE493">
        <f t="shared" si="61"/>
        <v>1.608205518999603</v>
      </c>
      <c r="AF493">
        <f t="shared" si="62"/>
        <v>1.302760542789474</v>
      </c>
      <c r="AG493">
        <f t="shared" si="63"/>
        <v>1.725426454900298</v>
      </c>
      <c r="AH493">
        <f t="shared" si="64"/>
        <v>2.5491833240026609</v>
      </c>
      <c r="AI493">
        <f t="shared" si="65"/>
        <v>2.308249683061149</v>
      </c>
      <c r="AK493">
        <f t="shared" si="66"/>
        <v>2.0521801395923829</v>
      </c>
      <c r="AL493">
        <f t="shared" si="67"/>
        <v>0.5874223330058157</v>
      </c>
      <c r="AM493">
        <f t="shared" si="68"/>
        <v>0.58212495101615791</v>
      </c>
      <c r="AN493">
        <f t="shared" si="69"/>
        <v>0.95564904980710708</v>
      </c>
      <c r="AO493">
        <f t="shared" si="70"/>
        <v>0.5438389183895197</v>
      </c>
      <c r="AP493">
        <f t="shared" si="71"/>
        <v>1.0664413081831301</v>
      </c>
      <c r="AQ493">
        <f t="shared" si="72"/>
        <v>0.60858146179234607</v>
      </c>
      <c r="AR493">
        <f t="shared" si="73"/>
        <v>0.76455958279548208</v>
      </c>
      <c r="AS493">
        <f t="shared" si="74"/>
        <v>0.45177986057242381</v>
      </c>
      <c r="AT493">
        <f t="shared" si="75"/>
        <v>2.5491833240026609</v>
      </c>
      <c r="AU493">
        <f t="shared" si="76"/>
        <v>1.491369919816498</v>
      </c>
    </row>
    <row r="494" spans="1:47" x14ac:dyDescent="0.3">
      <c r="A494">
        <v>7</v>
      </c>
      <c r="B494" t="s">
        <v>150</v>
      </c>
      <c r="C494" t="s">
        <v>143</v>
      </c>
      <c r="D494" t="s">
        <v>144</v>
      </c>
      <c r="F494" s="7">
        <v>0</v>
      </c>
      <c r="G494" s="7">
        <v>0</v>
      </c>
      <c r="H494" s="3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1068136.6000000001</v>
      </c>
      <c r="O494">
        <f t="shared" si="46"/>
        <v>1093264.2</v>
      </c>
      <c r="P494">
        <f t="shared" si="47"/>
        <v>215606.2</v>
      </c>
      <c r="Q494">
        <f t="shared" si="48"/>
        <v>659921.6</v>
      </c>
      <c r="R494">
        <f t="shared" si="49"/>
        <v>187974.39999999999</v>
      </c>
      <c r="S494">
        <f t="shared" si="50"/>
        <v>597100.19999999995</v>
      </c>
      <c r="T494">
        <f t="shared" si="51"/>
        <v>3963477.2</v>
      </c>
      <c r="U494">
        <f t="shared" si="52"/>
        <v>2937733.8</v>
      </c>
      <c r="V494">
        <f t="shared" si="53"/>
        <v>48474.400000000001</v>
      </c>
      <c r="W494">
        <f t="shared" si="54"/>
        <v>781316</v>
      </c>
      <c r="Y494">
        <f t="shared" si="55"/>
        <v>0.67152852339204405</v>
      </c>
      <c r="Z494">
        <f t="shared" si="56"/>
        <v>1.2763953271904029</v>
      </c>
      <c r="AA494">
        <f t="shared" si="57"/>
        <v>1.2903611731715501</v>
      </c>
      <c r="AB494">
        <f t="shared" si="58"/>
        <v>0.40401123219635338</v>
      </c>
      <c r="AC494">
        <f t="shared" si="59"/>
        <v>1.125608510390157</v>
      </c>
      <c r="AD494">
        <f t="shared" si="60"/>
        <v>0.95614297580905261</v>
      </c>
      <c r="AE494">
        <f t="shared" si="61"/>
        <v>1.590762715332676</v>
      </c>
      <c r="AF494">
        <f t="shared" si="62"/>
        <v>1.480055097606964</v>
      </c>
      <c r="AG494">
        <f t="shared" si="63"/>
        <v>1.4942947623902001</v>
      </c>
      <c r="AH494">
        <f t="shared" si="64"/>
        <v>0.43120336519787089</v>
      </c>
      <c r="AI494">
        <f t="shared" si="65"/>
        <v>1.8528971992316661</v>
      </c>
      <c r="AK494">
        <f t="shared" si="66"/>
        <v>0.67152852339204405</v>
      </c>
      <c r="AL494">
        <f t="shared" si="67"/>
        <v>0.5988436534069479</v>
      </c>
      <c r="AM494">
        <f t="shared" si="68"/>
        <v>0.61027100456412886</v>
      </c>
      <c r="AN494">
        <f t="shared" si="69"/>
        <v>0.40401123219635338</v>
      </c>
      <c r="AO494">
        <f t="shared" si="70"/>
        <v>0.54774605978745972</v>
      </c>
      <c r="AP494">
        <f t="shared" si="71"/>
        <v>0.95614297580905261</v>
      </c>
      <c r="AQ494">
        <f t="shared" si="72"/>
        <v>0.6075111657846719</v>
      </c>
      <c r="AR494">
        <f t="shared" si="73"/>
        <v>1.0428193803993051</v>
      </c>
      <c r="AS494">
        <f t="shared" si="74"/>
        <v>0.46399472658522428</v>
      </c>
      <c r="AT494">
        <f t="shared" si="75"/>
        <v>0.43120336519787089</v>
      </c>
      <c r="AU494">
        <f t="shared" si="76"/>
        <v>1.042164178623352</v>
      </c>
    </row>
    <row r="495" spans="1:47" x14ac:dyDescent="0.3">
      <c r="A495">
        <v>7</v>
      </c>
      <c r="B495" t="s">
        <v>151</v>
      </c>
      <c r="C495" t="s">
        <v>143</v>
      </c>
      <c r="D495" t="s">
        <v>144</v>
      </c>
      <c r="F495" s="7">
        <v>0</v>
      </c>
      <c r="G495" s="7">
        <v>1</v>
      </c>
      <c r="H495" s="3">
        <v>0</v>
      </c>
      <c r="I495">
        <f t="shared" si="78"/>
        <v>0</v>
      </c>
      <c r="J495">
        <f t="shared" si="78"/>
        <v>1</v>
      </c>
      <c r="K495">
        <v>3</v>
      </c>
      <c r="L495">
        <v>0</v>
      </c>
      <c r="M495">
        <f t="shared" si="44"/>
        <v>26181323.199999999</v>
      </c>
      <c r="N495">
        <f t="shared" si="45"/>
        <v>27506366.399999999</v>
      </c>
      <c r="O495">
        <f t="shared" si="46"/>
        <v>27594191.600000001</v>
      </c>
      <c r="P495">
        <f t="shared" si="47"/>
        <v>13188082.199999999</v>
      </c>
      <c r="Q495">
        <f t="shared" si="48"/>
        <v>27044422.600000001</v>
      </c>
      <c r="R495">
        <f t="shared" si="49"/>
        <v>13092143</v>
      </c>
      <c r="S495">
        <f t="shared" si="50"/>
        <v>26937736</v>
      </c>
      <c r="T495">
        <f t="shared" si="51"/>
        <v>3990877.2</v>
      </c>
      <c r="U495">
        <f t="shared" si="52"/>
        <v>3027840.6</v>
      </c>
      <c r="V495">
        <f t="shared" si="53"/>
        <v>20097045</v>
      </c>
      <c r="W495">
        <f t="shared" si="54"/>
        <v>29593774.199999999</v>
      </c>
      <c r="Y495">
        <f t="shared" si="55"/>
        <v>56.260184481600298</v>
      </c>
      <c r="Z495">
        <f t="shared" si="56"/>
        <v>37.616588410385887</v>
      </c>
      <c r="AA495">
        <f t="shared" si="57"/>
        <v>37.526952290220649</v>
      </c>
      <c r="AB495">
        <f t="shared" si="58"/>
        <v>80.751274892810031</v>
      </c>
      <c r="AC495">
        <f t="shared" si="59"/>
        <v>44.65357267379877</v>
      </c>
      <c r="AD495">
        <f t="shared" si="60"/>
        <v>49.192597248824313</v>
      </c>
      <c r="AE495">
        <f t="shared" si="61"/>
        <v>44.85447076780256</v>
      </c>
      <c r="AF495">
        <f t="shared" si="62"/>
        <v>1.4455513165681619</v>
      </c>
      <c r="AG495">
        <f t="shared" si="63"/>
        <v>1.490926673577633</v>
      </c>
      <c r="AH495">
        <f t="shared" si="64"/>
        <v>12.34857160260435</v>
      </c>
      <c r="AI495">
        <f t="shared" si="65"/>
        <v>36.601885260618289</v>
      </c>
      <c r="AK495">
        <f t="shared" si="66"/>
        <v>56.260184481600298</v>
      </c>
      <c r="AL495">
        <f t="shared" si="67"/>
        <v>36.45671945923241</v>
      </c>
      <c r="AM495">
        <f t="shared" si="68"/>
        <v>36.36190376699669</v>
      </c>
      <c r="AN495">
        <f t="shared" si="69"/>
        <v>80.751274892810031</v>
      </c>
      <c r="AO495">
        <f t="shared" si="70"/>
        <v>43.676095260796139</v>
      </c>
      <c r="AP495">
        <f t="shared" si="71"/>
        <v>49.192597248824313</v>
      </c>
      <c r="AQ495">
        <f t="shared" si="72"/>
        <v>43.678467658592851</v>
      </c>
      <c r="AR495">
        <f t="shared" si="73"/>
        <v>1.02590670977952</v>
      </c>
      <c r="AS495">
        <f t="shared" si="74"/>
        <v>0.47472880245186388</v>
      </c>
      <c r="AT495">
        <f t="shared" si="75"/>
        <v>12.34857160260435</v>
      </c>
      <c r="AU495">
        <f t="shared" si="76"/>
        <v>35.374837822001417</v>
      </c>
    </row>
    <row r="496" spans="1:47" x14ac:dyDescent="0.3">
      <c r="A496">
        <v>8</v>
      </c>
      <c r="B496" t="s">
        <v>152</v>
      </c>
      <c r="C496" t="s">
        <v>153</v>
      </c>
      <c r="D496" t="s">
        <v>154</v>
      </c>
      <c r="F496" s="7">
        <v>0</v>
      </c>
      <c r="G496" s="7">
        <v>0</v>
      </c>
      <c r="H496" s="3">
        <v>0</v>
      </c>
      <c r="I496">
        <f t="shared" si="78"/>
        <v>0</v>
      </c>
      <c r="J496">
        <f t="shared" si="78"/>
        <v>1</v>
      </c>
      <c r="K496">
        <v>3</v>
      </c>
      <c r="L496">
        <v>0</v>
      </c>
      <c r="M496">
        <f t="shared" si="44"/>
        <v>1503065.2</v>
      </c>
      <c r="N496">
        <f t="shared" si="45"/>
        <v>961528.2</v>
      </c>
      <c r="O496">
        <f t="shared" si="46"/>
        <v>965965</v>
      </c>
      <c r="P496">
        <f t="shared" si="47"/>
        <v>3564945.4</v>
      </c>
      <c r="Q496">
        <f t="shared" si="48"/>
        <v>378950.6</v>
      </c>
      <c r="R496">
        <f t="shared" si="49"/>
        <v>2087235.8</v>
      </c>
      <c r="S496">
        <f t="shared" si="50"/>
        <v>441001.8</v>
      </c>
      <c r="T496">
        <f t="shared" si="51"/>
        <v>3146374.2</v>
      </c>
      <c r="U496">
        <f t="shared" si="52"/>
        <v>2723049.4</v>
      </c>
      <c r="V496">
        <f t="shared" si="53"/>
        <v>2710669.2</v>
      </c>
      <c r="W496">
        <f t="shared" si="54"/>
        <v>609814.4</v>
      </c>
      <c r="Y496">
        <f t="shared" si="55"/>
        <v>1.7491386696114199</v>
      </c>
      <c r="Z496">
        <f t="shared" si="56"/>
        <v>1.270554306800477</v>
      </c>
      <c r="AA496">
        <f t="shared" si="57"/>
        <v>1.2507028112537231</v>
      </c>
      <c r="AB496">
        <f t="shared" si="58"/>
        <v>3.5010167010070292</v>
      </c>
      <c r="AC496">
        <f t="shared" si="59"/>
        <v>0.89768049539416095</v>
      </c>
      <c r="AD496">
        <f t="shared" si="60"/>
        <v>2.5428594561875801</v>
      </c>
      <c r="AE496">
        <f t="shared" si="61"/>
        <v>1.1780319219687949</v>
      </c>
      <c r="AF496">
        <f t="shared" si="62"/>
        <v>0.89479764058487488</v>
      </c>
      <c r="AG496">
        <f t="shared" si="63"/>
        <v>1.221480691432953</v>
      </c>
      <c r="AH496">
        <f t="shared" si="64"/>
        <v>3.41240490040509</v>
      </c>
      <c r="AI496">
        <f t="shared" si="65"/>
        <v>2.406106167018879</v>
      </c>
      <c r="AK496">
        <f t="shared" si="66"/>
        <v>1.7491386696114199</v>
      </c>
      <c r="AL496">
        <f t="shared" si="67"/>
        <v>0.71699467860162258</v>
      </c>
      <c r="AM496">
        <f t="shared" si="68"/>
        <v>0.70357013940811153</v>
      </c>
      <c r="AN496">
        <f t="shared" si="69"/>
        <v>3.5010167010070292</v>
      </c>
      <c r="AO496">
        <f t="shared" si="70"/>
        <v>0.5387833782064263</v>
      </c>
      <c r="AP496">
        <f t="shared" si="71"/>
        <v>2.5428594561875801</v>
      </c>
      <c r="AQ496">
        <f t="shared" si="72"/>
        <v>0.65038607977330687</v>
      </c>
      <c r="AR496">
        <f t="shared" si="73"/>
        <v>0.46726057239575308</v>
      </c>
      <c r="AS496">
        <f t="shared" si="74"/>
        <v>0.46030932599678642</v>
      </c>
      <c r="AT496">
        <f t="shared" si="75"/>
        <v>3.41240490040509</v>
      </c>
      <c r="AU496">
        <f t="shared" si="76"/>
        <v>1.500710284814704</v>
      </c>
    </row>
    <row r="497" spans="1:47" x14ac:dyDescent="0.3">
      <c r="A497">
        <v>8</v>
      </c>
      <c r="B497" t="s">
        <v>155</v>
      </c>
      <c r="C497" t="s">
        <v>153</v>
      </c>
      <c r="D497" t="s">
        <v>154</v>
      </c>
      <c r="F497" s="7">
        <v>0</v>
      </c>
      <c r="G497" s="7">
        <v>1</v>
      </c>
      <c r="H497" s="3">
        <v>0</v>
      </c>
      <c r="I497">
        <f t="shared" ref="I497:J512" si="79">I116</f>
        <v>0</v>
      </c>
      <c r="J497">
        <f t="shared" si="79"/>
        <v>1</v>
      </c>
      <c r="K497">
        <v>3</v>
      </c>
      <c r="L497">
        <v>0</v>
      </c>
      <c r="M497">
        <f t="shared" si="44"/>
        <v>671697</v>
      </c>
      <c r="N497">
        <f t="shared" si="45"/>
        <v>928965.4</v>
      </c>
      <c r="O497">
        <f t="shared" si="46"/>
        <v>931455.2</v>
      </c>
      <c r="P497">
        <f t="shared" si="47"/>
        <v>1307813</v>
      </c>
      <c r="Q497">
        <f t="shared" si="48"/>
        <v>237366.39999999999</v>
      </c>
      <c r="R497">
        <f t="shared" si="49"/>
        <v>969468.4</v>
      </c>
      <c r="S497">
        <f t="shared" si="50"/>
        <v>216870.2</v>
      </c>
      <c r="T497">
        <f t="shared" si="51"/>
        <v>2930421.6</v>
      </c>
      <c r="U497">
        <f t="shared" si="52"/>
        <v>2477515.4</v>
      </c>
      <c r="V497">
        <f t="shared" si="53"/>
        <v>891210.8</v>
      </c>
      <c r="W497">
        <f t="shared" si="54"/>
        <v>417234.6</v>
      </c>
      <c r="Y497">
        <f t="shared" si="55"/>
        <v>0.74167945398949087</v>
      </c>
      <c r="Z497">
        <f t="shared" si="56"/>
        <v>1.0993017396540381</v>
      </c>
      <c r="AA497">
        <f t="shared" si="57"/>
        <v>1.092860866396222</v>
      </c>
      <c r="AB497">
        <f t="shared" si="58"/>
        <v>1.240959039604058</v>
      </c>
      <c r="AC497">
        <f t="shared" si="59"/>
        <v>0.65821736460202374</v>
      </c>
      <c r="AD497">
        <f t="shared" si="60"/>
        <v>1.8179088436067099</v>
      </c>
      <c r="AE497">
        <f t="shared" si="61"/>
        <v>1.2619720421731471</v>
      </c>
      <c r="AF497">
        <f t="shared" si="62"/>
        <v>0.61949599344516171</v>
      </c>
      <c r="AG497">
        <f t="shared" si="63"/>
        <v>0.94338371378835295</v>
      </c>
      <c r="AH497">
        <f t="shared" si="64"/>
        <v>2.7515814410056918</v>
      </c>
      <c r="AI497">
        <f t="shared" si="65"/>
        <v>0.83193012740230188</v>
      </c>
      <c r="AK497">
        <f t="shared" si="66"/>
        <v>0.74167945398949087</v>
      </c>
      <c r="AL497">
        <f t="shared" si="67"/>
        <v>0.73791943481191991</v>
      </c>
      <c r="AM497">
        <f t="shared" si="68"/>
        <v>0.7333839730243199</v>
      </c>
      <c r="AN497">
        <f t="shared" si="69"/>
        <v>1.240959039604058</v>
      </c>
      <c r="AO497">
        <f t="shared" si="70"/>
        <v>0.42318447420839223</v>
      </c>
      <c r="AP497">
        <f t="shared" si="71"/>
        <v>1.8179088436067099</v>
      </c>
      <c r="AQ497">
        <f t="shared" si="72"/>
        <v>0.66930668439017604</v>
      </c>
      <c r="AR497">
        <f t="shared" si="73"/>
        <v>0.35496853264048689</v>
      </c>
      <c r="AS497">
        <f t="shared" si="74"/>
        <v>0.42256817135494201</v>
      </c>
      <c r="AT497">
        <f t="shared" si="75"/>
        <v>2.7515814410056918</v>
      </c>
      <c r="AU497">
        <f t="shared" si="76"/>
        <v>0.61374989938922231</v>
      </c>
    </row>
    <row r="498" spans="1:47" x14ac:dyDescent="0.3">
      <c r="A498">
        <v>8</v>
      </c>
      <c r="B498" t="s">
        <v>156</v>
      </c>
      <c r="C498" t="s">
        <v>153</v>
      </c>
      <c r="D498" t="s">
        <v>154</v>
      </c>
      <c r="F498" s="7">
        <v>0</v>
      </c>
      <c r="G498" s="7">
        <v>1</v>
      </c>
      <c r="H498" s="3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980726.8</v>
      </c>
      <c r="O498">
        <f t="shared" si="46"/>
        <v>980472</v>
      </c>
      <c r="P498">
        <f t="shared" si="47"/>
        <v>211034.2</v>
      </c>
      <c r="Q498">
        <f t="shared" si="48"/>
        <v>731553.8</v>
      </c>
      <c r="R498">
        <f t="shared" si="49"/>
        <v>203632.2</v>
      </c>
      <c r="S498">
        <f t="shared" si="50"/>
        <v>1605076.8</v>
      </c>
      <c r="T498">
        <f t="shared" si="51"/>
        <v>3140626</v>
      </c>
      <c r="U498">
        <f t="shared" si="52"/>
        <v>2718513</v>
      </c>
      <c r="V498">
        <f t="shared" si="53"/>
        <v>91534.6</v>
      </c>
      <c r="W498">
        <f t="shared" si="54"/>
        <v>2287849.4</v>
      </c>
      <c r="Y498">
        <f t="shared" si="55"/>
        <v>0.55381625938462098</v>
      </c>
      <c r="Z498">
        <f t="shared" si="56"/>
        <v>1.3268461823929101</v>
      </c>
      <c r="AA498">
        <f t="shared" si="57"/>
        <v>1.315848850167822</v>
      </c>
      <c r="AB498">
        <f t="shared" si="58"/>
        <v>0.4300360654015094</v>
      </c>
      <c r="AC498">
        <f t="shared" si="59"/>
        <v>1.2915634303877599</v>
      </c>
      <c r="AD498">
        <f t="shared" si="60"/>
        <v>1.16148661240004</v>
      </c>
      <c r="AE498">
        <f t="shared" si="61"/>
        <v>2.0022077801288112</v>
      </c>
      <c r="AF498">
        <f t="shared" si="62"/>
        <v>0.88213910940103235</v>
      </c>
      <c r="AG498">
        <f t="shared" si="63"/>
        <v>1.2111761188134551</v>
      </c>
      <c r="AH498">
        <f t="shared" si="64"/>
        <v>0.3430446584010497</v>
      </c>
      <c r="AI498">
        <f t="shared" si="65"/>
        <v>2.625538433005568</v>
      </c>
      <c r="AK498">
        <f t="shared" si="66"/>
        <v>0.55381625938462098</v>
      </c>
      <c r="AL498">
        <f t="shared" si="67"/>
        <v>0.77531689221505073</v>
      </c>
      <c r="AM498">
        <f t="shared" si="68"/>
        <v>0.77091780558694156</v>
      </c>
      <c r="AN498">
        <f t="shared" si="69"/>
        <v>0.4300360654015094</v>
      </c>
      <c r="AO498">
        <f t="shared" si="70"/>
        <v>0.8995696643833071</v>
      </c>
      <c r="AP498">
        <f t="shared" si="71"/>
        <v>1.16148661240004</v>
      </c>
      <c r="AQ498">
        <f t="shared" si="72"/>
        <v>1.319502304168418</v>
      </c>
      <c r="AR498">
        <f t="shared" si="73"/>
        <v>0.45578558220295229</v>
      </c>
      <c r="AS498">
        <f t="shared" si="74"/>
        <v>0.46091777855763211</v>
      </c>
      <c r="AT498">
        <f t="shared" si="75"/>
        <v>0.3430446584010497</v>
      </c>
      <c r="AU498">
        <f t="shared" si="76"/>
        <v>1.4955283266026529</v>
      </c>
    </row>
    <row r="499" spans="1:47" x14ac:dyDescent="0.3">
      <c r="A499">
        <v>8</v>
      </c>
      <c r="B499" t="s">
        <v>157</v>
      </c>
      <c r="C499" t="s">
        <v>153</v>
      </c>
      <c r="D499" t="s">
        <v>154</v>
      </c>
      <c r="F499" s="7">
        <v>0</v>
      </c>
      <c r="G499" s="7">
        <v>0</v>
      </c>
      <c r="H499" s="3">
        <v>0</v>
      </c>
      <c r="I499">
        <f t="shared" si="79"/>
        <v>0</v>
      </c>
      <c r="J499">
        <f t="shared" si="79"/>
        <v>1</v>
      </c>
      <c r="K499">
        <v>3</v>
      </c>
      <c r="L499">
        <v>0</v>
      </c>
      <c r="M499">
        <f t="shared" si="44"/>
        <v>467016.4</v>
      </c>
      <c r="N499">
        <f t="shared" si="45"/>
        <v>789763.8</v>
      </c>
      <c r="O499">
        <f t="shared" si="46"/>
        <v>791618.2</v>
      </c>
      <c r="P499">
        <f t="shared" si="47"/>
        <v>297050</v>
      </c>
      <c r="Q499">
        <f t="shared" si="48"/>
        <v>383798.6</v>
      </c>
      <c r="R499">
        <f t="shared" si="49"/>
        <v>223017.2</v>
      </c>
      <c r="S499">
        <f t="shared" si="50"/>
        <v>280395</v>
      </c>
      <c r="T499">
        <f t="shared" si="51"/>
        <v>2927316.4</v>
      </c>
      <c r="U499">
        <f t="shared" si="52"/>
        <v>2472511.6</v>
      </c>
      <c r="V499">
        <f t="shared" si="53"/>
        <v>5865.2</v>
      </c>
      <c r="W499">
        <f t="shared" si="54"/>
        <v>403962.4</v>
      </c>
      <c r="Y499">
        <f t="shared" si="55"/>
        <v>0.4737640131963417</v>
      </c>
      <c r="Z499">
        <f t="shared" si="56"/>
        <v>1.015196665830445</v>
      </c>
      <c r="AA499">
        <f t="shared" si="57"/>
        <v>1.00679670056561</v>
      </c>
      <c r="AB499">
        <f t="shared" si="58"/>
        <v>0.39141310899285597</v>
      </c>
      <c r="AC499">
        <f t="shared" si="59"/>
        <v>0.82111258297809397</v>
      </c>
      <c r="AD499">
        <f t="shared" si="60"/>
        <v>0.92535916059277956</v>
      </c>
      <c r="AE499">
        <f t="shared" si="61"/>
        <v>1.28543186665047</v>
      </c>
      <c r="AF499">
        <f t="shared" si="62"/>
        <v>0.61987180981086565</v>
      </c>
      <c r="AG499">
        <f t="shared" si="63"/>
        <v>0.93248466372024263</v>
      </c>
      <c r="AH499">
        <f t="shared" si="64"/>
        <v>2.377157318405802E-2</v>
      </c>
      <c r="AI499">
        <f t="shared" si="65"/>
        <v>0.89075096624437722</v>
      </c>
      <c r="AK499">
        <f t="shared" si="66"/>
        <v>0.4737640131963417</v>
      </c>
      <c r="AL499">
        <f t="shared" si="67"/>
        <v>0.64418743719579652</v>
      </c>
      <c r="AM499">
        <f t="shared" si="68"/>
        <v>0.64173432160168886</v>
      </c>
      <c r="AN499">
        <f t="shared" si="69"/>
        <v>0.39141310899285597</v>
      </c>
      <c r="AO499">
        <f t="shared" si="70"/>
        <v>0.52410386839765122</v>
      </c>
      <c r="AP499">
        <f t="shared" si="71"/>
        <v>0.92535916059277956</v>
      </c>
      <c r="AQ499">
        <f t="shared" si="72"/>
        <v>0.69221881938865404</v>
      </c>
      <c r="AR499">
        <f t="shared" si="73"/>
        <v>0.35151932139415287</v>
      </c>
      <c r="AS499">
        <f t="shared" si="74"/>
        <v>0.41656333324499428</v>
      </c>
      <c r="AT499">
        <f t="shared" si="75"/>
        <v>2.377157318405802E-2</v>
      </c>
      <c r="AU499">
        <f t="shared" si="76"/>
        <v>0.71343646923778581</v>
      </c>
    </row>
    <row r="500" spans="1:47" x14ac:dyDescent="0.3">
      <c r="A500">
        <v>8</v>
      </c>
      <c r="B500" t="s">
        <v>158</v>
      </c>
      <c r="C500" t="s">
        <v>153</v>
      </c>
      <c r="D500" t="s">
        <v>154</v>
      </c>
      <c r="F500" s="7">
        <v>0</v>
      </c>
      <c r="G500" s="7">
        <v>1</v>
      </c>
      <c r="H500" s="3">
        <v>0</v>
      </c>
      <c r="I500">
        <f t="shared" si="79"/>
        <v>0</v>
      </c>
      <c r="J500">
        <f t="shared" si="79"/>
        <v>1</v>
      </c>
      <c r="K500">
        <v>3</v>
      </c>
      <c r="L500">
        <v>0</v>
      </c>
      <c r="M500">
        <f t="shared" si="44"/>
        <v>795350.4</v>
      </c>
      <c r="N500">
        <f t="shared" si="45"/>
        <v>752143.4</v>
      </c>
      <c r="O500">
        <f t="shared" si="46"/>
        <v>752504.4</v>
      </c>
      <c r="P500">
        <f t="shared" si="47"/>
        <v>1605108.4</v>
      </c>
      <c r="Q500">
        <f t="shared" si="48"/>
        <v>275652.8</v>
      </c>
      <c r="R500">
        <f t="shared" si="49"/>
        <v>1105939.6000000001</v>
      </c>
      <c r="S500">
        <f t="shared" si="50"/>
        <v>226584</v>
      </c>
      <c r="T500">
        <f t="shared" si="51"/>
        <v>3211572.8</v>
      </c>
      <c r="U500">
        <f t="shared" si="52"/>
        <v>2684571.8</v>
      </c>
      <c r="V500">
        <f t="shared" si="53"/>
        <v>914901.2</v>
      </c>
      <c r="W500">
        <f t="shared" si="54"/>
        <v>285725.2</v>
      </c>
      <c r="Y500">
        <f t="shared" si="55"/>
        <v>0.84915595519123599</v>
      </c>
      <c r="Z500">
        <f t="shared" si="56"/>
        <v>0.97450676121516155</v>
      </c>
      <c r="AA500">
        <f t="shared" si="57"/>
        <v>0.97794622196815906</v>
      </c>
      <c r="AB500">
        <f t="shared" si="58"/>
        <v>1.4137507688021289</v>
      </c>
      <c r="AC500">
        <f t="shared" si="59"/>
        <v>0.68898252860526554</v>
      </c>
      <c r="AD500">
        <f t="shared" si="60"/>
        <v>1.984371884388384</v>
      </c>
      <c r="AE500">
        <f t="shared" si="61"/>
        <v>1.2388952583889481</v>
      </c>
      <c r="AF500">
        <f t="shared" si="62"/>
        <v>0.96670598101336513</v>
      </c>
      <c r="AG500">
        <f t="shared" si="63"/>
        <v>1.19257819398772</v>
      </c>
      <c r="AH500">
        <f t="shared" si="64"/>
        <v>2.8603674429934469</v>
      </c>
      <c r="AI500">
        <f t="shared" si="65"/>
        <v>0.86846120123518633</v>
      </c>
      <c r="AK500">
        <f t="shared" si="66"/>
        <v>0.84915595519123599</v>
      </c>
      <c r="AL500">
        <f t="shared" si="67"/>
        <v>0.62330410920549184</v>
      </c>
      <c r="AM500">
        <f t="shared" si="68"/>
        <v>0.62735341178486126</v>
      </c>
      <c r="AN500">
        <f t="shared" si="69"/>
        <v>1.4137507688021289</v>
      </c>
      <c r="AO500">
        <f t="shared" si="70"/>
        <v>0.43171978140017009</v>
      </c>
      <c r="AP500">
        <f t="shared" si="71"/>
        <v>1.984371884388384</v>
      </c>
      <c r="AQ500">
        <f t="shared" si="72"/>
        <v>0.60169837940484283</v>
      </c>
      <c r="AR500">
        <f t="shared" si="73"/>
        <v>0.69705928540788586</v>
      </c>
      <c r="AS500">
        <f t="shared" si="74"/>
        <v>0.58135945819085466</v>
      </c>
      <c r="AT500">
        <f t="shared" si="75"/>
        <v>2.8603674429934469</v>
      </c>
      <c r="AU500">
        <f t="shared" si="76"/>
        <v>0.58573257598327477</v>
      </c>
    </row>
    <row r="501" spans="1:47" x14ac:dyDescent="0.3">
      <c r="A501">
        <v>8</v>
      </c>
      <c r="B501" t="s">
        <v>159</v>
      </c>
      <c r="C501" t="s">
        <v>153</v>
      </c>
      <c r="D501" t="s">
        <v>154</v>
      </c>
      <c r="F501" s="7">
        <v>0</v>
      </c>
      <c r="G501" s="7">
        <v>0</v>
      </c>
      <c r="H501" s="3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1330097.2</v>
      </c>
      <c r="O501">
        <f t="shared" si="46"/>
        <v>1331846</v>
      </c>
      <c r="P501">
        <f t="shared" si="47"/>
        <v>298349</v>
      </c>
      <c r="Q501">
        <f t="shared" si="48"/>
        <v>313714.8</v>
      </c>
      <c r="R501">
        <f t="shared" si="49"/>
        <v>257198</v>
      </c>
      <c r="S501">
        <f t="shared" si="50"/>
        <v>262304</v>
      </c>
      <c r="T501">
        <f t="shared" si="51"/>
        <v>3925914.4</v>
      </c>
      <c r="U501">
        <f t="shared" si="52"/>
        <v>3472857.2</v>
      </c>
      <c r="V501">
        <f t="shared" si="53"/>
        <v>811</v>
      </c>
      <c r="W501">
        <f t="shared" si="54"/>
        <v>4534408.4000000004</v>
      </c>
      <c r="Y501">
        <f t="shared" si="55"/>
        <v>0.42494397441623732</v>
      </c>
      <c r="Z501">
        <f t="shared" si="56"/>
        <v>1.4896296793478541</v>
      </c>
      <c r="AA501">
        <f t="shared" si="57"/>
        <v>1.4992766797775401</v>
      </c>
      <c r="AB501">
        <f t="shared" si="58"/>
        <v>0.35974112439434969</v>
      </c>
      <c r="AC501">
        <f t="shared" si="59"/>
        <v>0.90380029219668356</v>
      </c>
      <c r="AD501">
        <f t="shared" si="60"/>
        <v>1.0523808391997591</v>
      </c>
      <c r="AE501">
        <f t="shared" si="61"/>
        <v>1.459560625313316</v>
      </c>
      <c r="AF501">
        <f t="shared" si="62"/>
        <v>1.7337277910322879</v>
      </c>
      <c r="AG501">
        <f t="shared" si="63"/>
        <v>2.031709381565451</v>
      </c>
      <c r="AH501">
        <f t="shared" si="64"/>
        <v>5.7398853939957199E-3</v>
      </c>
      <c r="AI501">
        <f t="shared" si="65"/>
        <v>1.9524466530070641</v>
      </c>
      <c r="AK501">
        <f t="shared" si="66"/>
        <v>0.42494397441623732</v>
      </c>
      <c r="AL501">
        <f t="shared" si="67"/>
        <v>1.2110321941785509</v>
      </c>
      <c r="AM501">
        <f t="shared" si="68"/>
        <v>1.2224794090026989</v>
      </c>
      <c r="AN501">
        <f t="shared" si="69"/>
        <v>0.35974112439434969</v>
      </c>
      <c r="AO501">
        <f t="shared" si="70"/>
        <v>0.6752788355981465</v>
      </c>
      <c r="AP501">
        <f t="shared" si="71"/>
        <v>1.0523808391997591</v>
      </c>
      <c r="AQ501">
        <f t="shared" si="72"/>
        <v>0.90446417338680474</v>
      </c>
      <c r="AR501">
        <f t="shared" si="73"/>
        <v>1.231148082041182</v>
      </c>
      <c r="AS501">
        <f t="shared" si="74"/>
        <v>0.82196902058785781</v>
      </c>
      <c r="AT501">
        <f t="shared" si="75"/>
        <v>5.7398853939957199E-3</v>
      </c>
      <c r="AU501">
        <f t="shared" si="76"/>
        <v>1.8325383134186271</v>
      </c>
    </row>
    <row r="502" spans="1:47" x14ac:dyDescent="0.3">
      <c r="A502">
        <v>8</v>
      </c>
      <c r="B502" t="s">
        <v>160</v>
      </c>
      <c r="C502" t="s">
        <v>153</v>
      </c>
      <c r="D502" t="s">
        <v>154</v>
      </c>
      <c r="F502" s="7">
        <v>0</v>
      </c>
      <c r="G502" s="7">
        <v>0</v>
      </c>
      <c r="H502" s="3">
        <v>0</v>
      </c>
      <c r="I502">
        <f t="shared" si="79"/>
        <v>0</v>
      </c>
      <c r="J502">
        <f t="shared" si="79"/>
        <v>1</v>
      </c>
      <c r="K502">
        <v>3</v>
      </c>
      <c r="L502">
        <v>0</v>
      </c>
      <c r="M502">
        <f t="shared" si="44"/>
        <v>465002</v>
      </c>
      <c r="N502">
        <f t="shared" si="45"/>
        <v>520328.6</v>
      </c>
      <c r="O502">
        <f t="shared" si="46"/>
        <v>521725.4</v>
      </c>
      <c r="P502">
        <f t="shared" si="47"/>
        <v>304031.2</v>
      </c>
      <c r="Q502">
        <f t="shared" si="48"/>
        <v>405429.2</v>
      </c>
      <c r="R502">
        <f t="shared" si="49"/>
        <v>267810</v>
      </c>
      <c r="S502">
        <f t="shared" si="50"/>
        <v>287192.59999999998</v>
      </c>
      <c r="T502">
        <f t="shared" si="51"/>
        <v>3210873.8</v>
      </c>
      <c r="U502">
        <f t="shared" si="52"/>
        <v>2679577</v>
      </c>
      <c r="V502">
        <f t="shared" si="53"/>
        <v>2815.4</v>
      </c>
      <c r="W502">
        <f t="shared" si="54"/>
        <v>449453</v>
      </c>
      <c r="Y502">
        <f t="shared" si="55"/>
        <v>0.46897720441920682</v>
      </c>
      <c r="Z502">
        <f t="shared" si="56"/>
        <v>0.84054008959792559</v>
      </c>
      <c r="AA502">
        <f t="shared" si="57"/>
        <v>0.85015523438341911</v>
      </c>
      <c r="AB502">
        <f t="shared" si="58"/>
        <v>0.36009125639102418</v>
      </c>
      <c r="AC502">
        <f t="shared" si="59"/>
        <v>0.79422849158872855</v>
      </c>
      <c r="AD502">
        <f t="shared" si="60"/>
        <v>0.91606393019901589</v>
      </c>
      <c r="AE502">
        <f t="shared" si="61"/>
        <v>1.2671964877867139</v>
      </c>
      <c r="AF502">
        <f t="shared" si="62"/>
        <v>0.95969568018335849</v>
      </c>
      <c r="AG502">
        <f t="shared" si="63"/>
        <v>1.178067774965893</v>
      </c>
      <c r="AH502">
        <f t="shared" si="64"/>
        <v>1.5194595011416781E-2</v>
      </c>
      <c r="AI502">
        <f t="shared" si="65"/>
        <v>0.89582411838928233</v>
      </c>
      <c r="AK502">
        <f t="shared" si="66"/>
        <v>0.46897720441920682</v>
      </c>
      <c r="AL502">
        <f t="shared" si="67"/>
        <v>0.51652742298319931</v>
      </c>
      <c r="AM502">
        <f t="shared" si="68"/>
        <v>0.5251516163931228</v>
      </c>
      <c r="AN502">
        <f t="shared" si="69"/>
        <v>0.36009125639102418</v>
      </c>
      <c r="AO502">
        <f t="shared" si="70"/>
        <v>0.52750144218443895</v>
      </c>
      <c r="AP502">
        <f t="shared" si="71"/>
        <v>0.91606393019901589</v>
      </c>
      <c r="AQ502">
        <f t="shared" si="72"/>
        <v>0.69691129337297752</v>
      </c>
      <c r="AR502">
        <f t="shared" si="73"/>
        <v>0.68773472477914765</v>
      </c>
      <c r="AS502">
        <f t="shared" si="74"/>
        <v>0.57587990375468512</v>
      </c>
      <c r="AT502">
        <f t="shared" si="75"/>
        <v>1.5194595011416781E-2</v>
      </c>
      <c r="AU502">
        <f t="shared" si="76"/>
        <v>0.74271473857806991</v>
      </c>
    </row>
    <row r="503" spans="1:47" x14ac:dyDescent="0.3">
      <c r="A503">
        <v>8</v>
      </c>
      <c r="B503" t="s">
        <v>161</v>
      </c>
      <c r="C503" t="s">
        <v>153</v>
      </c>
      <c r="D503" t="s">
        <v>154</v>
      </c>
      <c r="F503" s="7">
        <v>0</v>
      </c>
      <c r="G503" s="7">
        <v>1</v>
      </c>
      <c r="H503" s="3">
        <v>0</v>
      </c>
      <c r="I503">
        <f t="shared" si="79"/>
        <v>0</v>
      </c>
      <c r="J503">
        <f t="shared" si="79"/>
        <v>1</v>
      </c>
      <c r="K503">
        <v>3</v>
      </c>
      <c r="L503">
        <v>0</v>
      </c>
      <c r="M503">
        <f t="shared" si="44"/>
        <v>4784816</v>
      </c>
      <c r="N503">
        <f t="shared" si="45"/>
        <v>4807801.5999999996</v>
      </c>
      <c r="O503">
        <f t="shared" si="46"/>
        <v>4808272.5999999996</v>
      </c>
      <c r="P503">
        <f t="shared" si="47"/>
        <v>2491198</v>
      </c>
      <c r="Q503">
        <f t="shared" si="48"/>
        <v>4785610.4000000004</v>
      </c>
      <c r="R503">
        <f t="shared" si="49"/>
        <v>2439856.4</v>
      </c>
      <c r="S503">
        <f t="shared" si="50"/>
        <v>4734415</v>
      </c>
      <c r="T503">
        <f t="shared" si="51"/>
        <v>3932292.6</v>
      </c>
      <c r="U503">
        <f t="shared" si="52"/>
        <v>3473361.2</v>
      </c>
      <c r="V503">
        <f t="shared" si="53"/>
        <v>5218272.8</v>
      </c>
      <c r="W503">
        <f t="shared" si="54"/>
        <v>5878630.5999999996</v>
      </c>
      <c r="Y503">
        <f t="shared" si="55"/>
        <v>10.64770764338318</v>
      </c>
      <c r="Z503">
        <f t="shared" si="56"/>
        <v>8.0728616807959046</v>
      </c>
      <c r="AA503">
        <f t="shared" si="57"/>
        <v>8.0494674833724282</v>
      </c>
      <c r="AB503">
        <f t="shared" si="58"/>
        <v>12.85207862799289</v>
      </c>
      <c r="AC503">
        <f t="shared" si="59"/>
        <v>9.6367955255904238</v>
      </c>
      <c r="AD503">
        <f t="shared" si="60"/>
        <v>12.6599950126023</v>
      </c>
      <c r="AE503">
        <f t="shared" si="61"/>
        <v>10.515064716839699</v>
      </c>
      <c r="AF503">
        <f t="shared" si="62"/>
        <v>1.734000962192658</v>
      </c>
      <c r="AG503">
        <f t="shared" si="63"/>
        <v>2.011525441589765</v>
      </c>
      <c r="AH503">
        <f t="shared" si="64"/>
        <v>4.7875397813972089</v>
      </c>
      <c r="AI503">
        <f t="shared" si="65"/>
        <v>9.9400320389773693</v>
      </c>
      <c r="AK503">
        <f t="shared" si="66"/>
        <v>10.64770764338318</v>
      </c>
      <c r="AL503">
        <f t="shared" si="67"/>
        <v>7.8487571732024666</v>
      </c>
      <c r="AM503">
        <f t="shared" si="68"/>
        <v>7.8271457361755896</v>
      </c>
      <c r="AN503">
        <f t="shared" si="69"/>
        <v>12.85207862799289</v>
      </c>
      <c r="AO503">
        <f t="shared" si="70"/>
        <v>9.4050542885903265</v>
      </c>
      <c r="AP503">
        <f t="shared" si="71"/>
        <v>12.6599950126023</v>
      </c>
      <c r="AQ503">
        <f t="shared" si="72"/>
        <v>9.7882570422254496</v>
      </c>
      <c r="AR503">
        <f t="shared" si="73"/>
        <v>1.228971068188548</v>
      </c>
      <c r="AS503">
        <f t="shared" si="74"/>
        <v>0.80848007079912354</v>
      </c>
      <c r="AT503">
        <f t="shared" si="75"/>
        <v>4.7875397813972089</v>
      </c>
      <c r="AU503">
        <f t="shared" si="76"/>
        <v>9.8888723811833188</v>
      </c>
    </row>
    <row r="504" spans="1:47" x14ac:dyDescent="0.3">
      <c r="A504">
        <v>9</v>
      </c>
      <c r="B504" t="s">
        <v>162</v>
      </c>
      <c r="C504" t="s">
        <v>163</v>
      </c>
      <c r="D504" t="s">
        <v>164</v>
      </c>
      <c r="F504" s="7">
        <v>0</v>
      </c>
      <c r="G504" s="7">
        <v>0</v>
      </c>
      <c r="H504" s="3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5729850.4000000004</v>
      </c>
      <c r="O504">
        <f t="shared" si="46"/>
        <v>5894540.2000000002</v>
      </c>
      <c r="P504">
        <f t="shared" si="47"/>
        <v>2101040.6</v>
      </c>
      <c r="Q504">
        <f t="shared" si="48"/>
        <v>5362761.2</v>
      </c>
      <c r="R504">
        <f t="shared" si="49"/>
        <v>1871168.4</v>
      </c>
      <c r="S504">
        <f t="shared" si="50"/>
        <v>8759229.5999999996</v>
      </c>
      <c r="T504">
        <f t="shared" si="51"/>
        <v>4278519.8</v>
      </c>
      <c r="U504">
        <f t="shared" si="52"/>
        <v>4297242.8</v>
      </c>
      <c r="V504">
        <f t="shared" si="53"/>
        <v>3490419</v>
      </c>
      <c r="W504">
        <f t="shared" si="54"/>
        <v>17845268.600000001</v>
      </c>
      <c r="Y504">
        <f t="shared" si="55"/>
        <v>1.5012752009904939</v>
      </c>
      <c r="Z504">
        <f t="shared" si="56"/>
        <v>4.7385310932178983</v>
      </c>
      <c r="AA504">
        <f t="shared" si="57"/>
        <v>4.7726896582171321</v>
      </c>
      <c r="AB504">
        <f t="shared" si="58"/>
        <v>2.6621080865967088</v>
      </c>
      <c r="AC504">
        <f t="shared" si="59"/>
        <v>4.9641921505914066</v>
      </c>
      <c r="AD504">
        <f t="shared" si="60"/>
        <v>1.526150982594118</v>
      </c>
      <c r="AE504">
        <f t="shared" si="61"/>
        <v>5.4900601569795979</v>
      </c>
      <c r="AF504">
        <f t="shared" si="62"/>
        <v>1.9779575897962789</v>
      </c>
      <c r="AG504">
        <f t="shared" si="63"/>
        <v>2.7155649772263128</v>
      </c>
      <c r="AH504">
        <f t="shared" si="64"/>
        <v>3.4516045222058889</v>
      </c>
      <c r="AI504">
        <f t="shared" si="65"/>
        <v>12.37068572094431</v>
      </c>
      <c r="AK504">
        <f t="shared" si="66"/>
        <v>1.5012752009904939</v>
      </c>
      <c r="AL504">
        <f t="shared" si="67"/>
        <v>2.4367522560176438</v>
      </c>
      <c r="AM504">
        <f t="shared" si="68"/>
        <v>2.5014294952154161</v>
      </c>
      <c r="AN504">
        <f t="shared" si="69"/>
        <v>2.6621080865967088</v>
      </c>
      <c r="AO504">
        <f t="shared" si="70"/>
        <v>2.6134874197770839</v>
      </c>
      <c r="AP504">
        <f t="shared" si="71"/>
        <v>1.526150982594118</v>
      </c>
      <c r="AQ504">
        <f t="shared" si="72"/>
        <v>2.8990294502116738</v>
      </c>
      <c r="AR504">
        <f t="shared" si="73"/>
        <v>1.141764466988388</v>
      </c>
      <c r="AS504">
        <f t="shared" si="74"/>
        <v>0.68260200801305471</v>
      </c>
      <c r="AT504">
        <f t="shared" si="75"/>
        <v>3.4516045222058889</v>
      </c>
      <c r="AU504">
        <f t="shared" si="76"/>
        <v>9.0794619883876297</v>
      </c>
    </row>
    <row r="505" spans="1:47" x14ac:dyDescent="0.3">
      <c r="A505">
        <v>9</v>
      </c>
      <c r="B505" t="s">
        <v>165</v>
      </c>
      <c r="C505" t="s">
        <v>163</v>
      </c>
      <c r="D505" t="s">
        <v>164</v>
      </c>
      <c r="F505" s="7">
        <v>0</v>
      </c>
      <c r="G505" s="7">
        <v>1</v>
      </c>
      <c r="H505" s="3">
        <v>0</v>
      </c>
      <c r="I505">
        <f t="shared" si="79"/>
        <v>0</v>
      </c>
      <c r="J505">
        <f t="shared" si="79"/>
        <v>1</v>
      </c>
      <c r="K505">
        <v>3</v>
      </c>
      <c r="L505">
        <v>0</v>
      </c>
      <c r="M505">
        <f t="shared" si="44"/>
        <v>969826.6</v>
      </c>
      <c r="N505">
        <f t="shared" si="45"/>
        <v>3535925.8</v>
      </c>
      <c r="O505">
        <f t="shared" si="46"/>
        <v>3540171.2</v>
      </c>
      <c r="P505">
        <f t="shared" si="47"/>
        <v>726458.8</v>
      </c>
      <c r="Q505">
        <f t="shared" si="48"/>
        <v>2716837.8</v>
      </c>
      <c r="R505">
        <f t="shared" si="49"/>
        <v>2451285</v>
      </c>
      <c r="S505">
        <f t="shared" si="50"/>
        <v>4184080.8</v>
      </c>
      <c r="T505">
        <f t="shared" si="51"/>
        <v>4567194</v>
      </c>
      <c r="U505">
        <f t="shared" si="52"/>
        <v>3858640.4</v>
      </c>
      <c r="V505">
        <f t="shared" si="53"/>
        <v>1027132.8</v>
      </c>
      <c r="W505">
        <f t="shared" si="54"/>
        <v>6423717.4000000004</v>
      </c>
      <c r="Y505">
        <f t="shared" si="55"/>
        <v>1.3039256630116141</v>
      </c>
      <c r="Z505">
        <f t="shared" si="56"/>
        <v>3.198358482180629</v>
      </c>
      <c r="AA505">
        <f t="shared" si="57"/>
        <v>3.1803069290122949</v>
      </c>
      <c r="AB505">
        <f t="shared" si="58"/>
        <v>1.314596575789619</v>
      </c>
      <c r="AC505">
        <f t="shared" si="59"/>
        <v>3.033227226400049</v>
      </c>
      <c r="AD505">
        <f t="shared" si="60"/>
        <v>2.7334033828112299</v>
      </c>
      <c r="AE505">
        <f t="shared" si="61"/>
        <v>3.7054324546712452</v>
      </c>
      <c r="AF505">
        <f t="shared" si="62"/>
        <v>2.1923427212517712</v>
      </c>
      <c r="AG505">
        <f t="shared" si="63"/>
        <v>2.371738057618495</v>
      </c>
      <c r="AH505">
        <f t="shared" si="64"/>
        <v>2.0119750321842731</v>
      </c>
      <c r="AI505">
        <f t="shared" si="65"/>
        <v>6.3450012360583061</v>
      </c>
      <c r="AK505">
        <f t="shared" si="66"/>
        <v>1.3039256630116141</v>
      </c>
      <c r="AL505">
        <f t="shared" si="67"/>
        <v>2.1001384519971911</v>
      </c>
      <c r="AM505">
        <f t="shared" si="68"/>
        <v>2.091350184590556</v>
      </c>
      <c r="AN505">
        <f t="shared" si="69"/>
        <v>1.314596575789619</v>
      </c>
      <c r="AO505">
        <f t="shared" si="70"/>
        <v>2.1184019531938252</v>
      </c>
      <c r="AP505">
        <f t="shared" si="71"/>
        <v>2.7334033828112299</v>
      </c>
      <c r="AQ505">
        <f t="shared" si="72"/>
        <v>2.6348013250157241</v>
      </c>
      <c r="AR505">
        <f t="shared" si="73"/>
        <v>1.2853363300324421</v>
      </c>
      <c r="AS505">
        <f t="shared" si="74"/>
        <v>0.64001520921010524</v>
      </c>
      <c r="AT505">
        <f t="shared" si="75"/>
        <v>2.0119750321842731</v>
      </c>
      <c r="AU505">
        <f t="shared" si="76"/>
        <v>4.9442758354358372</v>
      </c>
    </row>
    <row r="506" spans="1:47" x14ac:dyDescent="0.3">
      <c r="A506">
        <v>9</v>
      </c>
      <c r="B506" t="s">
        <v>166</v>
      </c>
      <c r="C506" t="s">
        <v>163</v>
      </c>
      <c r="D506" t="s">
        <v>164</v>
      </c>
      <c r="F506" s="7">
        <v>0</v>
      </c>
      <c r="G506" s="7">
        <v>1</v>
      </c>
      <c r="H506" s="3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6782273.5999999996</v>
      </c>
      <c r="O506">
        <f t="shared" si="46"/>
        <v>6954050.2000000002</v>
      </c>
      <c r="P506">
        <f t="shared" si="47"/>
        <v>1927101</v>
      </c>
      <c r="Q506">
        <f t="shared" si="48"/>
        <v>7280182.2000000002</v>
      </c>
      <c r="R506">
        <f t="shared" si="49"/>
        <v>982454</v>
      </c>
      <c r="S506">
        <f t="shared" si="50"/>
        <v>10178518</v>
      </c>
      <c r="T506">
        <f t="shared" si="51"/>
        <v>4277166.5999999996</v>
      </c>
      <c r="U506">
        <f t="shared" si="52"/>
        <v>4297250</v>
      </c>
      <c r="V506">
        <f t="shared" si="53"/>
        <v>3119203.4</v>
      </c>
      <c r="W506">
        <f t="shared" si="54"/>
        <v>20029146.199999999</v>
      </c>
      <c r="Y506">
        <f t="shared" si="55"/>
        <v>1.4430830322206021</v>
      </c>
      <c r="Z506">
        <f t="shared" si="56"/>
        <v>5.469622332486324</v>
      </c>
      <c r="AA506">
        <f t="shared" si="57"/>
        <v>5.5454462637891986</v>
      </c>
      <c r="AB506">
        <f t="shared" si="58"/>
        <v>2.5013022275990808</v>
      </c>
      <c r="AC506">
        <f t="shared" si="59"/>
        <v>6.6426791938196406</v>
      </c>
      <c r="AD506">
        <f t="shared" si="60"/>
        <v>2.3561477107927198</v>
      </c>
      <c r="AE506">
        <f t="shared" si="61"/>
        <v>6.8257932948064992</v>
      </c>
      <c r="AF506">
        <f t="shared" si="62"/>
        <v>1.989547443378251</v>
      </c>
      <c r="AG506">
        <f t="shared" si="63"/>
        <v>2.7317957279039549</v>
      </c>
      <c r="AH506">
        <f t="shared" si="64"/>
        <v>3.636377097596414</v>
      </c>
      <c r="AI506">
        <f t="shared" si="65"/>
        <v>13.789604882791171</v>
      </c>
      <c r="AK506">
        <f t="shared" si="66"/>
        <v>1.4430830322206021</v>
      </c>
      <c r="AL506">
        <f t="shared" si="67"/>
        <v>2.877733813039959</v>
      </c>
      <c r="AM506">
        <f t="shared" si="68"/>
        <v>2.9505899119889358</v>
      </c>
      <c r="AN506">
        <f t="shared" si="69"/>
        <v>2.5013022275990808</v>
      </c>
      <c r="AO506">
        <f t="shared" si="70"/>
        <v>3.900979040400125</v>
      </c>
      <c r="AP506">
        <f t="shared" si="71"/>
        <v>2.3561477107927198</v>
      </c>
      <c r="AQ506">
        <f t="shared" si="72"/>
        <v>3.7679377597989521</v>
      </c>
      <c r="AR506">
        <f t="shared" si="73"/>
        <v>1.143186359968968</v>
      </c>
      <c r="AS506">
        <f t="shared" si="74"/>
        <v>0.69462240837747236</v>
      </c>
      <c r="AT506">
        <f t="shared" si="75"/>
        <v>3.636377097596414</v>
      </c>
      <c r="AU506">
        <f t="shared" si="76"/>
        <v>10.79677776019089</v>
      </c>
    </row>
    <row r="507" spans="1:47" x14ac:dyDescent="0.3">
      <c r="A507">
        <v>9</v>
      </c>
      <c r="B507" t="s">
        <v>167</v>
      </c>
      <c r="C507" t="s">
        <v>163</v>
      </c>
      <c r="D507" t="s">
        <v>164</v>
      </c>
      <c r="F507" s="7">
        <v>0</v>
      </c>
      <c r="G507" s="7">
        <v>0</v>
      </c>
      <c r="H507" s="3">
        <v>0</v>
      </c>
      <c r="I507">
        <f t="shared" si="79"/>
        <v>0</v>
      </c>
      <c r="J507">
        <f t="shared" si="79"/>
        <v>1</v>
      </c>
      <c r="K507">
        <v>3</v>
      </c>
      <c r="L507">
        <v>0</v>
      </c>
      <c r="M507">
        <f t="shared" si="44"/>
        <v>967783</v>
      </c>
      <c r="N507">
        <f t="shared" si="45"/>
        <v>4032409</v>
      </c>
      <c r="O507">
        <f t="shared" si="46"/>
        <v>4104944</v>
      </c>
      <c r="P507">
        <f t="shared" si="47"/>
        <v>2181678</v>
      </c>
      <c r="Q507">
        <f t="shared" si="48"/>
        <v>4264175.2</v>
      </c>
      <c r="R507">
        <f t="shared" si="49"/>
        <v>656776</v>
      </c>
      <c r="S507">
        <f t="shared" si="50"/>
        <v>5437678.2000000002</v>
      </c>
      <c r="T507">
        <f t="shared" si="51"/>
        <v>4553574.5999999996</v>
      </c>
      <c r="U507">
        <f t="shared" si="52"/>
        <v>3902305.8</v>
      </c>
      <c r="V507">
        <f t="shared" si="53"/>
        <v>2255078.3999999999</v>
      </c>
      <c r="W507">
        <f t="shared" si="54"/>
        <v>9487049</v>
      </c>
      <c r="Y507">
        <f t="shared" si="55"/>
        <v>1.239159245614428</v>
      </c>
      <c r="Z507">
        <f t="shared" si="56"/>
        <v>3.5931694796774538</v>
      </c>
      <c r="AA507">
        <f t="shared" si="57"/>
        <v>3.5938905954593792</v>
      </c>
      <c r="AB507">
        <f t="shared" si="58"/>
        <v>2.3640785838011649</v>
      </c>
      <c r="AC507">
        <f t="shared" si="59"/>
        <v>4.6068855889723634</v>
      </c>
      <c r="AD507">
        <f t="shared" si="60"/>
        <v>1.5925067612086421</v>
      </c>
      <c r="AE507">
        <f t="shared" si="61"/>
        <v>4.282087799243163</v>
      </c>
      <c r="AF507">
        <f t="shared" si="62"/>
        <v>2.1732655720319598</v>
      </c>
      <c r="AG507">
        <f t="shared" si="63"/>
        <v>2.3970479276147669</v>
      </c>
      <c r="AH507">
        <f t="shared" si="64"/>
        <v>3.2529586447984911</v>
      </c>
      <c r="AI507">
        <f t="shared" si="65"/>
        <v>8.0816772085847326</v>
      </c>
      <c r="AK507">
        <f t="shared" si="66"/>
        <v>1.239159245614428</v>
      </c>
      <c r="AL507">
        <f t="shared" si="67"/>
        <v>2.0769683860242369</v>
      </c>
      <c r="AM507">
        <f t="shared" si="68"/>
        <v>2.0969776576035661</v>
      </c>
      <c r="AN507">
        <f t="shared" si="69"/>
        <v>2.3640785838011649</v>
      </c>
      <c r="AO507">
        <f t="shared" si="70"/>
        <v>2.9303906104003539</v>
      </c>
      <c r="AP507">
        <f t="shared" si="71"/>
        <v>1.5925067612086421</v>
      </c>
      <c r="AQ507">
        <f t="shared" si="72"/>
        <v>2.4200566920102569</v>
      </c>
      <c r="AR507">
        <f t="shared" si="73"/>
        <v>1.2778385984012861</v>
      </c>
      <c r="AS507">
        <f t="shared" si="74"/>
        <v>0.63651496013626452</v>
      </c>
      <c r="AT507">
        <f t="shared" si="75"/>
        <v>3.2529586447984911</v>
      </c>
      <c r="AU507">
        <f t="shared" si="76"/>
        <v>6.1069228286040014</v>
      </c>
    </row>
    <row r="508" spans="1:47" x14ac:dyDescent="0.3">
      <c r="A508">
        <v>9</v>
      </c>
      <c r="B508" t="s">
        <v>168</v>
      </c>
      <c r="C508" t="s">
        <v>163</v>
      </c>
      <c r="D508" t="s">
        <v>164</v>
      </c>
      <c r="F508" s="7">
        <v>0</v>
      </c>
      <c r="G508" s="7">
        <v>1</v>
      </c>
      <c r="H508" s="3">
        <v>0</v>
      </c>
      <c r="I508">
        <f t="shared" si="79"/>
        <v>0</v>
      </c>
      <c r="J508">
        <f t="shared" si="79"/>
        <v>1</v>
      </c>
      <c r="K508">
        <v>3</v>
      </c>
      <c r="L508">
        <v>0</v>
      </c>
      <c r="M508">
        <f t="shared" si="44"/>
        <v>1253979.8</v>
      </c>
      <c r="N508">
        <f t="shared" si="45"/>
        <v>4603389.4000000004</v>
      </c>
      <c r="O508">
        <f t="shared" si="46"/>
        <v>4867762</v>
      </c>
      <c r="P508">
        <f t="shared" si="47"/>
        <v>2327824</v>
      </c>
      <c r="Q508">
        <f t="shared" si="48"/>
        <v>3771534.2</v>
      </c>
      <c r="R508">
        <f t="shared" si="49"/>
        <v>3611426</v>
      </c>
      <c r="S508">
        <f t="shared" si="50"/>
        <v>5885955.4000000004</v>
      </c>
      <c r="T508">
        <f t="shared" si="51"/>
        <v>4771918.4000000004</v>
      </c>
      <c r="U508">
        <f t="shared" si="52"/>
        <v>3980220.6</v>
      </c>
      <c r="V508">
        <f t="shared" si="53"/>
        <v>8293988.7999999998</v>
      </c>
      <c r="W508">
        <f t="shared" si="54"/>
        <v>12737988</v>
      </c>
      <c r="Y508">
        <f t="shared" si="55"/>
        <v>1.6320073040202261</v>
      </c>
      <c r="Z508">
        <f t="shared" si="56"/>
        <v>3.7871492311009201</v>
      </c>
      <c r="AA508">
        <f t="shared" si="57"/>
        <v>3.88513748763362</v>
      </c>
      <c r="AB508">
        <f t="shared" si="58"/>
        <v>2.4270204939937678</v>
      </c>
      <c r="AC508">
        <f t="shared" si="59"/>
        <v>3.8450995771738241</v>
      </c>
      <c r="AD508">
        <f t="shared" si="60"/>
        <v>4.2222159210126851</v>
      </c>
      <c r="AE508">
        <f t="shared" si="61"/>
        <v>4.3397483672015369</v>
      </c>
      <c r="AF508">
        <f t="shared" si="62"/>
        <v>2.3410538171650841</v>
      </c>
      <c r="AG508">
        <f t="shared" si="63"/>
        <v>2.4526192005490879</v>
      </c>
      <c r="AH508">
        <f t="shared" si="64"/>
        <v>4.9500512219965458</v>
      </c>
      <c r="AI508">
        <f t="shared" si="65"/>
        <v>9.6070439901785001</v>
      </c>
      <c r="AK508">
        <f t="shared" si="66"/>
        <v>1.6320073040202261</v>
      </c>
      <c r="AL508">
        <f t="shared" si="67"/>
        <v>2.081165418203454</v>
      </c>
      <c r="AM508">
        <f t="shared" si="68"/>
        <v>2.2035900440299878</v>
      </c>
      <c r="AN508">
        <f t="shared" si="69"/>
        <v>2.4270204939937678</v>
      </c>
      <c r="AO508">
        <f t="shared" si="70"/>
        <v>2.3556243327853741</v>
      </c>
      <c r="AP508">
        <f t="shared" si="71"/>
        <v>4.2222159210126851</v>
      </c>
      <c r="AQ508">
        <f t="shared" si="72"/>
        <v>2.514400677441154</v>
      </c>
      <c r="AR508">
        <f t="shared" si="73"/>
        <v>1.3515204851748419</v>
      </c>
      <c r="AS508">
        <f t="shared" si="74"/>
        <v>0.59080360177904367</v>
      </c>
      <c r="AT508">
        <f t="shared" si="75"/>
        <v>4.9500512219965458</v>
      </c>
      <c r="AU508">
        <f t="shared" si="76"/>
        <v>6.7959012015955524</v>
      </c>
    </row>
    <row r="509" spans="1:47" x14ac:dyDescent="0.3">
      <c r="A509">
        <v>9</v>
      </c>
      <c r="B509" t="s">
        <v>169</v>
      </c>
      <c r="C509" t="s">
        <v>163</v>
      </c>
      <c r="D509" t="s">
        <v>164</v>
      </c>
      <c r="F509" s="7">
        <v>0</v>
      </c>
      <c r="G509" s="7">
        <v>0</v>
      </c>
      <c r="H509" s="3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6460749.7999999998</v>
      </c>
      <c r="O509">
        <f t="shared" si="46"/>
        <v>6848362.2000000002</v>
      </c>
      <c r="P509">
        <f t="shared" si="47"/>
        <v>2675081</v>
      </c>
      <c r="Q509">
        <f t="shared" si="48"/>
        <v>7556908.2000000002</v>
      </c>
      <c r="R509">
        <f t="shared" si="49"/>
        <v>824215.8</v>
      </c>
      <c r="S509">
        <f t="shared" si="50"/>
        <v>10117566.4</v>
      </c>
      <c r="T509">
        <f t="shared" si="51"/>
        <v>4159973</v>
      </c>
      <c r="U509">
        <f t="shared" si="52"/>
        <v>4285980.8</v>
      </c>
      <c r="V509">
        <f t="shared" si="53"/>
        <v>1361303.4</v>
      </c>
      <c r="W509">
        <f t="shared" si="54"/>
        <v>17049671</v>
      </c>
      <c r="Y509">
        <f t="shared" si="55"/>
        <v>1.357701029989403</v>
      </c>
      <c r="Z509">
        <f t="shared" si="56"/>
        <v>4.9728537407587279</v>
      </c>
      <c r="AA509">
        <f t="shared" si="57"/>
        <v>5.1478970090625804</v>
      </c>
      <c r="AB509">
        <f t="shared" si="58"/>
        <v>2.4188849433965509</v>
      </c>
      <c r="AC509">
        <f t="shared" si="59"/>
        <v>5.9032843482214954</v>
      </c>
      <c r="AD509">
        <f t="shared" si="60"/>
        <v>1.567934011202305</v>
      </c>
      <c r="AE509">
        <f t="shared" si="61"/>
        <v>7.0502226265380159</v>
      </c>
      <c r="AF509">
        <f t="shared" si="62"/>
        <v>1.8829546613502319</v>
      </c>
      <c r="AG509">
        <f t="shared" si="63"/>
        <v>2.699312850704882</v>
      </c>
      <c r="AH509">
        <f t="shared" si="64"/>
        <v>2.996849603008013</v>
      </c>
      <c r="AI509">
        <f t="shared" si="65"/>
        <v>12.99285002764082</v>
      </c>
      <c r="AK509">
        <f t="shared" si="66"/>
        <v>1.357701029989403</v>
      </c>
      <c r="AL509">
        <f t="shared" si="67"/>
        <v>2.6471250879811121</v>
      </c>
      <c r="AM509">
        <f t="shared" si="68"/>
        <v>2.8390102436183948</v>
      </c>
      <c r="AN509">
        <f t="shared" si="69"/>
        <v>2.4188849433965509</v>
      </c>
      <c r="AO509">
        <f t="shared" si="70"/>
        <v>3.414123693015426</v>
      </c>
      <c r="AP509">
        <f t="shared" si="71"/>
        <v>1.567934011202305</v>
      </c>
      <c r="AQ509">
        <f t="shared" si="72"/>
        <v>4.4176675226073714</v>
      </c>
      <c r="AR509">
        <f t="shared" si="73"/>
        <v>1.0894569651689381</v>
      </c>
      <c r="AS509">
        <f t="shared" si="74"/>
        <v>0.66685351360356437</v>
      </c>
      <c r="AT509">
        <f t="shared" si="75"/>
        <v>2.996849603008013</v>
      </c>
      <c r="AU509">
        <f t="shared" si="76"/>
        <v>10.100325675238849</v>
      </c>
    </row>
    <row r="510" spans="1:47" x14ac:dyDescent="0.3">
      <c r="A510">
        <v>9</v>
      </c>
      <c r="B510" t="s">
        <v>170</v>
      </c>
      <c r="C510" t="s">
        <v>163</v>
      </c>
      <c r="D510" t="s">
        <v>164</v>
      </c>
      <c r="F510" s="7">
        <v>0</v>
      </c>
      <c r="G510" s="7">
        <v>0</v>
      </c>
      <c r="H510" s="3">
        <v>0</v>
      </c>
      <c r="I510">
        <f t="shared" si="79"/>
        <v>0</v>
      </c>
      <c r="J510">
        <f t="shared" si="79"/>
        <v>1</v>
      </c>
      <c r="K510">
        <v>3</v>
      </c>
      <c r="L510">
        <v>0</v>
      </c>
      <c r="M510">
        <f t="shared" si="44"/>
        <v>704739.8</v>
      </c>
      <c r="N510">
        <f t="shared" si="45"/>
        <v>3420044.2</v>
      </c>
      <c r="O510">
        <f t="shared" si="46"/>
        <v>3470765</v>
      </c>
      <c r="P510">
        <f t="shared" si="47"/>
        <v>1898867</v>
      </c>
      <c r="Q510">
        <f t="shared" si="48"/>
        <v>3509795.2</v>
      </c>
      <c r="R510">
        <f t="shared" si="49"/>
        <v>444628.2</v>
      </c>
      <c r="S510">
        <f t="shared" si="50"/>
        <v>3817753.8</v>
      </c>
      <c r="T510">
        <f t="shared" si="51"/>
        <v>4781045.4000000004</v>
      </c>
      <c r="U510">
        <f t="shared" si="52"/>
        <v>3983101.6</v>
      </c>
      <c r="V510">
        <f t="shared" si="53"/>
        <v>2653563.6</v>
      </c>
      <c r="W510">
        <f t="shared" si="54"/>
        <v>7268002.2000000002</v>
      </c>
      <c r="Y510">
        <f t="shared" si="55"/>
        <v>0.95089052439434452</v>
      </c>
      <c r="Z510">
        <f t="shared" si="56"/>
        <v>2.9174105057958508</v>
      </c>
      <c r="AA510">
        <f t="shared" si="57"/>
        <v>2.9146612562006342</v>
      </c>
      <c r="AB510">
        <f t="shared" si="58"/>
        <v>1.411686977610225</v>
      </c>
      <c r="AC510">
        <f t="shared" si="59"/>
        <v>3.2573444445908541</v>
      </c>
      <c r="AD510">
        <f t="shared" si="60"/>
        <v>1.098483481595758</v>
      </c>
      <c r="AE510">
        <f t="shared" si="61"/>
        <v>3.2177811771980491</v>
      </c>
      <c r="AF510">
        <f t="shared" si="62"/>
        <v>2.3691841517807921</v>
      </c>
      <c r="AG510">
        <f t="shared" si="63"/>
        <v>2.4694450808106918</v>
      </c>
      <c r="AH510">
        <f t="shared" si="64"/>
        <v>2.9962127717910341</v>
      </c>
      <c r="AI510">
        <f t="shared" si="65"/>
        <v>6.3648848470067607</v>
      </c>
      <c r="AK510">
        <f t="shared" si="66"/>
        <v>0.95089052439434452</v>
      </c>
      <c r="AL510">
        <f t="shared" si="67"/>
        <v>1.8106080456054769</v>
      </c>
      <c r="AM510">
        <f t="shared" si="68"/>
        <v>1.8104055669857191</v>
      </c>
      <c r="AN510">
        <f t="shared" si="69"/>
        <v>1.411686977610225</v>
      </c>
      <c r="AO510">
        <f t="shared" si="70"/>
        <v>2.350444602395874</v>
      </c>
      <c r="AP510">
        <f t="shared" si="71"/>
        <v>1.098483481595758</v>
      </c>
      <c r="AQ510">
        <f t="shared" si="72"/>
        <v>2.349392503208946</v>
      </c>
      <c r="AR510">
        <f t="shared" si="73"/>
        <v>1.3595171647961251</v>
      </c>
      <c r="AS510">
        <f t="shared" si="74"/>
        <v>0.59098189907381315</v>
      </c>
      <c r="AT510">
        <f t="shared" si="75"/>
        <v>2.9962127717910341</v>
      </c>
      <c r="AU510">
        <f t="shared" si="76"/>
        <v>4.5745625765877778</v>
      </c>
    </row>
    <row r="511" spans="1:47" x14ac:dyDescent="0.3">
      <c r="A511">
        <v>9</v>
      </c>
      <c r="B511" t="s">
        <v>171</v>
      </c>
      <c r="C511" t="s">
        <v>163</v>
      </c>
      <c r="D511" t="s">
        <v>164</v>
      </c>
      <c r="F511" s="7">
        <v>0</v>
      </c>
      <c r="G511" s="7">
        <v>1</v>
      </c>
      <c r="H511" s="3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4883210.2</v>
      </c>
      <c r="O511">
        <f t="shared" si="46"/>
        <v>5732163.4000000004</v>
      </c>
      <c r="P511">
        <f t="shared" si="47"/>
        <v>215294.8</v>
      </c>
      <c r="Q511">
        <f t="shared" si="48"/>
        <v>5597162.2000000002</v>
      </c>
      <c r="R511">
        <f t="shared" si="49"/>
        <v>50634.2</v>
      </c>
      <c r="S511">
        <f t="shared" si="50"/>
        <v>7201076.5999999996</v>
      </c>
      <c r="T511">
        <f t="shared" si="51"/>
        <v>4163650.2</v>
      </c>
      <c r="U511">
        <f t="shared" si="52"/>
        <v>4275806.4000000004</v>
      </c>
      <c r="V511">
        <f t="shared" si="53"/>
        <v>545489.80000000005</v>
      </c>
      <c r="W511">
        <f t="shared" si="54"/>
        <v>16307387</v>
      </c>
      <c r="Y511">
        <f t="shared" si="55"/>
        <v>0.79398311299737545</v>
      </c>
      <c r="Z511">
        <f t="shared" si="56"/>
        <v>4.0176043954095801</v>
      </c>
      <c r="AA511">
        <f t="shared" si="57"/>
        <v>4.480368395359255</v>
      </c>
      <c r="AB511">
        <f t="shared" si="58"/>
        <v>0.58360032259952277</v>
      </c>
      <c r="AC511">
        <f t="shared" si="59"/>
        <v>4.7274089674232531</v>
      </c>
      <c r="AD511">
        <f t="shared" si="60"/>
        <v>0.16266756382538</v>
      </c>
      <c r="AE511">
        <f t="shared" si="61"/>
        <v>5.1639426069566978</v>
      </c>
      <c r="AF511">
        <f t="shared" si="62"/>
        <v>1.9029820538009521</v>
      </c>
      <c r="AG511">
        <f t="shared" si="63"/>
        <v>2.7164154426543972</v>
      </c>
      <c r="AH511">
        <f t="shared" si="64"/>
        <v>1.1575195876066571</v>
      </c>
      <c r="AI511">
        <f t="shared" si="65"/>
        <v>11.41726884125965</v>
      </c>
      <c r="AK511">
        <f t="shared" si="66"/>
        <v>0.79398311299737545</v>
      </c>
      <c r="AL511">
        <f t="shared" si="67"/>
        <v>1.825113245786633</v>
      </c>
      <c r="AM511">
        <f t="shared" si="68"/>
        <v>2.2866752961999741</v>
      </c>
      <c r="AN511">
        <f t="shared" si="69"/>
        <v>0.58360032259952277</v>
      </c>
      <c r="AO511">
        <f t="shared" si="70"/>
        <v>2.110061142011546</v>
      </c>
      <c r="AP511">
        <f t="shared" si="71"/>
        <v>0.16266756382538</v>
      </c>
      <c r="AQ511">
        <f t="shared" si="72"/>
        <v>2.6553295892081219</v>
      </c>
      <c r="AR511">
        <f t="shared" si="73"/>
        <v>1.096285553416237</v>
      </c>
      <c r="AS511">
        <f t="shared" si="74"/>
        <v>0.64199828174896534</v>
      </c>
      <c r="AT511">
        <f t="shared" si="75"/>
        <v>1.1575195876066571</v>
      </c>
      <c r="AU511">
        <f t="shared" si="76"/>
        <v>8.5841184758464806</v>
      </c>
    </row>
    <row r="512" spans="1:47" x14ac:dyDescent="0.3">
      <c r="A512">
        <v>10</v>
      </c>
      <c r="B512" t="s">
        <v>172</v>
      </c>
      <c r="C512" t="s">
        <v>173</v>
      </c>
      <c r="D512" t="s">
        <v>174</v>
      </c>
      <c r="F512" s="7">
        <v>0</v>
      </c>
      <c r="G512" s="7">
        <v>0</v>
      </c>
      <c r="H512" s="3">
        <v>0</v>
      </c>
      <c r="I512">
        <f t="shared" si="79"/>
        <v>0</v>
      </c>
      <c r="J512">
        <f t="shared" si="79"/>
        <v>1</v>
      </c>
      <c r="K512">
        <v>3</v>
      </c>
      <c r="L512">
        <v>0</v>
      </c>
      <c r="M512">
        <f t="shared" si="44"/>
        <v>692437.4</v>
      </c>
      <c r="N512">
        <f t="shared" si="45"/>
        <v>585410.19999999995</v>
      </c>
      <c r="O512">
        <f t="shared" si="46"/>
        <v>585025.80000000005</v>
      </c>
      <c r="P512">
        <f t="shared" si="47"/>
        <v>889109</v>
      </c>
      <c r="Q512">
        <f t="shared" si="48"/>
        <v>355579</v>
      </c>
      <c r="R512">
        <f t="shared" si="49"/>
        <v>660367</v>
      </c>
      <c r="S512">
        <f t="shared" si="50"/>
        <v>322689</v>
      </c>
      <c r="T512">
        <f t="shared" si="51"/>
        <v>3566002.8</v>
      </c>
      <c r="U512">
        <f t="shared" si="52"/>
        <v>2773520.8</v>
      </c>
      <c r="V512">
        <f t="shared" si="53"/>
        <v>989511.8</v>
      </c>
      <c r="W512">
        <f t="shared" si="54"/>
        <v>431497</v>
      </c>
      <c r="Y512">
        <f t="shared" si="55"/>
        <v>0.85138930160319437</v>
      </c>
      <c r="Z512">
        <f t="shared" si="56"/>
        <v>0.93185900980606673</v>
      </c>
      <c r="AA512">
        <f t="shared" si="57"/>
        <v>0.93191853525349866</v>
      </c>
      <c r="AB512">
        <f t="shared" si="58"/>
        <v>1.1438173426082361</v>
      </c>
      <c r="AC512">
        <f t="shared" si="59"/>
        <v>0.81493305100011637</v>
      </c>
      <c r="AD512">
        <f t="shared" si="60"/>
        <v>1.1147469569812529</v>
      </c>
      <c r="AE512">
        <f t="shared" si="61"/>
        <v>1.096602412802167</v>
      </c>
      <c r="AF512">
        <f t="shared" si="62"/>
        <v>1.4762581181712451</v>
      </c>
      <c r="AG512">
        <f t="shared" si="63"/>
        <v>1.5764101673383271</v>
      </c>
      <c r="AH512">
        <f t="shared" si="64"/>
        <v>2.917932847584598</v>
      </c>
      <c r="AI512">
        <f t="shared" si="65"/>
        <v>1.786046276171692</v>
      </c>
      <c r="AK512">
        <f t="shared" si="66"/>
        <v>0.85138930160319437</v>
      </c>
      <c r="AL512">
        <f t="shared" si="67"/>
        <v>0.43128478520084168</v>
      </c>
      <c r="AM512">
        <f t="shared" si="68"/>
        <v>0.4297283160383813</v>
      </c>
      <c r="AN512">
        <f t="shared" si="69"/>
        <v>1.1438173426082361</v>
      </c>
      <c r="AO512">
        <f t="shared" si="70"/>
        <v>0.38976327240234238</v>
      </c>
      <c r="AP512">
        <f t="shared" si="71"/>
        <v>1.1147469569812529</v>
      </c>
      <c r="AQ512">
        <f t="shared" si="72"/>
        <v>0.47121750202495599</v>
      </c>
      <c r="AR512">
        <f t="shared" si="73"/>
        <v>0.76551055037416516</v>
      </c>
      <c r="AS512">
        <f t="shared" si="74"/>
        <v>0.43905412139138211</v>
      </c>
      <c r="AT512">
        <f t="shared" si="75"/>
        <v>2.917932847584598</v>
      </c>
      <c r="AU512">
        <f t="shared" si="76"/>
        <v>0.72906506016151984</v>
      </c>
    </row>
    <row r="513" spans="1:47" x14ac:dyDescent="0.3">
      <c r="A513">
        <v>10</v>
      </c>
      <c r="B513" t="s">
        <v>175</v>
      </c>
      <c r="C513" t="s">
        <v>173</v>
      </c>
      <c r="D513" t="s">
        <v>174</v>
      </c>
      <c r="F513" s="7">
        <v>0</v>
      </c>
      <c r="G513" s="7">
        <v>1</v>
      </c>
      <c r="H513" s="3">
        <v>0</v>
      </c>
      <c r="I513">
        <f t="shared" ref="I513:J528" si="80">I132</f>
        <v>0</v>
      </c>
      <c r="J513">
        <f t="shared" si="80"/>
        <v>1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621717.80000000005</v>
      </c>
      <c r="O513">
        <f t="shared" ref="O513:O543" si="83">IF($AY132 &gt; 0, O132, M132)</f>
        <v>622044.6</v>
      </c>
      <c r="P513">
        <f t="shared" ref="P513:P543" si="84">IF($AY132 &gt; 0, P132, P132)</f>
        <v>307053</v>
      </c>
      <c r="Q513">
        <f t="shared" ref="Q513:Q543" si="85">IF($AY132 &gt; 0, Q132, P132)</f>
        <v>351385.59999999998</v>
      </c>
      <c r="R513">
        <f t="shared" ref="R513:R543" si="86">IF($AY132 &gt; 0, R132, R132)</f>
        <v>76846</v>
      </c>
      <c r="S513">
        <f t="shared" ref="S513:S543" si="87">IF($AY132 &gt; 0, S132, R132)</f>
        <v>346123.2</v>
      </c>
      <c r="T513">
        <f t="shared" ref="T513:T543" si="88">IF($AY132 &gt; 0, T132, T132)</f>
        <v>3565654.6</v>
      </c>
      <c r="U513">
        <f t="shared" ref="U513:U543" si="89">IF($AY132 &gt; 0, U132, T132)</f>
        <v>2775769.6</v>
      </c>
      <c r="V513">
        <f t="shared" ref="V513:V543" si="90">IF($AY132 &gt; 0, V132, V132)</f>
        <v>207456.8</v>
      </c>
      <c r="W513">
        <f t="shared" ref="W513:W543" si="91">IF($AY132 &gt; 0, W132, V132)</f>
        <v>479007.4</v>
      </c>
      <c r="Y513">
        <f t="shared" ref="Y513:Y543" si="92">IF($AY132 &gt; 0, Y132, Y132)</f>
        <v>0.5989309474010952</v>
      </c>
      <c r="Z513">
        <f t="shared" ref="Z513:Z543" si="93">IF($AY132 &gt; 0, Z132, Y132)</f>
        <v>0.95173315019346771</v>
      </c>
      <c r="AA513">
        <f t="shared" ref="AA513:AA543" si="94">IF($AY132 &gt; 0, AA132, Y132)</f>
        <v>0.95181776981335131</v>
      </c>
      <c r="AB513">
        <f t="shared" ref="AB513:AB543" si="95">IF($AY132 &gt; 0, AB132, AB132)</f>
        <v>0.59895044380100448</v>
      </c>
      <c r="AC513">
        <f t="shared" ref="AC513:AC543" si="96">IF($AY132 &gt; 0, AC132, AB132)</f>
        <v>0.82917215683846734</v>
      </c>
      <c r="AD513">
        <f t="shared" ref="AD513:AD543" si="97">IF($AY132 &gt; 0, AD132, AD132)</f>
        <v>0.20913399520795789</v>
      </c>
      <c r="AE513">
        <f t="shared" ref="AE513:AE543" si="98">IF($AY132 &gt; 0, AE132, AD132)</f>
        <v>1.105064998799935</v>
      </c>
      <c r="AF513">
        <f t="shared" ref="AF513:AF543" si="99">IF($AY132 &gt; 0, AF132, AF132)</f>
        <v>1.4917835041997021</v>
      </c>
      <c r="AG513">
        <f t="shared" ref="AG513:AG543" si="100">IF($AY132 &gt; 0, AG132, AF132)</f>
        <v>1.5740604154998441</v>
      </c>
      <c r="AH513">
        <f t="shared" ref="AH513:AH543" si="101">IF($AY132 &gt; 0, AH132, AH132)</f>
        <v>1.21406943280017</v>
      </c>
      <c r="AI513">
        <f t="shared" ref="AI513:AI543" si="102">IF($AY132 &gt; 0, AI132, AH132)</f>
        <v>1.807218387606554</v>
      </c>
      <c r="AK513">
        <f t="shared" ref="AK513:AK543" si="103">IF($AY132 &gt; 0, AK132, AK132)</f>
        <v>0.5989309474010952</v>
      </c>
      <c r="AL513">
        <f t="shared" ref="AL513:AL543" si="104">IF($AY132 &gt; 0, AL132, AK132)</f>
        <v>0.43452272401191289</v>
      </c>
      <c r="AM513">
        <f t="shared" ref="AM513:AM543" si="105">IF($AY132 &gt; 0, AM132, AK132)</f>
        <v>0.43224352498073132</v>
      </c>
      <c r="AN513">
        <f t="shared" ref="AN513:AN543" si="106">IF($AY132 &gt; 0, AN132, AN132)</f>
        <v>0.59895044380100448</v>
      </c>
      <c r="AO513">
        <f t="shared" ref="AO513:AO543" si="107">IF($AY132 &gt; 0, AO132, AN132)</f>
        <v>0.39915210361359638</v>
      </c>
      <c r="AP513">
        <f t="shared" ref="AP513:AP543" si="108">IF($AY132 &gt; 0, AP132, AP132)</f>
        <v>0.20913399520795789</v>
      </c>
      <c r="AQ513">
        <f t="shared" ref="AQ513:AQ543" si="109">IF($AY132 &gt; 0, AQ132, AP132)</f>
        <v>0.51145747199188918</v>
      </c>
      <c r="AR513">
        <f t="shared" ref="AR513:AR543" si="110">IF($AY132 &gt; 0, AR132, AR132)</f>
        <v>0.78185213261749598</v>
      </c>
      <c r="AS513">
        <f t="shared" ref="AS513:AS543" si="111">IF($AY132 &gt; 0, AS132, AR132)</f>
        <v>0.43722546201897777</v>
      </c>
      <c r="AT513">
        <f t="shared" ref="AT513:AT543" si="112">IF($AY132 &gt; 0, AT132, AT132)</f>
        <v>1.21406943280017</v>
      </c>
      <c r="AU513">
        <f t="shared" ref="AU513:AU543" si="113">IF($AY132 &gt; 0, AU132, AT132)</f>
        <v>0.78839555579470466</v>
      </c>
    </row>
    <row r="514" spans="1:47" x14ac:dyDescent="0.3">
      <c r="A514">
        <v>10</v>
      </c>
      <c r="B514" t="s">
        <v>176</v>
      </c>
      <c r="C514" t="s">
        <v>173</v>
      </c>
      <c r="D514" t="s">
        <v>174</v>
      </c>
      <c r="F514" s="7">
        <v>0</v>
      </c>
      <c r="G514" s="7">
        <v>1</v>
      </c>
      <c r="H514" s="3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526035</v>
      </c>
      <c r="O514">
        <f t="shared" si="83"/>
        <v>526146.4</v>
      </c>
      <c r="P514">
        <f t="shared" si="84"/>
        <v>632884.80000000005</v>
      </c>
      <c r="Q514">
        <f t="shared" si="85"/>
        <v>316689.8</v>
      </c>
      <c r="R514">
        <f t="shared" si="86"/>
        <v>444719.8</v>
      </c>
      <c r="S514">
        <f t="shared" si="87"/>
        <v>259189.2</v>
      </c>
      <c r="T514">
        <f t="shared" si="88"/>
        <v>3280068.2</v>
      </c>
      <c r="U514">
        <f t="shared" si="89"/>
        <v>2551497.7999999998</v>
      </c>
      <c r="V514">
        <f t="shared" si="90"/>
        <v>766603.8</v>
      </c>
      <c r="W514">
        <f t="shared" si="91"/>
        <v>175533</v>
      </c>
      <c r="Y514">
        <f t="shared" si="92"/>
        <v>0.62876364979892974</v>
      </c>
      <c r="Z514">
        <f t="shared" si="93"/>
        <v>0.83820642578648408</v>
      </c>
      <c r="AA514">
        <f t="shared" si="94"/>
        <v>0.83423226356972013</v>
      </c>
      <c r="AB514">
        <f t="shared" si="95"/>
        <v>0.77570762640098112</v>
      </c>
      <c r="AC514">
        <f t="shared" si="96"/>
        <v>0.72241204360034317</v>
      </c>
      <c r="AD514">
        <f t="shared" si="97"/>
        <v>1.150921455188654</v>
      </c>
      <c r="AE514">
        <f t="shared" si="98"/>
        <v>1.1808701853966339</v>
      </c>
      <c r="AF514">
        <f t="shared" si="99"/>
        <v>1.1363384768133979</v>
      </c>
      <c r="AG514">
        <f t="shared" si="100"/>
        <v>1.3109364427044059</v>
      </c>
      <c r="AH514">
        <f t="shared" si="101"/>
        <v>2.0919790988089511</v>
      </c>
      <c r="AI514">
        <f t="shared" si="102"/>
        <v>0.91604327521054074</v>
      </c>
      <c r="AK514">
        <f t="shared" si="103"/>
        <v>0.62876364979892974</v>
      </c>
      <c r="AL514">
        <f t="shared" si="104"/>
        <v>0.41252847721334551</v>
      </c>
      <c r="AM514">
        <f t="shared" si="105"/>
        <v>0.40842770158778868</v>
      </c>
      <c r="AN514">
        <f t="shared" si="106"/>
        <v>0.77570762640098112</v>
      </c>
      <c r="AO514">
        <f t="shared" si="107"/>
        <v>0.38156240660464391</v>
      </c>
      <c r="AP514">
        <f t="shared" si="108"/>
        <v>1.150921455188654</v>
      </c>
      <c r="AQ514">
        <f t="shared" si="109"/>
        <v>0.48735819418216131</v>
      </c>
      <c r="AR514">
        <f t="shared" si="110"/>
        <v>0.58291645442368467</v>
      </c>
      <c r="AS514">
        <f t="shared" si="111"/>
        <v>0.4157822723966092</v>
      </c>
      <c r="AT514">
        <f t="shared" si="112"/>
        <v>2.0919790988089511</v>
      </c>
      <c r="AU514">
        <f t="shared" si="113"/>
        <v>0.57216598759405313</v>
      </c>
    </row>
    <row r="515" spans="1:47" x14ac:dyDescent="0.3">
      <c r="A515">
        <v>10</v>
      </c>
      <c r="B515" t="s">
        <v>177</v>
      </c>
      <c r="C515" t="s">
        <v>173</v>
      </c>
      <c r="D515" t="s">
        <v>174</v>
      </c>
      <c r="F515" s="7">
        <v>0</v>
      </c>
      <c r="G515" s="7">
        <v>0</v>
      </c>
      <c r="H515" s="3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623687.6</v>
      </c>
      <c r="O515">
        <f t="shared" si="83"/>
        <v>623764</v>
      </c>
      <c r="P515">
        <f t="shared" si="84"/>
        <v>203441</v>
      </c>
      <c r="Q515">
        <f t="shared" si="85"/>
        <v>320106.59999999998</v>
      </c>
      <c r="R515">
        <f t="shared" si="86"/>
        <v>136275</v>
      </c>
      <c r="S515">
        <f t="shared" si="87"/>
        <v>376222.2</v>
      </c>
      <c r="T515">
        <f t="shared" si="88"/>
        <v>3284569.6</v>
      </c>
      <c r="U515">
        <f t="shared" si="89"/>
        <v>2565105.2000000002</v>
      </c>
      <c r="V515">
        <f t="shared" si="90"/>
        <v>26327.8</v>
      </c>
      <c r="W515">
        <f t="shared" si="91"/>
        <v>246015.2</v>
      </c>
      <c r="Y515">
        <f t="shared" si="92"/>
        <v>0.67598590600537134</v>
      </c>
      <c r="Z515">
        <f t="shared" si="93"/>
        <v>0.9494004344101995</v>
      </c>
      <c r="AA515">
        <f t="shared" si="94"/>
        <v>0.94950689922552556</v>
      </c>
      <c r="AB515">
        <f t="shared" si="95"/>
        <v>0.46125150980078622</v>
      </c>
      <c r="AC515">
        <f t="shared" si="96"/>
        <v>0.7902942238084506</v>
      </c>
      <c r="AD515">
        <f t="shared" si="97"/>
        <v>0.75972902639769013</v>
      </c>
      <c r="AE515">
        <f t="shared" si="98"/>
        <v>1.180559122469276</v>
      </c>
      <c r="AF515">
        <f t="shared" si="99"/>
        <v>1.1395198583719319</v>
      </c>
      <c r="AG515">
        <f t="shared" si="100"/>
        <v>1.328549464896787</v>
      </c>
      <c r="AH515">
        <f t="shared" si="101"/>
        <v>0.13748210018966339</v>
      </c>
      <c r="AI515">
        <f t="shared" si="102"/>
        <v>1.1719429536373349</v>
      </c>
      <c r="AK515">
        <f t="shared" si="103"/>
        <v>0.67598590600537134</v>
      </c>
      <c r="AL515">
        <f t="shared" si="104"/>
        <v>0.47998029880691317</v>
      </c>
      <c r="AM515">
        <f t="shared" si="105"/>
        <v>0.48518127461429678</v>
      </c>
      <c r="AN515">
        <f t="shared" si="106"/>
        <v>0.46125150980078622</v>
      </c>
      <c r="AO515">
        <f t="shared" si="107"/>
        <v>0.4246042846061755</v>
      </c>
      <c r="AP515">
        <f t="shared" si="108"/>
        <v>0.75972902639769013</v>
      </c>
      <c r="AQ515">
        <f t="shared" si="109"/>
        <v>0.52178565083304418</v>
      </c>
      <c r="AR515">
        <f t="shared" si="110"/>
        <v>0.58209674878744411</v>
      </c>
      <c r="AS515">
        <f t="shared" si="111"/>
        <v>0.42376836402108892</v>
      </c>
      <c r="AT515">
        <f t="shared" si="112"/>
        <v>0.13748210018966339</v>
      </c>
      <c r="AU515">
        <f t="shared" si="113"/>
        <v>0.65899540840182458</v>
      </c>
    </row>
    <row r="516" spans="1:47" x14ac:dyDescent="0.3">
      <c r="A516">
        <v>10</v>
      </c>
      <c r="B516" t="s">
        <v>178</v>
      </c>
      <c r="C516" t="s">
        <v>173</v>
      </c>
      <c r="D516" t="s">
        <v>174</v>
      </c>
      <c r="F516" s="7">
        <v>0</v>
      </c>
      <c r="G516" s="7">
        <v>1</v>
      </c>
      <c r="H516" s="3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638977.19999999995</v>
      </c>
      <c r="O516">
        <f t="shared" si="83"/>
        <v>640150.6</v>
      </c>
      <c r="P516">
        <f t="shared" si="84"/>
        <v>279969.59999999998</v>
      </c>
      <c r="Q516">
        <f t="shared" si="85"/>
        <v>265269.8</v>
      </c>
      <c r="R516">
        <f t="shared" si="86"/>
        <v>235405.8</v>
      </c>
      <c r="S516">
        <f t="shared" si="87"/>
        <v>221459.8</v>
      </c>
      <c r="T516">
        <f t="shared" si="88"/>
        <v>3167685</v>
      </c>
      <c r="U516">
        <f t="shared" si="89"/>
        <v>2447664.4</v>
      </c>
      <c r="V516">
        <f t="shared" si="90"/>
        <v>78718</v>
      </c>
      <c r="W516">
        <f t="shared" si="91"/>
        <v>139979.6</v>
      </c>
      <c r="Y516">
        <f t="shared" si="92"/>
        <v>0.58767952958587555</v>
      </c>
      <c r="Z516">
        <f t="shared" si="93"/>
        <v>0.92299973665503787</v>
      </c>
      <c r="AA516">
        <f t="shared" si="94"/>
        <v>0.91637077556224544</v>
      </c>
      <c r="AB516">
        <f t="shared" si="95"/>
        <v>0.42342479740036648</v>
      </c>
      <c r="AC516">
        <f t="shared" si="96"/>
        <v>0.70080213858745988</v>
      </c>
      <c r="AD516">
        <f t="shared" si="97"/>
        <v>1.082993775594514</v>
      </c>
      <c r="AE516">
        <f t="shared" si="98"/>
        <v>1.2143709637690341</v>
      </c>
      <c r="AF516">
        <f t="shared" si="99"/>
        <v>1.1011342437937861</v>
      </c>
      <c r="AG516">
        <f t="shared" si="100"/>
        <v>1.268457080144435</v>
      </c>
      <c r="AH516">
        <f t="shared" si="101"/>
        <v>0.48331163522088899</v>
      </c>
      <c r="AI516">
        <f t="shared" si="102"/>
        <v>0.88897363084834069</v>
      </c>
      <c r="AK516">
        <f t="shared" si="103"/>
        <v>0.58767952958587555</v>
      </c>
      <c r="AL516">
        <f t="shared" si="104"/>
        <v>0.46056204360211273</v>
      </c>
      <c r="AM516">
        <f t="shared" si="105"/>
        <v>0.45693817498395217</v>
      </c>
      <c r="AN516">
        <f t="shared" si="106"/>
        <v>0.42342479740036648</v>
      </c>
      <c r="AO516">
        <f t="shared" si="107"/>
        <v>0.36954448420437991</v>
      </c>
      <c r="AP516">
        <f t="shared" si="108"/>
        <v>1.082993775594514</v>
      </c>
      <c r="AQ516">
        <f t="shared" si="109"/>
        <v>0.50009747297735885</v>
      </c>
      <c r="AR516">
        <f t="shared" si="110"/>
        <v>0.58070407200139018</v>
      </c>
      <c r="AS516">
        <f t="shared" si="111"/>
        <v>0.40310119375353681</v>
      </c>
      <c r="AT516">
        <f t="shared" si="112"/>
        <v>0.48331163522088899</v>
      </c>
      <c r="AU516">
        <f t="shared" si="113"/>
        <v>0.54295056420378385</v>
      </c>
    </row>
    <row r="517" spans="1:47" x14ac:dyDescent="0.3">
      <c r="A517">
        <v>10</v>
      </c>
      <c r="B517" t="s">
        <v>179</v>
      </c>
      <c r="C517" t="s">
        <v>173</v>
      </c>
      <c r="D517" t="s">
        <v>174</v>
      </c>
      <c r="F517" s="7">
        <v>0</v>
      </c>
      <c r="G517" s="7">
        <v>0</v>
      </c>
      <c r="H517" s="3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424971.2</v>
      </c>
      <c r="O517">
        <f t="shared" si="83"/>
        <v>426264.6</v>
      </c>
      <c r="P517">
        <f t="shared" si="84"/>
        <v>250970</v>
      </c>
      <c r="Q517">
        <f t="shared" si="85"/>
        <v>247145.4</v>
      </c>
      <c r="R517">
        <f t="shared" si="86"/>
        <v>200401.6</v>
      </c>
      <c r="S517">
        <f t="shared" si="87"/>
        <v>197039.6</v>
      </c>
      <c r="T517">
        <f t="shared" si="88"/>
        <v>3173087.6</v>
      </c>
      <c r="U517">
        <f t="shared" si="89"/>
        <v>2439976.6</v>
      </c>
      <c r="V517">
        <f t="shared" si="90"/>
        <v>60342.6</v>
      </c>
      <c r="W517">
        <f t="shared" si="91"/>
        <v>122490.6</v>
      </c>
      <c r="Y517">
        <f t="shared" si="92"/>
        <v>0.62454305459978054</v>
      </c>
      <c r="Z517">
        <f t="shared" si="93"/>
        <v>0.76946420861640941</v>
      </c>
      <c r="AA517">
        <f t="shared" si="94"/>
        <v>0.77144993066322054</v>
      </c>
      <c r="AB517">
        <f t="shared" si="95"/>
        <v>0.43171316000516519</v>
      </c>
      <c r="AC517">
        <f t="shared" si="96"/>
        <v>0.6759746873867698</v>
      </c>
      <c r="AD517">
        <f t="shared" si="97"/>
        <v>1.061337477795314</v>
      </c>
      <c r="AE517">
        <f t="shared" si="98"/>
        <v>1.175940796977375</v>
      </c>
      <c r="AF517">
        <f t="shared" si="99"/>
        <v>1.1015813060104851</v>
      </c>
      <c r="AG517">
        <f t="shared" si="100"/>
        <v>1.2577948478399781</v>
      </c>
      <c r="AH517">
        <f t="shared" si="101"/>
        <v>0.32880797240650278</v>
      </c>
      <c r="AI517">
        <f t="shared" si="102"/>
        <v>0.74933217040961608</v>
      </c>
      <c r="AK517">
        <f t="shared" si="103"/>
        <v>0.62454305459978054</v>
      </c>
      <c r="AL517">
        <f t="shared" si="104"/>
        <v>0.39385145057458432</v>
      </c>
      <c r="AM517">
        <f t="shared" si="105"/>
        <v>0.395735636621248</v>
      </c>
      <c r="AN517">
        <f t="shared" si="106"/>
        <v>0.43171316000516519</v>
      </c>
      <c r="AO517">
        <f t="shared" si="107"/>
        <v>0.36519687559921288</v>
      </c>
      <c r="AP517">
        <f t="shared" si="108"/>
        <v>1.061337477795314</v>
      </c>
      <c r="AQ517">
        <f t="shared" si="109"/>
        <v>0.47132803644053639</v>
      </c>
      <c r="AR517">
        <f t="shared" si="110"/>
        <v>0.58375718280440192</v>
      </c>
      <c r="AS517">
        <f t="shared" si="111"/>
        <v>0.39967906414531168</v>
      </c>
      <c r="AT517">
        <f t="shared" si="112"/>
        <v>0.32880797240650278</v>
      </c>
      <c r="AU517">
        <f t="shared" si="113"/>
        <v>0.45184584119124338</v>
      </c>
    </row>
    <row r="518" spans="1:47" x14ac:dyDescent="0.3">
      <c r="A518">
        <v>10</v>
      </c>
      <c r="B518" t="s">
        <v>180</v>
      </c>
      <c r="C518" t="s">
        <v>173</v>
      </c>
      <c r="D518" t="s">
        <v>174</v>
      </c>
      <c r="F518" s="7">
        <v>0</v>
      </c>
      <c r="G518" s="7">
        <v>0</v>
      </c>
      <c r="H518" s="3">
        <v>0</v>
      </c>
      <c r="I518">
        <f t="shared" si="80"/>
        <v>0</v>
      </c>
      <c r="J518">
        <f t="shared" si="80"/>
        <v>1</v>
      </c>
      <c r="K518">
        <v>3</v>
      </c>
      <c r="L518">
        <v>0</v>
      </c>
      <c r="M518">
        <f t="shared" si="81"/>
        <v>248481.2</v>
      </c>
      <c r="N518">
        <f t="shared" si="82"/>
        <v>810717.6</v>
      </c>
      <c r="O518">
        <f t="shared" si="83"/>
        <v>810967.6</v>
      </c>
      <c r="P518">
        <f t="shared" si="84"/>
        <v>199999.2</v>
      </c>
      <c r="Q518">
        <f t="shared" si="85"/>
        <v>233103.2</v>
      </c>
      <c r="R518">
        <f t="shared" si="86"/>
        <v>153187.20000000001</v>
      </c>
      <c r="S518">
        <f t="shared" si="87"/>
        <v>188511.6</v>
      </c>
      <c r="T518">
        <f t="shared" si="88"/>
        <v>2881521.4</v>
      </c>
      <c r="U518">
        <f t="shared" si="89"/>
        <v>2285458.4</v>
      </c>
      <c r="V518">
        <f t="shared" si="90"/>
        <v>244.2</v>
      </c>
      <c r="W518">
        <f t="shared" si="91"/>
        <v>56766.6</v>
      </c>
      <c r="Y518">
        <f t="shared" si="92"/>
        <v>0.34956728301476692</v>
      </c>
      <c r="Z518">
        <f t="shared" si="93"/>
        <v>1.0716357034049</v>
      </c>
      <c r="AA518">
        <f t="shared" si="94"/>
        <v>1.046376820572186</v>
      </c>
      <c r="AB518">
        <f t="shared" si="95"/>
        <v>0.32334617840242569</v>
      </c>
      <c r="AC518">
        <f t="shared" si="96"/>
        <v>0.64747770521207715</v>
      </c>
      <c r="AD518">
        <f t="shared" si="97"/>
        <v>1.069462627789471</v>
      </c>
      <c r="AE518">
        <f t="shared" si="98"/>
        <v>1.211757804697845</v>
      </c>
      <c r="AF518">
        <f t="shared" si="99"/>
        <v>0.77013650600565597</v>
      </c>
      <c r="AG518">
        <f t="shared" si="100"/>
        <v>1.062594485725276</v>
      </c>
      <c r="AH518">
        <f t="shared" si="101"/>
        <v>5.17319398932154E-3</v>
      </c>
      <c r="AI518">
        <f t="shared" si="102"/>
        <v>0.60873139440082014</v>
      </c>
      <c r="AK518">
        <f t="shared" si="103"/>
        <v>0.34956728301476692</v>
      </c>
      <c r="AL518">
        <f t="shared" si="104"/>
        <v>0.60497699357802048</v>
      </c>
      <c r="AM518">
        <f t="shared" si="105"/>
        <v>0.57895595538429911</v>
      </c>
      <c r="AN518">
        <f t="shared" si="106"/>
        <v>0.32334617840242569</v>
      </c>
      <c r="AO518">
        <f t="shared" si="107"/>
        <v>0.36677016020403241</v>
      </c>
      <c r="AP518">
        <f t="shared" si="108"/>
        <v>1.069462627789471</v>
      </c>
      <c r="AQ518">
        <f t="shared" si="109"/>
        <v>0.50669007002143185</v>
      </c>
      <c r="AR518">
        <f t="shared" si="110"/>
        <v>0.38821960160275909</v>
      </c>
      <c r="AS518">
        <f t="shared" si="111"/>
        <v>0.38065312198596069</v>
      </c>
      <c r="AT518">
        <f t="shared" si="112"/>
        <v>5.17319398932154E-3</v>
      </c>
      <c r="AU518">
        <f t="shared" si="113"/>
        <v>0.4773557049687952</v>
      </c>
    </row>
    <row r="519" spans="1:47" x14ac:dyDescent="0.3">
      <c r="A519">
        <v>10</v>
      </c>
      <c r="B519" t="s">
        <v>181</v>
      </c>
      <c r="C519" t="s">
        <v>173</v>
      </c>
      <c r="D519" t="s">
        <v>174</v>
      </c>
      <c r="F519" s="7">
        <v>0</v>
      </c>
      <c r="G519" s="7">
        <v>1</v>
      </c>
      <c r="H519" s="3">
        <v>0</v>
      </c>
      <c r="I519">
        <f t="shared" si="80"/>
        <v>0</v>
      </c>
      <c r="J519">
        <f t="shared" si="80"/>
        <v>1</v>
      </c>
      <c r="K519">
        <v>3</v>
      </c>
      <c r="L519">
        <v>0</v>
      </c>
      <c r="M519">
        <f t="shared" si="81"/>
        <v>644744</v>
      </c>
      <c r="N519">
        <f t="shared" si="82"/>
        <v>553591.80000000005</v>
      </c>
      <c r="O519">
        <f t="shared" si="83"/>
        <v>554152.6</v>
      </c>
      <c r="P519">
        <f t="shared" si="84"/>
        <v>200025.2</v>
      </c>
      <c r="Q519">
        <f t="shared" si="85"/>
        <v>217452.79999999999</v>
      </c>
      <c r="R519">
        <f t="shared" si="86"/>
        <v>183403.6</v>
      </c>
      <c r="S519">
        <f t="shared" si="87"/>
        <v>173658.6</v>
      </c>
      <c r="T519">
        <f t="shared" si="88"/>
        <v>2879306.8</v>
      </c>
      <c r="U519">
        <f t="shared" si="89"/>
        <v>2278140.2000000002</v>
      </c>
      <c r="V519">
        <f t="shared" si="90"/>
        <v>1178.5999999999999</v>
      </c>
      <c r="W519">
        <f t="shared" si="91"/>
        <v>68004.2</v>
      </c>
      <c r="Y519">
        <f t="shared" si="92"/>
        <v>0.62117696619825435</v>
      </c>
      <c r="Z519">
        <f t="shared" si="93"/>
        <v>0.8896134122624062</v>
      </c>
      <c r="AA519">
        <f t="shared" si="94"/>
        <v>0.88254447119543333</v>
      </c>
      <c r="AB519">
        <f t="shared" si="95"/>
        <v>0.33891593100852341</v>
      </c>
      <c r="AC519">
        <f t="shared" si="96"/>
        <v>0.63668459102045749</v>
      </c>
      <c r="AD519">
        <f t="shared" si="97"/>
        <v>1.0554131367825901</v>
      </c>
      <c r="AE519">
        <f t="shared" si="98"/>
        <v>1.3066076974151659</v>
      </c>
      <c r="AF519">
        <f t="shared" si="99"/>
        <v>0.77265917820623142</v>
      </c>
      <c r="AG519">
        <f t="shared" si="100"/>
        <v>1.0800213082227861</v>
      </c>
      <c r="AH519">
        <f t="shared" si="101"/>
        <v>1.038649738766248E-2</v>
      </c>
      <c r="AI519">
        <f t="shared" si="102"/>
        <v>0.67268940082285555</v>
      </c>
      <c r="AK519">
        <f t="shared" si="103"/>
        <v>0.62117696619825435</v>
      </c>
      <c r="AL519">
        <f t="shared" si="104"/>
        <v>0.48597310940967869</v>
      </c>
      <c r="AM519">
        <f t="shared" si="105"/>
        <v>0.48256515001412481</v>
      </c>
      <c r="AN519">
        <f t="shared" si="106"/>
        <v>0.33891593100852341</v>
      </c>
      <c r="AO519">
        <f t="shared" si="107"/>
        <v>0.35156345300492831</v>
      </c>
      <c r="AP519">
        <f t="shared" si="108"/>
        <v>1.0554131367825901</v>
      </c>
      <c r="AQ519">
        <f t="shared" si="109"/>
        <v>0.55779855001019318</v>
      </c>
      <c r="AR519">
        <f t="shared" si="110"/>
        <v>0.39244490800192577</v>
      </c>
      <c r="AS519">
        <f t="shared" si="111"/>
        <v>0.39810984220821399</v>
      </c>
      <c r="AT519">
        <f t="shared" si="112"/>
        <v>1.038649738766248E-2</v>
      </c>
      <c r="AU519">
        <f t="shared" si="113"/>
        <v>0.51276112799532714</v>
      </c>
    </row>
    <row r="520" spans="1:47" x14ac:dyDescent="0.3">
      <c r="A520">
        <v>11</v>
      </c>
      <c r="B520" t="s">
        <v>182</v>
      </c>
      <c r="C520" t="s">
        <v>183</v>
      </c>
      <c r="D520" t="s">
        <v>184</v>
      </c>
      <c r="F520" s="7">
        <v>0</v>
      </c>
      <c r="G520" s="7">
        <v>0</v>
      </c>
      <c r="H520" s="3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>
        <f t="shared" si="81"/>
        <v>1116677.8</v>
      </c>
      <c r="N520">
        <f t="shared" si="82"/>
        <v>740542.2</v>
      </c>
      <c r="O520">
        <f t="shared" si="83"/>
        <v>764622.4</v>
      </c>
      <c r="P520">
        <f t="shared" si="84"/>
        <v>645227.19999999995</v>
      </c>
      <c r="Q520">
        <f t="shared" si="85"/>
        <v>1100065.2</v>
      </c>
      <c r="R520">
        <f t="shared" si="86"/>
        <v>848510</v>
      </c>
      <c r="S520">
        <f t="shared" si="87"/>
        <v>616090.4</v>
      </c>
      <c r="T520">
        <f t="shared" si="88"/>
        <v>2921304.4</v>
      </c>
      <c r="U520">
        <f t="shared" si="89"/>
        <v>2247954.4</v>
      </c>
      <c r="V520">
        <f t="shared" si="90"/>
        <v>663956.6</v>
      </c>
      <c r="W520">
        <f t="shared" si="91"/>
        <v>1149300.8</v>
      </c>
      <c r="Y520">
        <f t="shared" si="92"/>
        <v>0.8653493285994045</v>
      </c>
      <c r="Z520">
        <f t="shared" si="93"/>
        <v>0.92044991157017653</v>
      </c>
      <c r="AA520">
        <f t="shared" si="94"/>
        <v>0.91578819993883376</v>
      </c>
      <c r="AB520">
        <f t="shared" si="95"/>
        <v>0.67234013939741999</v>
      </c>
      <c r="AC520">
        <f t="shared" si="96"/>
        <v>1.1257285217812749</v>
      </c>
      <c r="AD520">
        <f t="shared" si="97"/>
        <v>0.95463697637896983</v>
      </c>
      <c r="AE520">
        <f t="shared" si="98"/>
        <v>0.75539235261967408</v>
      </c>
      <c r="AF520">
        <f t="shared" si="99"/>
        <v>0.59582605301402514</v>
      </c>
      <c r="AG520">
        <f t="shared" si="100"/>
        <v>0.81820660935482015</v>
      </c>
      <c r="AH520">
        <f t="shared" si="101"/>
        <v>2.7174100611824539</v>
      </c>
      <c r="AI520">
        <f t="shared" si="102"/>
        <v>1.631531254632864</v>
      </c>
      <c r="AK520">
        <f t="shared" si="103"/>
        <v>0.8653493285994045</v>
      </c>
      <c r="AL520">
        <f t="shared" si="104"/>
        <v>0.41341550841461872</v>
      </c>
      <c r="AM520">
        <f t="shared" si="105"/>
        <v>0.40923319418216131</v>
      </c>
      <c r="AN520">
        <f t="shared" si="106"/>
        <v>0.67234013939741999</v>
      </c>
      <c r="AO520">
        <f t="shared" si="107"/>
        <v>0.51788516060332768</v>
      </c>
      <c r="AP520">
        <f t="shared" si="108"/>
        <v>0.95463697637896983</v>
      </c>
      <c r="AQ520">
        <f t="shared" si="109"/>
        <v>0.40545303660910581</v>
      </c>
      <c r="AR520">
        <f t="shared" si="110"/>
        <v>0.30297323939157639</v>
      </c>
      <c r="AS520">
        <f t="shared" si="111"/>
        <v>0.29510392019292342</v>
      </c>
      <c r="AT520">
        <f t="shared" si="112"/>
        <v>2.7174100611824539</v>
      </c>
      <c r="AU520">
        <f t="shared" si="113"/>
        <v>0.92341634177137166</v>
      </c>
    </row>
    <row r="521" spans="1:47" x14ac:dyDescent="0.3">
      <c r="A521">
        <v>11</v>
      </c>
      <c r="B521" t="s">
        <v>185</v>
      </c>
      <c r="C521" t="s">
        <v>183</v>
      </c>
      <c r="D521" t="s">
        <v>184</v>
      </c>
      <c r="F521" s="7">
        <v>0</v>
      </c>
      <c r="G521" s="7">
        <v>1</v>
      </c>
      <c r="H521" s="3">
        <v>0</v>
      </c>
      <c r="I521">
        <f t="shared" si="80"/>
        <v>0</v>
      </c>
      <c r="J521">
        <f t="shared" si="80"/>
        <v>1</v>
      </c>
      <c r="K521">
        <v>2</v>
      </c>
      <c r="L521">
        <v>0</v>
      </c>
      <c r="M521">
        <f t="shared" si="81"/>
        <v>221783.6</v>
      </c>
      <c r="N521">
        <f t="shared" si="82"/>
        <v>1187332.2</v>
      </c>
      <c r="O521">
        <f t="shared" si="83"/>
        <v>1201886.6000000001</v>
      </c>
      <c r="P521">
        <f t="shared" si="84"/>
        <v>223469.4</v>
      </c>
      <c r="Q521">
        <f t="shared" si="85"/>
        <v>2389759.4</v>
      </c>
      <c r="R521">
        <f t="shared" si="86"/>
        <v>24139.4</v>
      </c>
      <c r="S521">
        <f t="shared" si="87"/>
        <v>1796858.8</v>
      </c>
      <c r="T521">
        <f t="shared" si="88"/>
        <v>2923595</v>
      </c>
      <c r="U521">
        <f t="shared" si="89"/>
        <v>2272802.6</v>
      </c>
      <c r="V521">
        <f t="shared" si="90"/>
        <v>40470.400000000001</v>
      </c>
      <c r="W521">
        <f t="shared" si="91"/>
        <v>2589242</v>
      </c>
      <c r="Y521">
        <f t="shared" si="92"/>
        <v>0.31186809700448059</v>
      </c>
      <c r="Z521">
        <f t="shared" si="93"/>
        <v>1.275783658598084</v>
      </c>
      <c r="AA521">
        <f t="shared" si="94"/>
        <v>1.2885213489644229</v>
      </c>
      <c r="AB521">
        <f t="shared" si="95"/>
        <v>0.32716823400696737</v>
      </c>
      <c r="AC521">
        <f t="shared" si="96"/>
        <v>1.744918800157029</v>
      </c>
      <c r="AD521">
        <f t="shared" si="97"/>
        <v>0.1371974499896168</v>
      </c>
      <c r="AE521">
        <f t="shared" si="98"/>
        <v>1.6189736752188759</v>
      </c>
      <c r="AF521">
        <f t="shared" si="99"/>
        <v>0.59397927763639013</v>
      </c>
      <c r="AG521">
        <f t="shared" si="100"/>
        <v>0.83375853574834768</v>
      </c>
      <c r="AH521">
        <f t="shared" si="101"/>
        <v>0.115695873403456</v>
      </c>
      <c r="AI521">
        <f t="shared" si="102"/>
        <v>2.9577236102079039</v>
      </c>
      <c r="AK521">
        <f t="shared" si="103"/>
        <v>0.31186809700448059</v>
      </c>
      <c r="AL521">
        <f t="shared" si="104"/>
        <v>0.4598460540175438</v>
      </c>
      <c r="AM521">
        <f t="shared" si="105"/>
        <v>0.47023556960048152</v>
      </c>
      <c r="AN521">
        <f t="shared" si="106"/>
        <v>0.32716823400696737</v>
      </c>
      <c r="AO521">
        <f t="shared" si="107"/>
        <v>0.56507229919661772</v>
      </c>
      <c r="AP521">
        <f t="shared" si="108"/>
        <v>0.1371974499896168</v>
      </c>
      <c r="AQ521">
        <f t="shared" si="109"/>
        <v>0.59916398641653357</v>
      </c>
      <c r="AR521">
        <f t="shared" si="110"/>
        <v>0.29929495023097841</v>
      </c>
      <c r="AS521">
        <f t="shared" si="111"/>
        <v>0.30790362296393142</v>
      </c>
      <c r="AT521">
        <f t="shared" si="112"/>
        <v>0.115695873403456</v>
      </c>
      <c r="AU521">
        <f t="shared" si="113"/>
        <v>1.60917298119748</v>
      </c>
    </row>
    <row r="522" spans="1:47" x14ac:dyDescent="0.3">
      <c r="A522">
        <v>11</v>
      </c>
      <c r="B522" t="s">
        <v>186</v>
      </c>
      <c r="C522" t="s">
        <v>183</v>
      </c>
      <c r="D522" t="s">
        <v>184</v>
      </c>
      <c r="F522" s="7">
        <v>0</v>
      </c>
      <c r="G522" s="7">
        <v>1</v>
      </c>
      <c r="H522" s="3">
        <v>0</v>
      </c>
      <c r="I522">
        <f t="shared" si="80"/>
        <v>0</v>
      </c>
      <c r="J522">
        <f t="shared" si="80"/>
        <v>1</v>
      </c>
      <c r="K522">
        <v>2</v>
      </c>
      <c r="L522">
        <v>0</v>
      </c>
      <c r="M522">
        <f t="shared" si="81"/>
        <v>202423.8</v>
      </c>
      <c r="N522">
        <f t="shared" si="82"/>
        <v>1144548.8</v>
      </c>
      <c r="O522">
        <f t="shared" si="83"/>
        <v>1153781.2</v>
      </c>
      <c r="P522">
        <f t="shared" si="84"/>
        <v>200001.6</v>
      </c>
      <c r="Q522">
        <f t="shared" si="85"/>
        <v>2696573</v>
      </c>
      <c r="R522">
        <f t="shared" si="86"/>
        <v>9.4</v>
      </c>
      <c r="S522">
        <f t="shared" si="87"/>
        <v>1688884.6</v>
      </c>
      <c r="T522">
        <f t="shared" si="88"/>
        <v>2922651.4</v>
      </c>
      <c r="U522">
        <f t="shared" si="89"/>
        <v>2271583.4</v>
      </c>
      <c r="V522">
        <f t="shared" si="90"/>
        <v>476.4</v>
      </c>
      <c r="W522">
        <f t="shared" si="91"/>
        <v>2993068.2</v>
      </c>
      <c r="Y522">
        <f t="shared" si="92"/>
        <v>0.25530184920644389</v>
      </c>
      <c r="Z522">
        <f t="shared" si="93"/>
        <v>1.290224300976843</v>
      </c>
      <c r="AA522">
        <f t="shared" si="94"/>
        <v>1.296266314911191</v>
      </c>
      <c r="AB522">
        <f t="shared" si="95"/>
        <v>0.26833105519181111</v>
      </c>
      <c r="AC522">
        <f t="shared" si="96"/>
        <v>2.0071490501693909</v>
      </c>
      <c r="AD522">
        <f t="shared" si="97"/>
        <v>8.8725298189092403E-2</v>
      </c>
      <c r="AE522">
        <f t="shared" si="98"/>
        <v>1.650009565427899</v>
      </c>
      <c r="AF522">
        <f t="shared" si="99"/>
        <v>0.59243785856524478</v>
      </c>
      <c r="AG522">
        <f t="shared" si="100"/>
        <v>0.83195384457940236</v>
      </c>
      <c r="AH522">
        <f t="shared" si="101"/>
        <v>6.4133239910005996E-3</v>
      </c>
      <c r="AI522">
        <f t="shared" si="102"/>
        <v>3.3106546373572199</v>
      </c>
      <c r="AK522">
        <f t="shared" si="103"/>
        <v>0.25530184920644389</v>
      </c>
      <c r="AL522">
        <f t="shared" si="104"/>
        <v>0.48628859480377279</v>
      </c>
      <c r="AM522">
        <f t="shared" si="105"/>
        <v>0.48989903818583108</v>
      </c>
      <c r="AN522">
        <f t="shared" si="106"/>
        <v>0.26833105519181111</v>
      </c>
      <c r="AO522">
        <f t="shared" si="107"/>
        <v>0.64988005679333583</v>
      </c>
      <c r="AP522">
        <f t="shared" si="108"/>
        <v>8.8725298189092403E-2</v>
      </c>
      <c r="AQ522">
        <f t="shared" si="109"/>
        <v>0.62145836481358852</v>
      </c>
      <c r="AR522">
        <f t="shared" si="110"/>
        <v>0.30194337356369938</v>
      </c>
      <c r="AS522">
        <f t="shared" si="111"/>
        <v>0.3059781963471323</v>
      </c>
      <c r="AT522">
        <f t="shared" si="112"/>
        <v>6.4133239910005996E-3</v>
      </c>
      <c r="AU522">
        <f t="shared" si="113"/>
        <v>1.821974430000409</v>
      </c>
    </row>
    <row r="523" spans="1:47" x14ac:dyDescent="0.3">
      <c r="A523">
        <v>11</v>
      </c>
      <c r="B523" t="s">
        <v>187</v>
      </c>
      <c r="C523" t="s">
        <v>183</v>
      </c>
      <c r="D523" t="s">
        <v>184</v>
      </c>
      <c r="F523" s="7">
        <v>0</v>
      </c>
      <c r="G523" s="7">
        <v>0</v>
      </c>
      <c r="H523" s="3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>
        <f t="shared" si="81"/>
        <v>670520.4</v>
      </c>
      <c r="N523">
        <f t="shared" si="82"/>
        <v>723791.4</v>
      </c>
      <c r="O523">
        <f t="shared" si="83"/>
        <v>727013.2</v>
      </c>
      <c r="P523">
        <f t="shared" si="84"/>
        <v>531619.6</v>
      </c>
      <c r="Q523">
        <f t="shared" si="85"/>
        <v>1144561.3999999999</v>
      </c>
      <c r="R523">
        <f t="shared" si="86"/>
        <v>238373</v>
      </c>
      <c r="S523">
        <f t="shared" si="87"/>
        <v>528201</v>
      </c>
      <c r="T523">
        <f t="shared" si="88"/>
        <v>2919608</v>
      </c>
      <c r="U523">
        <f t="shared" si="89"/>
        <v>2254390</v>
      </c>
      <c r="V523">
        <f t="shared" si="90"/>
        <v>1059873.6000000001</v>
      </c>
      <c r="W523">
        <f t="shared" si="91"/>
        <v>1157846.6000000001</v>
      </c>
      <c r="Y523">
        <f t="shared" si="92"/>
        <v>0.59608921640319745</v>
      </c>
      <c r="Z523">
        <f t="shared" si="93"/>
        <v>0.93133502379059796</v>
      </c>
      <c r="AA523">
        <f t="shared" si="94"/>
        <v>0.92256202303105961</v>
      </c>
      <c r="AB523">
        <f t="shared" si="95"/>
        <v>0.55337010360090066</v>
      </c>
      <c r="AC523">
        <f t="shared" si="96"/>
        <v>1.184396529791411</v>
      </c>
      <c r="AD523">
        <f t="shared" si="97"/>
        <v>0.46240489878691732</v>
      </c>
      <c r="AE523">
        <f t="shared" si="98"/>
        <v>0.70048920406261461</v>
      </c>
      <c r="AF523">
        <f t="shared" si="99"/>
        <v>0.59691892045084383</v>
      </c>
      <c r="AG523">
        <f t="shared" si="100"/>
        <v>0.82462173117091875</v>
      </c>
      <c r="AH523">
        <f t="shared" si="101"/>
        <v>2.7320044143940319</v>
      </c>
      <c r="AI523">
        <f t="shared" si="102"/>
        <v>1.624130583624356</v>
      </c>
      <c r="AK523">
        <f t="shared" si="103"/>
        <v>0.59608921640319745</v>
      </c>
      <c r="AL523">
        <f t="shared" si="104"/>
        <v>0.45656027619261302</v>
      </c>
      <c r="AM523">
        <f t="shared" si="105"/>
        <v>0.44841707341838632</v>
      </c>
      <c r="AN523">
        <f t="shared" si="106"/>
        <v>0.55337010360090066</v>
      </c>
      <c r="AO523">
        <f t="shared" si="107"/>
        <v>0.54952103839605115</v>
      </c>
      <c r="AP523">
        <f t="shared" si="108"/>
        <v>0.46240489878691732</v>
      </c>
      <c r="AQ523">
        <f t="shared" si="109"/>
        <v>0.41802473141578961</v>
      </c>
      <c r="AR523">
        <f t="shared" si="110"/>
        <v>0.30233628405258062</v>
      </c>
      <c r="AS523">
        <f t="shared" si="111"/>
        <v>0.29826718516414991</v>
      </c>
      <c r="AT523">
        <f t="shared" si="112"/>
        <v>2.7320044143940319</v>
      </c>
      <c r="AU523">
        <f t="shared" si="113"/>
        <v>0.94122599618276581</v>
      </c>
    </row>
    <row r="524" spans="1:47" x14ac:dyDescent="0.3">
      <c r="A524">
        <v>11</v>
      </c>
      <c r="B524" t="s">
        <v>188</v>
      </c>
      <c r="C524" t="s">
        <v>189</v>
      </c>
      <c r="D524" t="s">
        <v>190</v>
      </c>
      <c r="F524" s="7">
        <v>0</v>
      </c>
      <c r="G524" s="7">
        <v>0</v>
      </c>
      <c r="H524" s="3">
        <v>0</v>
      </c>
      <c r="I524">
        <f t="shared" si="80"/>
        <v>0</v>
      </c>
      <c r="J524">
        <f t="shared" si="80"/>
        <v>1</v>
      </c>
      <c r="K524">
        <v>3</v>
      </c>
      <c r="L524">
        <v>0</v>
      </c>
      <c r="M524">
        <f t="shared" si="81"/>
        <v>1978216.8</v>
      </c>
      <c r="N524">
        <f t="shared" si="82"/>
        <v>5090151.2</v>
      </c>
      <c r="O524">
        <f t="shared" si="83"/>
        <v>4859338</v>
      </c>
      <c r="P524">
        <f t="shared" si="84"/>
        <v>4631787.2</v>
      </c>
      <c r="Q524">
        <f t="shared" si="85"/>
        <v>3448240.4</v>
      </c>
      <c r="R524">
        <f t="shared" si="86"/>
        <v>4256270</v>
      </c>
      <c r="S524">
        <f t="shared" si="87"/>
        <v>4489040</v>
      </c>
      <c r="T524">
        <f t="shared" si="88"/>
        <v>4770700</v>
      </c>
      <c r="U524">
        <f t="shared" si="89"/>
        <v>3973259.8</v>
      </c>
      <c r="V524">
        <f t="shared" si="90"/>
        <v>2822356.8</v>
      </c>
      <c r="W524">
        <f t="shared" si="91"/>
        <v>3641966.4</v>
      </c>
      <c r="Y524">
        <f t="shared" si="92"/>
        <v>1.906594675197266</v>
      </c>
      <c r="Z524">
        <f t="shared" si="93"/>
        <v>3.8061704279738482</v>
      </c>
      <c r="AA524">
        <f t="shared" si="94"/>
        <v>3.6773556907894092</v>
      </c>
      <c r="AB524">
        <f t="shared" si="95"/>
        <v>3.50584640839952</v>
      </c>
      <c r="AC524">
        <f t="shared" si="96"/>
        <v>2.632956216612365</v>
      </c>
      <c r="AD524">
        <f t="shared" si="97"/>
        <v>3.575163344980683</v>
      </c>
      <c r="AE524">
        <f t="shared" si="98"/>
        <v>3.0170099523849792</v>
      </c>
      <c r="AF524">
        <f t="shared" si="99"/>
        <v>2.4179211343638598</v>
      </c>
      <c r="AG524">
        <f t="shared" si="100"/>
        <v>2.5397678819950671</v>
      </c>
      <c r="AH524">
        <f t="shared" si="101"/>
        <v>3.72804114461178</v>
      </c>
      <c r="AI524">
        <f t="shared" si="102"/>
        <v>6.6935758384177459</v>
      </c>
      <c r="AK524">
        <f t="shared" si="103"/>
        <v>1.906594675197266</v>
      </c>
      <c r="AL524">
        <f t="shared" si="104"/>
        <v>1.806085293809883</v>
      </c>
      <c r="AM524">
        <f t="shared" si="105"/>
        <v>1.6889589889906349</v>
      </c>
      <c r="AN524">
        <f t="shared" si="106"/>
        <v>3.50584640839952</v>
      </c>
      <c r="AO524">
        <f t="shared" si="107"/>
        <v>1.1792277582106181</v>
      </c>
      <c r="AP524">
        <f t="shared" si="108"/>
        <v>3.575163344980683</v>
      </c>
      <c r="AQ524">
        <f t="shared" si="109"/>
        <v>1.471523352002259</v>
      </c>
      <c r="AR524">
        <f t="shared" si="110"/>
        <v>1.3642263675574211</v>
      </c>
      <c r="AS524">
        <f t="shared" si="111"/>
        <v>0.53833907241933043</v>
      </c>
      <c r="AT524">
        <f t="shared" si="112"/>
        <v>3.72804114461178</v>
      </c>
      <c r="AU524">
        <f t="shared" si="113"/>
        <v>5.1283372266334482</v>
      </c>
    </row>
    <row r="525" spans="1:47" x14ac:dyDescent="0.3">
      <c r="A525">
        <v>11</v>
      </c>
      <c r="B525" t="s">
        <v>191</v>
      </c>
      <c r="C525" t="s">
        <v>189</v>
      </c>
      <c r="D525" t="s">
        <v>190</v>
      </c>
      <c r="F525" s="7">
        <v>0</v>
      </c>
      <c r="G525" s="7">
        <v>1</v>
      </c>
      <c r="H525" s="3">
        <v>0</v>
      </c>
      <c r="I525">
        <f t="shared" si="80"/>
        <v>0</v>
      </c>
      <c r="J525">
        <f t="shared" si="80"/>
        <v>1</v>
      </c>
      <c r="K525">
        <v>3</v>
      </c>
      <c r="L525">
        <v>0</v>
      </c>
      <c r="M525">
        <f t="shared" si="81"/>
        <v>499564.79999999999</v>
      </c>
      <c r="N525">
        <f t="shared" si="82"/>
        <v>11860421.800000001</v>
      </c>
      <c r="O525">
        <f t="shared" si="83"/>
        <v>12016791.4</v>
      </c>
      <c r="P525">
        <f t="shared" si="84"/>
        <v>223950</v>
      </c>
      <c r="Q525">
        <f t="shared" si="85"/>
        <v>13377749.4</v>
      </c>
      <c r="R525">
        <f t="shared" si="86"/>
        <v>236550.8</v>
      </c>
      <c r="S525">
        <f t="shared" si="87"/>
        <v>15796283.6</v>
      </c>
      <c r="T525">
        <f t="shared" si="88"/>
        <v>4027835.8</v>
      </c>
      <c r="U525">
        <f t="shared" si="89"/>
        <v>4385363.4000000004</v>
      </c>
      <c r="V525">
        <f t="shared" si="90"/>
        <v>135743.4</v>
      </c>
      <c r="W525">
        <f t="shared" si="91"/>
        <v>13671556</v>
      </c>
      <c r="Y525">
        <f t="shared" si="92"/>
        <v>0.74371537300758062</v>
      </c>
      <c r="Z525">
        <f t="shared" si="93"/>
        <v>8.5477031513466493</v>
      </c>
      <c r="AA525">
        <f t="shared" si="94"/>
        <v>8.5696707840310413</v>
      </c>
      <c r="AB525">
        <f t="shared" si="95"/>
        <v>0.6265355059877038</v>
      </c>
      <c r="AC525">
        <f t="shared" si="96"/>
        <v>10.35482953299652</v>
      </c>
      <c r="AD525">
        <f t="shared" si="97"/>
        <v>0.45650133241433649</v>
      </c>
      <c r="AE525">
        <f t="shared" si="98"/>
        <v>10.26764083323069</v>
      </c>
      <c r="AF525">
        <f t="shared" si="99"/>
        <v>1.777574836602434</v>
      </c>
      <c r="AG525">
        <f t="shared" si="100"/>
        <v>2.84928584182635</v>
      </c>
      <c r="AH525">
        <f t="shared" si="101"/>
        <v>0.37762373898876828</v>
      </c>
      <c r="AI525">
        <f t="shared" si="102"/>
        <v>22.66619313082192</v>
      </c>
      <c r="AK525">
        <f t="shared" si="103"/>
        <v>0.74371537300758062</v>
      </c>
      <c r="AL525">
        <f t="shared" si="104"/>
        <v>2.771515010192525</v>
      </c>
      <c r="AM525">
        <f t="shared" si="105"/>
        <v>2.83496487159282</v>
      </c>
      <c r="AN525">
        <f t="shared" si="106"/>
        <v>0.6265355059877038</v>
      </c>
      <c r="AO525">
        <f t="shared" si="107"/>
        <v>3.5750436791975519</v>
      </c>
      <c r="AP525">
        <f t="shared" si="108"/>
        <v>0.45650133241433649</v>
      </c>
      <c r="AQ525">
        <f t="shared" si="109"/>
        <v>3.3514951530261898</v>
      </c>
      <c r="AR525">
        <f t="shared" si="110"/>
        <v>1.061972901388071</v>
      </c>
      <c r="AS525">
        <f t="shared" si="111"/>
        <v>0.63437477897386996</v>
      </c>
      <c r="AT525">
        <f t="shared" si="112"/>
        <v>0.37762373898876828</v>
      </c>
      <c r="AU525">
        <f t="shared" si="113"/>
        <v>18.95616520938929</v>
      </c>
    </row>
    <row r="526" spans="1:47" x14ac:dyDescent="0.3">
      <c r="A526">
        <v>11</v>
      </c>
      <c r="B526" t="s">
        <v>192</v>
      </c>
      <c r="C526" t="s">
        <v>189</v>
      </c>
      <c r="D526" t="s">
        <v>190</v>
      </c>
      <c r="F526" s="7">
        <v>0</v>
      </c>
      <c r="G526" s="7">
        <v>1</v>
      </c>
      <c r="H526" s="3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1447384.8</v>
      </c>
      <c r="O526">
        <f t="shared" si="83"/>
        <v>1452094.2</v>
      </c>
      <c r="P526">
        <f t="shared" si="84"/>
        <v>32522794.600000001</v>
      </c>
      <c r="Q526">
        <f t="shared" si="85"/>
        <v>497741.8</v>
      </c>
      <c r="R526">
        <f t="shared" si="86"/>
        <v>13724934.199999999</v>
      </c>
      <c r="S526">
        <f t="shared" si="87"/>
        <v>548960.6</v>
      </c>
      <c r="T526">
        <f t="shared" si="88"/>
        <v>4309289.2</v>
      </c>
      <c r="U526">
        <f t="shared" si="89"/>
        <v>4132979.2</v>
      </c>
      <c r="V526">
        <f t="shared" si="90"/>
        <v>28321760.800000001</v>
      </c>
      <c r="W526">
        <f t="shared" si="91"/>
        <v>510844.6</v>
      </c>
      <c r="Y526">
        <f t="shared" si="92"/>
        <v>5.7158082449925134</v>
      </c>
      <c r="Z526">
        <f t="shared" si="93"/>
        <v>1.500293417612556</v>
      </c>
      <c r="AA526">
        <f t="shared" si="94"/>
        <v>1.496012375596911</v>
      </c>
      <c r="AB526">
        <f t="shared" si="95"/>
        <v>30.193405625200828</v>
      </c>
      <c r="AC526">
        <f t="shared" si="96"/>
        <v>1.007812240993371</v>
      </c>
      <c r="AD526">
        <f t="shared" si="97"/>
        <v>9.9875361472135413</v>
      </c>
      <c r="AE526">
        <f t="shared" si="98"/>
        <v>1.0442451203824019</v>
      </c>
      <c r="AF526">
        <f t="shared" si="99"/>
        <v>2.02620518252952</v>
      </c>
      <c r="AG526">
        <f t="shared" si="100"/>
        <v>2.665887337480672</v>
      </c>
      <c r="AH526">
        <f t="shared" si="101"/>
        <v>13.075008148013151</v>
      </c>
      <c r="AI526">
        <f t="shared" si="102"/>
        <v>2.204723046394065</v>
      </c>
      <c r="AK526">
        <f t="shared" si="103"/>
        <v>5.7158082449925134</v>
      </c>
      <c r="AL526">
        <f t="shared" si="104"/>
        <v>0.59814580600941558</v>
      </c>
      <c r="AM526">
        <f t="shared" si="105"/>
        <v>0.59831648900872092</v>
      </c>
      <c r="AN526">
        <f t="shared" si="106"/>
        <v>30.193405625200828</v>
      </c>
      <c r="AO526">
        <f t="shared" si="107"/>
        <v>0.47744373600580731</v>
      </c>
      <c r="AP526">
        <f t="shared" si="108"/>
        <v>9.9875361472135413</v>
      </c>
      <c r="AQ526">
        <f t="shared" si="109"/>
        <v>0.51253768978640435</v>
      </c>
      <c r="AR526">
        <f t="shared" si="110"/>
        <v>1.1260971555486321</v>
      </c>
      <c r="AS526">
        <f t="shared" si="111"/>
        <v>0.57795414841966708</v>
      </c>
      <c r="AT526">
        <f t="shared" si="112"/>
        <v>13.075008148013151</v>
      </c>
      <c r="AU526">
        <f t="shared" si="113"/>
        <v>1.0806944563752039</v>
      </c>
    </row>
    <row r="527" spans="1:47" x14ac:dyDescent="0.3">
      <c r="A527">
        <v>11</v>
      </c>
      <c r="B527" t="s">
        <v>193</v>
      </c>
      <c r="C527" t="s">
        <v>189</v>
      </c>
      <c r="D527" t="s">
        <v>190</v>
      </c>
      <c r="F527" s="7">
        <v>0</v>
      </c>
      <c r="G527" s="7">
        <v>0</v>
      </c>
      <c r="H527" s="3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>
        <f t="shared" si="81"/>
        <v>2532361.2000000002</v>
      </c>
      <c r="N527">
        <f t="shared" si="82"/>
        <v>1575628.4</v>
      </c>
      <c r="O527">
        <f t="shared" si="83"/>
        <v>1570667.2</v>
      </c>
      <c r="P527">
        <f t="shared" si="84"/>
        <v>4488034.8</v>
      </c>
      <c r="Q527">
        <f t="shared" si="85"/>
        <v>854153</v>
      </c>
      <c r="R527">
        <f t="shared" si="86"/>
        <v>9560862.1999999993</v>
      </c>
      <c r="S527">
        <f t="shared" si="87"/>
        <v>1071463</v>
      </c>
      <c r="T527">
        <f t="shared" si="88"/>
        <v>4508969.5999999996</v>
      </c>
      <c r="U527">
        <f t="shared" si="89"/>
        <v>3726258.4</v>
      </c>
      <c r="V527">
        <f t="shared" si="90"/>
        <v>7816182.5999999996</v>
      </c>
      <c r="W527">
        <f t="shared" si="91"/>
        <v>825501.2</v>
      </c>
      <c r="Y527">
        <f t="shared" si="92"/>
        <v>2.324588616611436</v>
      </c>
      <c r="Z527">
        <f t="shared" si="93"/>
        <v>1.660351297422312</v>
      </c>
      <c r="AA527">
        <f t="shared" si="94"/>
        <v>1.643394871638157</v>
      </c>
      <c r="AB527">
        <f t="shared" si="95"/>
        <v>2.4969171376083978</v>
      </c>
      <c r="AC527">
        <f t="shared" si="96"/>
        <v>1.3509695868007841</v>
      </c>
      <c r="AD527">
        <f t="shared" si="97"/>
        <v>5.481270746025257</v>
      </c>
      <c r="AE527">
        <f t="shared" si="98"/>
        <v>1.3032649263390339</v>
      </c>
      <c r="AF527">
        <f t="shared" si="99"/>
        <v>2.163685255404562</v>
      </c>
      <c r="AG527">
        <f t="shared" si="100"/>
        <v>2.345992822642438</v>
      </c>
      <c r="AH527">
        <f t="shared" si="101"/>
        <v>4.4524377136025581</v>
      </c>
      <c r="AI527">
        <f t="shared" si="102"/>
        <v>2.6948719648644328</v>
      </c>
      <c r="AK527">
        <f t="shared" si="103"/>
        <v>2.324588616611436</v>
      </c>
      <c r="AL527">
        <f t="shared" si="104"/>
        <v>0.72033449759474022</v>
      </c>
      <c r="AM527">
        <f t="shared" si="105"/>
        <v>0.70870205040555445</v>
      </c>
      <c r="AN527">
        <f t="shared" si="106"/>
        <v>2.4969171376083978</v>
      </c>
      <c r="AO527">
        <f t="shared" si="107"/>
        <v>0.5965313441993203</v>
      </c>
      <c r="AP527">
        <f t="shared" si="108"/>
        <v>5.481270746025257</v>
      </c>
      <c r="AQ527">
        <f t="shared" si="109"/>
        <v>0.60206215637736027</v>
      </c>
      <c r="AR527">
        <f t="shared" si="110"/>
        <v>1.261830215610098</v>
      </c>
      <c r="AS527">
        <f t="shared" si="111"/>
        <v>0.52576332645257939</v>
      </c>
      <c r="AT527">
        <f t="shared" si="112"/>
        <v>4.4524377136025581</v>
      </c>
      <c r="AU527">
        <f t="shared" si="113"/>
        <v>1.463693543395493</v>
      </c>
    </row>
    <row r="528" spans="1:47" x14ac:dyDescent="0.3">
      <c r="A528">
        <v>11</v>
      </c>
      <c r="B528" t="s">
        <v>194</v>
      </c>
      <c r="C528" t="s">
        <v>189</v>
      </c>
      <c r="D528" t="s">
        <v>190</v>
      </c>
      <c r="F528" s="7">
        <v>0</v>
      </c>
      <c r="G528" s="7">
        <v>1</v>
      </c>
      <c r="H528" s="3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>
        <f t="shared" si="81"/>
        <v>3500491.2</v>
      </c>
      <c r="N528">
        <f t="shared" si="82"/>
        <v>1807240</v>
      </c>
      <c r="O528">
        <f t="shared" si="83"/>
        <v>1813042.6</v>
      </c>
      <c r="P528">
        <f t="shared" si="84"/>
        <v>18198348.600000001</v>
      </c>
      <c r="Q528">
        <f t="shared" si="85"/>
        <v>1044733</v>
      </c>
      <c r="R528">
        <f t="shared" si="86"/>
        <v>13410366</v>
      </c>
      <c r="S528">
        <f t="shared" si="87"/>
        <v>2217899.6</v>
      </c>
      <c r="T528">
        <f t="shared" si="88"/>
        <v>4777285.4000000004</v>
      </c>
      <c r="U528">
        <f t="shared" si="89"/>
        <v>3835736</v>
      </c>
      <c r="V528">
        <f t="shared" si="90"/>
        <v>24823075.199999999</v>
      </c>
      <c r="W528">
        <f t="shared" si="91"/>
        <v>1125848.8</v>
      </c>
      <c r="Y528">
        <f t="shared" si="92"/>
        <v>3.1670560710015701</v>
      </c>
      <c r="Z528">
        <f t="shared" si="93"/>
        <v>1.7516821286175399</v>
      </c>
      <c r="AA528">
        <f t="shared" si="94"/>
        <v>1.747533927171026</v>
      </c>
      <c r="AB528">
        <f t="shared" si="95"/>
        <v>6.6811221903946718</v>
      </c>
      <c r="AC528">
        <f t="shared" si="96"/>
        <v>1.3925062427995729</v>
      </c>
      <c r="AD528">
        <f t="shared" si="97"/>
        <v>8.881436062802095</v>
      </c>
      <c r="AE528">
        <f t="shared" si="98"/>
        <v>1.968174929358065</v>
      </c>
      <c r="AF528">
        <f t="shared" si="99"/>
        <v>2.391776141978335</v>
      </c>
      <c r="AG528">
        <f t="shared" si="100"/>
        <v>2.416624444839544</v>
      </c>
      <c r="AH528">
        <f t="shared" si="101"/>
        <v>8.0384743922040798</v>
      </c>
      <c r="AI528">
        <f t="shared" si="102"/>
        <v>2.894070737191941</v>
      </c>
      <c r="AK528">
        <f t="shared" si="103"/>
        <v>3.1670560710015701</v>
      </c>
      <c r="AL528">
        <f t="shared" si="104"/>
        <v>0.72174076340161264</v>
      </c>
      <c r="AM528">
        <f t="shared" si="105"/>
        <v>0.71975653897970915</v>
      </c>
      <c r="AN528">
        <f t="shared" si="106"/>
        <v>6.6811221903946718</v>
      </c>
      <c r="AO528">
        <f t="shared" si="107"/>
        <v>0.64173072320991198</v>
      </c>
      <c r="AP528">
        <f t="shared" si="108"/>
        <v>8.881436062802095</v>
      </c>
      <c r="AQ528">
        <f t="shared" si="109"/>
        <v>0.96458978719310839</v>
      </c>
      <c r="AR528">
        <f t="shared" si="110"/>
        <v>1.3528960691881371</v>
      </c>
      <c r="AS528">
        <f t="shared" si="111"/>
        <v>0.51570227380143474</v>
      </c>
      <c r="AT528">
        <f t="shared" si="112"/>
        <v>8.0384743922040798</v>
      </c>
      <c r="AU528">
        <f t="shared" si="113"/>
        <v>1.56073833159171</v>
      </c>
    </row>
    <row r="529" spans="1:47" x14ac:dyDescent="0.3">
      <c r="A529">
        <v>11</v>
      </c>
      <c r="B529" t="s">
        <v>195</v>
      </c>
      <c r="C529" t="s">
        <v>189</v>
      </c>
      <c r="D529" t="s">
        <v>190</v>
      </c>
      <c r="F529" s="7">
        <v>0</v>
      </c>
      <c r="G529" s="7">
        <v>0</v>
      </c>
      <c r="H529" s="3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661045</v>
      </c>
      <c r="O529">
        <f t="shared" si="83"/>
        <v>662301.80000000005</v>
      </c>
      <c r="P529">
        <f t="shared" si="84"/>
        <v>3704771.6</v>
      </c>
      <c r="Q529">
        <f t="shared" si="85"/>
        <v>287590.8</v>
      </c>
      <c r="R529">
        <f t="shared" si="86"/>
        <v>3937534.6</v>
      </c>
      <c r="S529">
        <f t="shared" si="87"/>
        <v>232363</v>
      </c>
      <c r="T529">
        <f t="shared" si="88"/>
        <v>4043405.6</v>
      </c>
      <c r="U529">
        <f t="shared" si="89"/>
        <v>4035637.8</v>
      </c>
      <c r="V529">
        <f t="shared" si="90"/>
        <v>4720950</v>
      </c>
      <c r="W529">
        <f t="shared" si="91"/>
        <v>280663.59999999998</v>
      </c>
      <c r="Y529">
        <f t="shared" si="92"/>
        <v>2.0350598249933678</v>
      </c>
      <c r="Z529">
        <f t="shared" si="93"/>
        <v>0.97300581301096822</v>
      </c>
      <c r="AA529">
        <f t="shared" si="94"/>
        <v>0.96310572862857957</v>
      </c>
      <c r="AB529">
        <f t="shared" si="95"/>
        <v>4.0964175330009311</v>
      </c>
      <c r="AC529">
        <f t="shared" si="96"/>
        <v>0.75766385422321036</v>
      </c>
      <c r="AD529">
        <f t="shared" si="97"/>
        <v>4.1766148640075702</v>
      </c>
      <c r="AE529">
        <f t="shared" si="98"/>
        <v>0.71411909136222673</v>
      </c>
      <c r="AF529">
        <f t="shared" si="99"/>
        <v>1.7657227999879981</v>
      </c>
      <c r="AG529">
        <f t="shared" si="100"/>
        <v>2.575806565012317</v>
      </c>
      <c r="AH529">
        <f t="shared" si="101"/>
        <v>4.490550657000858</v>
      </c>
      <c r="AI529">
        <f t="shared" si="102"/>
        <v>1.3951633924036291</v>
      </c>
      <c r="AK529">
        <f t="shared" si="103"/>
        <v>2.0350598249933678</v>
      </c>
      <c r="AL529">
        <f t="shared" si="104"/>
        <v>0.48714432141277941</v>
      </c>
      <c r="AM529">
        <f t="shared" si="105"/>
        <v>0.48134634240996088</v>
      </c>
      <c r="AN529">
        <f t="shared" si="106"/>
        <v>4.0964175330009311</v>
      </c>
      <c r="AO529">
        <f t="shared" si="107"/>
        <v>0.39602500541368502</v>
      </c>
      <c r="AP529">
        <f t="shared" si="108"/>
        <v>4.1766148640075702</v>
      </c>
      <c r="AQ529">
        <f t="shared" si="109"/>
        <v>0.4723739771754481</v>
      </c>
      <c r="AR529">
        <f t="shared" si="110"/>
        <v>1.0560557977878491</v>
      </c>
      <c r="AS529">
        <f t="shared" si="111"/>
        <v>0.54549076542025432</v>
      </c>
      <c r="AT529">
        <f t="shared" si="112"/>
        <v>4.490550657000858</v>
      </c>
      <c r="AU529">
        <f t="shared" si="113"/>
        <v>0.76564336101291697</v>
      </c>
    </row>
    <row r="530" spans="1:47" x14ac:dyDescent="0.3">
      <c r="A530">
        <v>11</v>
      </c>
      <c r="B530" t="s">
        <v>196</v>
      </c>
      <c r="C530" t="s">
        <v>189</v>
      </c>
      <c r="D530" t="s">
        <v>190</v>
      </c>
      <c r="F530" s="7">
        <v>0</v>
      </c>
      <c r="G530" s="7">
        <v>0</v>
      </c>
      <c r="H530" s="3">
        <v>0</v>
      </c>
      <c r="I530">
        <f t="shared" si="114"/>
        <v>0</v>
      </c>
      <c r="J530">
        <f t="shared" si="114"/>
        <v>1</v>
      </c>
      <c r="K530">
        <v>3</v>
      </c>
      <c r="L530">
        <v>0</v>
      </c>
      <c r="M530">
        <f t="shared" si="81"/>
        <v>205994.4</v>
      </c>
      <c r="N530">
        <f t="shared" si="82"/>
        <v>12102538</v>
      </c>
      <c r="O530">
        <f t="shared" si="83"/>
        <v>12402872</v>
      </c>
      <c r="P530">
        <f t="shared" si="84"/>
        <v>201888.4</v>
      </c>
      <c r="Q530">
        <f t="shared" si="85"/>
        <v>14236434</v>
      </c>
      <c r="R530">
        <f t="shared" si="86"/>
        <v>1083</v>
      </c>
      <c r="S530">
        <f t="shared" si="87"/>
        <v>17925578.199999999</v>
      </c>
      <c r="T530">
        <f t="shared" si="88"/>
        <v>4281782</v>
      </c>
      <c r="U530">
        <f t="shared" si="89"/>
        <v>4576010.4000000004</v>
      </c>
      <c r="V530">
        <f t="shared" si="90"/>
        <v>6643.6</v>
      </c>
      <c r="W530">
        <f t="shared" si="91"/>
        <v>15488294.6</v>
      </c>
      <c r="Y530">
        <f t="shared" si="92"/>
        <v>0.37611250180052591</v>
      </c>
      <c r="Z530">
        <f t="shared" si="93"/>
        <v>9.0420905577950172</v>
      </c>
      <c r="AA530">
        <f t="shared" si="94"/>
        <v>9.1578106711851426</v>
      </c>
      <c r="AB530">
        <f t="shared" si="95"/>
        <v>0.40234600940020748</v>
      </c>
      <c r="AC530">
        <f t="shared" si="96"/>
        <v>11.03317075681989</v>
      </c>
      <c r="AD530">
        <f t="shared" si="97"/>
        <v>9.5452528807800197E-2</v>
      </c>
      <c r="AE530">
        <f t="shared" si="98"/>
        <v>13.058599514397789</v>
      </c>
      <c r="AF530">
        <f t="shared" si="99"/>
        <v>1.9918277395889159</v>
      </c>
      <c r="AG530">
        <f t="shared" si="100"/>
        <v>2.98662087104749</v>
      </c>
      <c r="AH530">
        <f t="shared" si="101"/>
        <v>3.5055495402775659E-2</v>
      </c>
      <c r="AI530">
        <f t="shared" si="102"/>
        <v>23.159714440593959</v>
      </c>
      <c r="AK530">
        <f t="shared" si="103"/>
        <v>0.37611250180052591</v>
      </c>
      <c r="AL530">
        <f t="shared" si="104"/>
        <v>3.0188354454119688</v>
      </c>
      <c r="AM530">
        <f t="shared" si="105"/>
        <v>3.159648955985904</v>
      </c>
      <c r="AN530">
        <f t="shared" si="106"/>
        <v>0.40234600940020748</v>
      </c>
      <c r="AO530">
        <f t="shared" si="107"/>
        <v>3.6186650266055951</v>
      </c>
      <c r="AP530">
        <f t="shared" si="108"/>
        <v>9.5452528807800197E-2</v>
      </c>
      <c r="AQ530">
        <f t="shared" si="109"/>
        <v>4.4081628390122214</v>
      </c>
      <c r="AR530">
        <f t="shared" si="110"/>
        <v>1.1167542839655651</v>
      </c>
      <c r="AS530">
        <f t="shared" si="111"/>
        <v>0.67947297795908523</v>
      </c>
      <c r="AT530">
        <f t="shared" si="112"/>
        <v>3.5055495402775659E-2</v>
      </c>
      <c r="AU530">
        <f t="shared" si="113"/>
        <v>19.15018683780217</v>
      </c>
    </row>
    <row r="531" spans="1:47" x14ac:dyDescent="0.3">
      <c r="A531">
        <v>11</v>
      </c>
      <c r="B531" t="s">
        <v>197</v>
      </c>
      <c r="C531" t="s">
        <v>189</v>
      </c>
      <c r="D531" t="s">
        <v>190</v>
      </c>
      <c r="F531" s="7">
        <v>0</v>
      </c>
      <c r="G531" s="7">
        <v>1</v>
      </c>
      <c r="H531" s="3">
        <v>0</v>
      </c>
      <c r="I531">
        <f t="shared" si="114"/>
        <v>0</v>
      </c>
      <c r="J531">
        <f t="shared" si="114"/>
        <v>1</v>
      </c>
      <c r="K531">
        <v>3</v>
      </c>
      <c r="L531">
        <v>0</v>
      </c>
      <c r="M531">
        <f t="shared" si="81"/>
        <v>1751655</v>
      </c>
      <c r="N531">
        <f t="shared" si="82"/>
        <v>4180553.2</v>
      </c>
      <c r="O531">
        <f t="shared" si="83"/>
        <v>4795426.2</v>
      </c>
      <c r="P531">
        <f t="shared" si="84"/>
        <v>13007666</v>
      </c>
      <c r="Q531">
        <f t="shared" si="85"/>
        <v>4283303.4000000004</v>
      </c>
      <c r="R531">
        <f t="shared" si="86"/>
        <v>2577124.7999999998</v>
      </c>
      <c r="S531">
        <f t="shared" si="87"/>
        <v>6371674.4000000004</v>
      </c>
      <c r="T531">
        <f t="shared" si="88"/>
        <v>4515810.5999999996</v>
      </c>
      <c r="U531">
        <f t="shared" si="89"/>
        <v>3850872.2</v>
      </c>
      <c r="V531">
        <f t="shared" si="90"/>
        <v>9548549.1999999993</v>
      </c>
      <c r="W531">
        <f t="shared" si="91"/>
        <v>4840221.4000000004</v>
      </c>
      <c r="Y531">
        <f t="shared" si="92"/>
        <v>1.796282715804409</v>
      </c>
      <c r="Z531">
        <f t="shared" si="93"/>
        <v>3.4998923108214508</v>
      </c>
      <c r="AA531">
        <f t="shared" si="94"/>
        <v>3.7841084898333071</v>
      </c>
      <c r="AB531">
        <f t="shared" si="95"/>
        <v>8.5700211472052619</v>
      </c>
      <c r="AC531">
        <f t="shared" si="96"/>
        <v>3.114921223791316</v>
      </c>
      <c r="AD531">
        <f t="shared" si="97"/>
        <v>2.4939366825856268</v>
      </c>
      <c r="AE531">
        <f t="shared" si="98"/>
        <v>4.6586559128132654</v>
      </c>
      <c r="AF531">
        <f t="shared" si="99"/>
        <v>2.158064924227074</v>
      </c>
      <c r="AG531">
        <f t="shared" si="100"/>
        <v>2.4356172384927048</v>
      </c>
      <c r="AH531">
        <f t="shared" si="101"/>
        <v>5.5345446320134224</v>
      </c>
      <c r="AI531">
        <f t="shared" si="102"/>
        <v>6.8387097206432372</v>
      </c>
      <c r="AK531">
        <f t="shared" si="103"/>
        <v>1.796282715804409</v>
      </c>
      <c r="AL531">
        <f t="shared" si="104"/>
        <v>1.4320068640052339</v>
      </c>
      <c r="AM531">
        <f t="shared" si="105"/>
        <v>1.718224005412776</v>
      </c>
      <c r="AN531">
        <f t="shared" si="106"/>
        <v>8.5700211472052619</v>
      </c>
      <c r="AO531">
        <f t="shared" si="107"/>
        <v>1.429928288998781</v>
      </c>
      <c r="AP531">
        <f t="shared" si="108"/>
        <v>2.4939366825856268</v>
      </c>
      <c r="AQ531">
        <f t="shared" si="109"/>
        <v>2.121813872212079</v>
      </c>
      <c r="AR531">
        <f t="shared" si="110"/>
        <v>1.2577680694288571</v>
      </c>
      <c r="AS531">
        <f t="shared" si="111"/>
        <v>0.56599441439611842</v>
      </c>
      <c r="AT531">
        <f t="shared" si="112"/>
        <v>5.5345446320134224</v>
      </c>
      <c r="AU531">
        <f t="shared" si="113"/>
        <v>5.1150098294019699</v>
      </c>
    </row>
    <row r="532" spans="1:47" x14ac:dyDescent="0.3">
      <c r="A532">
        <v>12</v>
      </c>
      <c r="B532" t="s">
        <v>198</v>
      </c>
      <c r="C532" t="s">
        <v>199</v>
      </c>
      <c r="D532" t="s">
        <v>200</v>
      </c>
      <c r="F532" s="7">
        <v>0</v>
      </c>
      <c r="G532" s="7">
        <v>0</v>
      </c>
      <c r="H532" s="3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317340.2</v>
      </c>
      <c r="O532">
        <f t="shared" si="83"/>
        <v>317325.40000000002</v>
      </c>
      <c r="P532">
        <f t="shared" si="84"/>
        <v>2794601</v>
      </c>
      <c r="Q532">
        <f t="shared" si="85"/>
        <v>212900.6</v>
      </c>
      <c r="R532">
        <f t="shared" si="86"/>
        <v>6701116.2000000002</v>
      </c>
      <c r="S532">
        <f t="shared" si="87"/>
        <v>18847.599999999999</v>
      </c>
      <c r="T532">
        <f t="shared" si="88"/>
        <v>2911592.8</v>
      </c>
      <c r="U532">
        <f t="shared" si="89"/>
        <v>2260351.2000000002</v>
      </c>
      <c r="V532">
        <f t="shared" si="90"/>
        <v>2600042.6</v>
      </c>
      <c r="W532">
        <f t="shared" si="91"/>
        <v>91707.199999999997</v>
      </c>
      <c r="Y532">
        <f t="shared" si="92"/>
        <v>1.855321812804323</v>
      </c>
      <c r="Z532">
        <f t="shared" si="93"/>
        <v>0.57453053959179667</v>
      </c>
      <c r="AA532">
        <f t="shared" si="94"/>
        <v>0.56863203078974034</v>
      </c>
      <c r="AB532">
        <f t="shared" si="95"/>
        <v>2.0499335161992351</v>
      </c>
      <c r="AC532">
        <f t="shared" si="96"/>
        <v>0.55180278519983406</v>
      </c>
      <c r="AD532">
        <f t="shared" si="97"/>
        <v>4.0020184607827103</v>
      </c>
      <c r="AE532">
        <f t="shared" si="98"/>
        <v>0.36399243155028671</v>
      </c>
      <c r="AF532">
        <f t="shared" si="99"/>
        <v>0.58143689917633312</v>
      </c>
      <c r="AG532">
        <f t="shared" si="100"/>
        <v>0.80180975057883186</v>
      </c>
      <c r="AH532">
        <f t="shared" si="101"/>
        <v>3.0935248856199911</v>
      </c>
      <c r="AI532">
        <f t="shared" si="102"/>
        <v>0.67739123493665832</v>
      </c>
      <c r="AK532">
        <f t="shared" si="103"/>
        <v>1.855321812804323</v>
      </c>
      <c r="AL532">
        <f t="shared" si="104"/>
        <v>0.30096369360107927</v>
      </c>
      <c r="AM532">
        <f t="shared" si="105"/>
        <v>0.29347286578267812</v>
      </c>
      <c r="AN532">
        <f t="shared" si="106"/>
        <v>2.0499335161992351</v>
      </c>
      <c r="AO532">
        <f t="shared" si="107"/>
        <v>0.29988527998793868</v>
      </c>
      <c r="AP532">
        <f t="shared" si="108"/>
        <v>4.0020184607827103</v>
      </c>
      <c r="AQ532">
        <f t="shared" si="109"/>
        <v>0.26701850678073241</v>
      </c>
      <c r="AR532">
        <f t="shared" si="110"/>
        <v>0.3370880783651955</v>
      </c>
      <c r="AS532">
        <f t="shared" si="111"/>
        <v>0.28875060585560269</v>
      </c>
      <c r="AT532">
        <f t="shared" si="112"/>
        <v>3.0935248856199911</v>
      </c>
      <c r="AU532">
        <f t="shared" si="113"/>
        <v>0.36010057218372821</v>
      </c>
    </row>
    <row r="533" spans="1:47" x14ac:dyDescent="0.3">
      <c r="A533">
        <v>12</v>
      </c>
      <c r="B533" t="s">
        <v>201</v>
      </c>
      <c r="C533" t="s">
        <v>199</v>
      </c>
      <c r="D533" t="s">
        <v>200</v>
      </c>
      <c r="F533" s="7">
        <v>0</v>
      </c>
      <c r="G533" s="7">
        <v>1</v>
      </c>
      <c r="H533" s="3">
        <v>0</v>
      </c>
      <c r="I533">
        <f t="shared" si="114"/>
        <v>0</v>
      </c>
      <c r="J533">
        <f t="shared" si="114"/>
        <v>1</v>
      </c>
      <c r="K533">
        <v>2</v>
      </c>
      <c r="L533">
        <v>0</v>
      </c>
      <c r="M533">
        <f t="shared" si="81"/>
        <v>200165.6</v>
      </c>
      <c r="N533">
        <f t="shared" si="82"/>
        <v>1485534.6</v>
      </c>
      <c r="O533">
        <f t="shared" si="83"/>
        <v>1486091</v>
      </c>
      <c r="P533">
        <f t="shared" si="84"/>
        <v>200002.8</v>
      </c>
      <c r="Q533">
        <f t="shared" si="85"/>
        <v>3869178</v>
      </c>
      <c r="R533">
        <f t="shared" si="86"/>
        <v>12</v>
      </c>
      <c r="S533">
        <f t="shared" si="87"/>
        <v>2337824.6</v>
      </c>
      <c r="T533">
        <f t="shared" si="88"/>
        <v>2908702.6</v>
      </c>
      <c r="U533">
        <f t="shared" si="89"/>
        <v>2322225</v>
      </c>
      <c r="V533">
        <f t="shared" si="90"/>
        <v>494.8</v>
      </c>
      <c r="W533">
        <f t="shared" si="91"/>
        <v>5567271.5999999996</v>
      </c>
      <c r="Y533">
        <f t="shared" si="92"/>
        <v>0.25470892059383909</v>
      </c>
      <c r="Z533">
        <f t="shared" si="93"/>
        <v>1.5814172884216531</v>
      </c>
      <c r="AA533">
        <f t="shared" si="94"/>
        <v>1.5753434766433201</v>
      </c>
      <c r="AB533">
        <f t="shared" si="95"/>
        <v>0.27464790380327031</v>
      </c>
      <c r="AC533">
        <f t="shared" si="96"/>
        <v>2.6120558371942031</v>
      </c>
      <c r="AD533">
        <f t="shared" si="97"/>
        <v>8.9586661802604745E-2</v>
      </c>
      <c r="AE533">
        <f t="shared" si="98"/>
        <v>1.7739029857912101</v>
      </c>
      <c r="AF533">
        <f t="shared" si="99"/>
        <v>0.58893900377443065</v>
      </c>
      <c r="AG533">
        <f t="shared" si="100"/>
        <v>0.83856772596482188</v>
      </c>
      <c r="AH533">
        <f t="shared" si="101"/>
        <v>5.5157610215245999E-3</v>
      </c>
      <c r="AI533">
        <f t="shared" si="102"/>
        <v>4.3045718753826803</v>
      </c>
      <c r="AK533">
        <f t="shared" si="103"/>
        <v>0.25470892059383909</v>
      </c>
      <c r="AL533">
        <f t="shared" si="104"/>
        <v>0.54659470099722962</v>
      </c>
      <c r="AM533">
        <f t="shared" si="105"/>
        <v>0.53875152881955723</v>
      </c>
      <c r="AN533">
        <f t="shared" si="106"/>
        <v>0.27464790380327031</v>
      </c>
      <c r="AO533">
        <f t="shared" si="107"/>
        <v>0.88932420498458664</v>
      </c>
      <c r="AP533">
        <f t="shared" si="108"/>
        <v>8.9586661802604745E-2</v>
      </c>
      <c r="AQ533">
        <f t="shared" si="109"/>
        <v>0.63553527618059891</v>
      </c>
      <c r="AR533">
        <f t="shared" si="110"/>
        <v>0.34266180179547512</v>
      </c>
      <c r="AS533">
        <f t="shared" si="111"/>
        <v>0.30269959538709368</v>
      </c>
      <c r="AT533">
        <f t="shared" si="112"/>
        <v>5.5157610215245999E-3</v>
      </c>
      <c r="AU533">
        <f t="shared" si="113"/>
        <v>2.4362370241782632</v>
      </c>
    </row>
    <row r="534" spans="1:47" x14ac:dyDescent="0.3">
      <c r="A534">
        <v>12</v>
      </c>
      <c r="B534" t="s">
        <v>202</v>
      </c>
      <c r="C534" t="s">
        <v>199</v>
      </c>
      <c r="D534" t="s">
        <v>200</v>
      </c>
      <c r="F534" s="7">
        <v>0</v>
      </c>
      <c r="G534" s="7">
        <v>1</v>
      </c>
      <c r="H534" s="3">
        <v>0</v>
      </c>
      <c r="I534">
        <f t="shared" si="114"/>
        <v>0</v>
      </c>
      <c r="J534">
        <f t="shared" si="114"/>
        <v>1</v>
      </c>
      <c r="K534">
        <v>2</v>
      </c>
      <c r="L534">
        <v>0</v>
      </c>
      <c r="M534">
        <f t="shared" si="81"/>
        <v>201795.6</v>
      </c>
      <c r="N534">
        <f t="shared" si="82"/>
        <v>1517931.6</v>
      </c>
      <c r="O534">
        <f t="shared" si="83"/>
        <v>1518501.8</v>
      </c>
      <c r="P534">
        <f t="shared" si="84"/>
        <v>200144.2</v>
      </c>
      <c r="Q534">
        <f t="shared" si="85"/>
        <v>4442947.5999999996</v>
      </c>
      <c r="R534">
        <f t="shared" si="86"/>
        <v>308.39999999999998</v>
      </c>
      <c r="S534">
        <f t="shared" si="87"/>
        <v>2284982.2000000002</v>
      </c>
      <c r="T534">
        <f t="shared" si="88"/>
        <v>2909734.6</v>
      </c>
      <c r="U534">
        <f t="shared" si="89"/>
        <v>2311707.7999999998</v>
      </c>
      <c r="V534">
        <f t="shared" si="90"/>
        <v>2730.2</v>
      </c>
      <c r="W534">
        <f t="shared" si="91"/>
        <v>5418859</v>
      </c>
      <c r="Y534">
        <f t="shared" si="92"/>
        <v>0.27520837719785052</v>
      </c>
      <c r="Z534">
        <f t="shared" si="93"/>
        <v>1.59876314944122</v>
      </c>
      <c r="AA534">
        <f t="shared" si="94"/>
        <v>1.6062035203096461</v>
      </c>
      <c r="AB534">
        <f t="shared" si="95"/>
        <v>0.30524662099778649</v>
      </c>
      <c r="AC534">
        <f t="shared" si="96"/>
        <v>2.68806267157197</v>
      </c>
      <c r="AD534">
        <f t="shared" si="97"/>
        <v>8.9367723814211722E-2</v>
      </c>
      <c r="AE534">
        <f t="shared" si="98"/>
        <v>1.7641070647980091</v>
      </c>
      <c r="AF534">
        <f t="shared" si="99"/>
        <v>0.58653913955204184</v>
      </c>
      <c r="AG534">
        <f t="shared" si="100"/>
        <v>0.82843031963566316</v>
      </c>
      <c r="AH534">
        <f t="shared" si="101"/>
        <v>1.7050219012889979E-2</v>
      </c>
      <c r="AI534">
        <f t="shared" si="102"/>
        <v>4.1953681261627933</v>
      </c>
      <c r="AK534">
        <f t="shared" si="103"/>
        <v>0.27520837719785052</v>
      </c>
      <c r="AL534">
        <f t="shared" si="104"/>
        <v>0.56516452420037244</v>
      </c>
      <c r="AM534">
        <f t="shared" si="105"/>
        <v>0.57007620717631657</v>
      </c>
      <c r="AN534">
        <f t="shared" si="106"/>
        <v>0.30524662099778649</v>
      </c>
      <c r="AO534">
        <f t="shared" si="107"/>
        <v>0.87653036397532558</v>
      </c>
      <c r="AP534">
        <f t="shared" si="108"/>
        <v>8.9367723814211722E-2</v>
      </c>
      <c r="AQ534">
        <f t="shared" si="109"/>
        <v>0.62904223860241471</v>
      </c>
      <c r="AR534">
        <f t="shared" si="110"/>
        <v>0.33874444476095961</v>
      </c>
      <c r="AS534">
        <f t="shared" si="111"/>
        <v>0.30003708265721801</v>
      </c>
      <c r="AT534">
        <f t="shared" si="112"/>
        <v>1.7050219012889979E-2</v>
      </c>
      <c r="AU534">
        <f t="shared" si="113"/>
        <v>2.4135133814066649</v>
      </c>
    </row>
    <row r="535" spans="1:47" x14ac:dyDescent="0.3">
      <c r="A535">
        <v>12</v>
      </c>
      <c r="B535" t="s">
        <v>203</v>
      </c>
      <c r="C535" t="s">
        <v>199</v>
      </c>
      <c r="D535" t="s">
        <v>200</v>
      </c>
      <c r="F535" s="7">
        <v>0</v>
      </c>
      <c r="G535" s="7">
        <v>0</v>
      </c>
      <c r="H535" s="3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310811.59999999998</v>
      </c>
      <c r="O535">
        <f t="shared" si="83"/>
        <v>310800.40000000002</v>
      </c>
      <c r="P535">
        <f t="shared" si="84"/>
        <v>5993733.5999999996</v>
      </c>
      <c r="Q535">
        <f t="shared" si="85"/>
        <v>225541.6</v>
      </c>
      <c r="R535">
        <f t="shared" si="86"/>
        <v>5685799</v>
      </c>
      <c r="S535">
        <f t="shared" si="87"/>
        <v>26825.4</v>
      </c>
      <c r="T535">
        <f t="shared" si="88"/>
        <v>2912351</v>
      </c>
      <c r="U535">
        <f t="shared" si="89"/>
        <v>2263912.4</v>
      </c>
      <c r="V535">
        <f t="shared" si="90"/>
        <v>7909143.7999999998</v>
      </c>
      <c r="W535">
        <f t="shared" si="91"/>
        <v>131479.79999999999</v>
      </c>
      <c r="Y535">
        <f t="shared" si="92"/>
        <v>1.892753508989699</v>
      </c>
      <c r="Z535">
        <f t="shared" si="93"/>
        <v>0.57720879542175685</v>
      </c>
      <c r="AA535">
        <f t="shared" si="94"/>
        <v>0.57398639841703702</v>
      </c>
      <c r="AB535">
        <f t="shared" si="95"/>
        <v>3.5641913257946731</v>
      </c>
      <c r="AC535">
        <f t="shared" si="96"/>
        <v>0.53373220319044778</v>
      </c>
      <c r="AD535">
        <f t="shared" si="97"/>
        <v>3.9127626775996762</v>
      </c>
      <c r="AE535">
        <f t="shared" si="98"/>
        <v>0.36660833961796008</v>
      </c>
      <c r="AF535">
        <f t="shared" si="99"/>
        <v>0.58404462562175463</v>
      </c>
      <c r="AG535">
        <f t="shared" si="100"/>
        <v>0.80869012788170946</v>
      </c>
      <c r="AH535">
        <f t="shared" si="101"/>
        <v>4.1253112927777691</v>
      </c>
      <c r="AI535">
        <f t="shared" si="102"/>
        <v>0.66520866816863422</v>
      </c>
      <c r="AK535">
        <f t="shared" si="103"/>
        <v>1.892753508989699</v>
      </c>
      <c r="AL535">
        <f t="shared" si="104"/>
        <v>0.30376858041854571</v>
      </c>
      <c r="AM535">
        <f t="shared" si="105"/>
        <v>0.29983111841138449</v>
      </c>
      <c r="AN535">
        <f t="shared" si="106"/>
        <v>3.5641913257946731</v>
      </c>
      <c r="AO535">
        <f t="shared" si="107"/>
        <v>0.28671261278796012</v>
      </c>
      <c r="AP535">
        <f t="shared" si="108"/>
        <v>3.9127626775996762</v>
      </c>
      <c r="AQ535">
        <f t="shared" si="109"/>
        <v>0.27320859542815012</v>
      </c>
      <c r="AR535">
        <f t="shared" si="110"/>
        <v>0.34051210323814302</v>
      </c>
      <c r="AS535">
        <f t="shared" si="111"/>
        <v>0.29354446023935449</v>
      </c>
      <c r="AT535">
        <f t="shared" si="112"/>
        <v>4.1253112927777691</v>
      </c>
      <c r="AU535">
        <f t="shared" si="113"/>
        <v>0.34654375080717731</v>
      </c>
    </row>
    <row r="536" spans="1:47" x14ac:dyDescent="0.3">
      <c r="A536">
        <v>12</v>
      </c>
      <c r="B536" t="s">
        <v>204</v>
      </c>
      <c r="C536" t="s">
        <v>205</v>
      </c>
      <c r="D536" t="s">
        <v>206</v>
      </c>
      <c r="F536" s="7">
        <v>0</v>
      </c>
      <c r="G536" s="7">
        <v>0</v>
      </c>
      <c r="H536" s="3">
        <v>0</v>
      </c>
      <c r="I536">
        <f t="shared" si="114"/>
        <v>0</v>
      </c>
      <c r="J536">
        <f t="shared" si="114"/>
        <v>1</v>
      </c>
      <c r="K536">
        <v>3</v>
      </c>
      <c r="L536">
        <v>0</v>
      </c>
      <c r="M536">
        <f t="shared" si="81"/>
        <v>7301203.7999999998</v>
      </c>
      <c r="N536">
        <f t="shared" si="82"/>
        <v>2205179.2000000002</v>
      </c>
      <c r="O536">
        <f t="shared" si="83"/>
        <v>2204791.7999999998</v>
      </c>
      <c r="P536">
        <f t="shared" si="84"/>
        <v>8213772.5999999996</v>
      </c>
      <c r="Q536">
        <f t="shared" si="85"/>
        <v>853058.8</v>
      </c>
      <c r="R536">
        <f t="shared" si="86"/>
        <v>19778838.399999999</v>
      </c>
      <c r="S536">
        <f t="shared" si="87"/>
        <v>1290438.6000000001</v>
      </c>
      <c r="T536">
        <f t="shared" si="88"/>
        <v>9385951</v>
      </c>
      <c r="U536">
        <f t="shared" si="89"/>
        <v>4869280</v>
      </c>
      <c r="V536">
        <f t="shared" si="90"/>
        <v>8593867.5999999996</v>
      </c>
      <c r="W536">
        <f t="shared" si="91"/>
        <v>2069843</v>
      </c>
      <c r="Y536">
        <f t="shared" si="92"/>
        <v>5.5182222061906936</v>
      </c>
      <c r="Z536">
        <f t="shared" si="93"/>
        <v>1.969679648580495</v>
      </c>
      <c r="AA536">
        <f t="shared" si="94"/>
        <v>1.964140542596579</v>
      </c>
      <c r="AB536">
        <f t="shared" si="95"/>
        <v>5.4236718379950606</v>
      </c>
      <c r="AC536">
        <f t="shared" si="96"/>
        <v>1.255586022604257</v>
      </c>
      <c r="AD536">
        <f t="shared" si="97"/>
        <v>11.00145386480726</v>
      </c>
      <c r="AE536">
        <f t="shared" si="98"/>
        <v>1.6169373140204699</v>
      </c>
      <c r="AF536">
        <f t="shared" si="99"/>
        <v>5.6930129923624921</v>
      </c>
      <c r="AG536">
        <f t="shared" si="100"/>
        <v>3.1237973827985122</v>
      </c>
      <c r="AH536">
        <f t="shared" si="101"/>
        <v>4.9050364927970804</v>
      </c>
      <c r="AI536">
        <f t="shared" si="102"/>
        <v>3.0799241934320891</v>
      </c>
      <c r="AK536">
        <f t="shared" si="103"/>
        <v>5.5182222061906936</v>
      </c>
      <c r="AL536">
        <f t="shared" si="104"/>
        <v>0.72725163740105925</v>
      </c>
      <c r="AM536">
        <f t="shared" si="105"/>
        <v>0.72566371397115292</v>
      </c>
      <c r="AN536">
        <f t="shared" si="106"/>
        <v>5.4236718379950606</v>
      </c>
      <c r="AO536">
        <f t="shared" si="107"/>
        <v>0.53477510839584286</v>
      </c>
      <c r="AP536">
        <f t="shared" si="108"/>
        <v>11.00145386480726</v>
      </c>
      <c r="AQ536">
        <f t="shared" si="109"/>
        <v>0.64781384158413857</v>
      </c>
      <c r="AR536">
        <f t="shared" si="110"/>
        <v>3.9036080953897909</v>
      </c>
      <c r="AS536">
        <f t="shared" si="111"/>
        <v>0.6147783733787946</v>
      </c>
      <c r="AT536">
        <f t="shared" si="112"/>
        <v>4.9050364927970804</v>
      </c>
      <c r="AU536">
        <f t="shared" si="113"/>
        <v>1.5885756080038851</v>
      </c>
    </row>
    <row r="537" spans="1:47" x14ac:dyDescent="0.3">
      <c r="A537">
        <v>12</v>
      </c>
      <c r="B537" t="s">
        <v>207</v>
      </c>
      <c r="C537" t="s">
        <v>205</v>
      </c>
      <c r="D537" t="s">
        <v>206</v>
      </c>
      <c r="F537" s="7">
        <v>0</v>
      </c>
      <c r="G537" s="7">
        <v>1</v>
      </c>
      <c r="H537" s="3">
        <v>0</v>
      </c>
      <c r="I537">
        <f t="shared" si="114"/>
        <v>0</v>
      </c>
      <c r="J537">
        <f t="shared" si="114"/>
        <v>1</v>
      </c>
      <c r="K537">
        <v>3</v>
      </c>
      <c r="L537">
        <v>0</v>
      </c>
      <c r="M537">
        <f t="shared" si="81"/>
        <v>442474.6</v>
      </c>
      <c r="N537">
        <f t="shared" si="82"/>
        <v>2512735</v>
      </c>
      <c r="O537">
        <f t="shared" si="83"/>
        <v>2570383</v>
      </c>
      <c r="P537">
        <f t="shared" si="84"/>
        <v>1415030</v>
      </c>
      <c r="Q537">
        <f t="shared" si="85"/>
        <v>1875687.6</v>
      </c>
      <c r="R537">
        <f t="shared" si="86"/>
        <v>629964.6</v>
      </c>
      <c r="S537">
        <f t="shared" si="87"/>
        <v>2881445.4</v>
      </c>
      <c r="T537">
        <f t="shared" si="88"/>
        <v>3016530.6</v>
      </c>
      <c r="U537">
        <f t="shared" si="89"/>
        <v>3491747.6</v>
      </c>
      <c r="V537">
        <f t="shared" si="90"/>
        <v>2673065.6</v>
      </c>
      <c r="W537">
        <f t="shared" si="91"/>
        <v>6828229.7999999998</v>
      </c>
      <c r="Y537">
        <f t="shared" si="92"/>
        <v>0.69897584217833353</v>
      </c>
      <c r="Z537">
        <f t="shared" si="93"/>
        <v>2.622306421189569</v>
      </c>
      <c r="AA537">
        <f t="shared" si="94"/>
        <v>2.6367419521207922</v>
      </c>
      <c r="AB537">
        <f t="shared" si="95"/>
        <v>1.764029261202086</v>
      </c>
      <c r="AC537">
        <f t="shared" si="96"/>
        <v>2.7663685614126741</v>
      </c>
      <c r="AD537">
        <f t="shared" si="97"/>
        <v>0.96130705960094931</v>
      </c>
      <c r="AE537">
        <f t="shared" si="98"/>
        <v>2.1755171302938829</v>
      </c>
      <c r="AF537">
        <f t="shared" si="99"/>
        <v>0.93416195380268618</v>
      </c>
      <c r="AG537">
        <f t="shared" si="100"/>
        <v>2.2374284273711971</v>
      </c>
      <c r="AH537">
        <f t="shared" si="101"/>
        <v>3.3524133423808959</v>
      </c>
      <c r="AI537">
        <f t="shared" si="102"/>
        <v>6.1141688875271942</v>
      </c>
      <c r="AK537">
        <f t="shared" si="103"/>
        <v>0.69897584217833353</v>
      </c>
      <c r="AL537">
        <f t="shared" si="104"/>
        <v>1.085511656780727</v>
      </c>
      <c r="AM537">
        <f t="shared" si="105"/>
        <v>1.1053712100139821</v>
      </c>
      <c r="AN537">
        <f t="shared" si="106"/>
        <v>1.764029261202086</v>
      </c>
      <c r="AO537">
        <f t="shared" si="107"/>
        <v>1.2178488844074311</v>
      </c>
      <c r="AP537">
        <f t="shared" si="108"/>
        <v>0.96130705960094931</v>
      </c>
      <c r="AQ537">
        <f t="shared" si="109"/>
        <v>1.01384844064014</v>
      </c>
      <c r="AR537">
        <f t="shared" si="110"/>
        <v>0.58651512340875345</v>
      </c>
      <c r="AS537">
        <f t="shared" si="111"/>
        <v>0.5651494535850361</v>
      </c>
      <c r="AT537">
        <f t="shared" si="112"/>
        <v>3.3524133423808959</v>
      </c>
      <c r="AU537">
        <f t="shared" si="113"/>
        <v>4.3990057893912304</v>
      </c>
    </row>
    <row r="538" spans="1:47" x14ac:dyDescent="0.3">
      <c r="A538">
        <v>12</v>
      </c>
      <c r="B538" t="s">
        <v>208</v>
      </c>
      <c r="C538" t="s">
        <v>205</v>
      </c>
      <c r="D538" t="s">
        <v>206</v>
      </c>
      <c r="F538" s="7">
        <v>0</v>
      </c>
      <c r="G538" s="7">
        <v>1</v>
      </c>
      <c r="H538" s="3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>
        <f t="shared" si="81"/>
        <v>487726.2</v>
      </c>
      <c r="N538">
        <f t="shared" si="82"/>
        <v>7092958</v>
      </c>
      <c r="O538">
        <f t="shared" si="83"/>
        <v>7264417.7999999998</v>
      </c>
      <c r="P538">
        <f t="shared" si="84"/>
        <v>910521</v>
      </c>
      <c r="Q538">
        <f t="shared" si="85"/>
        <v>7348578.7999999998</v>
      </c>
      <c r="R538">
        <f t="shared" si="86"/>
        <v>838831.6</v>
      </c>
      <c r="S538">
        <f t="shared" si="87"/>
        <v>8878657</v>
      </c>
      <c r="T538">
        <f t="shared" si="88"/>
        <v>3125131.4</v>
      </c>
      <c r="U538">
        <f t="shared" si="89"/>
        <v>3640970.8</v>
      </c>
      <c r="V538">
        <f t="shared" si="90"/>
        <v>1858875.6</v>
      </c>
      <c r="W538">
        <f t="shared" si="91"/>
        <v>13487861</v>
      </c>
      <c r="Y538">
        <f t="shared" si="92"/>
        <v>0.82848567840410392</v>
      </c>
      <c r="Z538">
        <f t="shared" si="93"/>
        <v>5.8245263447868636</v>
      </c>
      <c r="AA538">
        <f t="shared" si="94"/>
        <v>5.9459275792236443</v>
      </c>
      <c r="AB538">
        <f t="shared" si="95"/>
        <v>1.02365637299954</v>
      </c>
      <c r="AC538">
        <f t="shared" si="96"/>
        <v>6.9473168760014232</v>
      </c>
      <c r="AD538">
        <f t="shared" si="97"/>
        <v>1.2095227634068579</v>
      </c>
      <c r="AE538">
        <f t="shared" si="98"/>
        <v>5.9831633718335073</v>
      </c>
      <c r="AF538">
        <f t="shared" si="99"/>
        <v>1.050626336608548</v>
      </c>
      <c r="AG538">
        <f t="shared" si="100"/>
        <v>2.3506025511538611</v>
      </c>
      <c r="AH538">
        <f t="shared" si="101"/>
        <v>3.051550074410625</v>
      </c>
      <c r="AI538">
        <f t="shared" si="102"/>
        <v>13.987256445223469</v>
      </c>
      <c r="AK538">
        <f t="shared" si="103"/>
        <v>0.82848567840410392</v>
      </c>
      <c r="AL538">
        <f t="shared" si="104"/>
        <v>2.996582766610663</v>
      </c>
      <c r="AM538">
        <f t="shared" si="105"/>
        <v>3.1028575498261488</v>
      </c>
      <c r="AN538">
        <f t="shared" si="106"/>
        <v>1.02365637299954</v>
      </c>
      <c r="AO538">
        <f t="shared" si="107"/>
        <v>3.9565628292039041</v>
      </c>
      <c r="AP538">
        <f t="shared" si="108"/>
        <v>1.2095227634068579</v>
      </c>
      <c r="AQ538">
        <f t="shared" si="109"/>
        <v>3.126611736824271</v>
      </c>
      <c r="AR538">
        <f t="shared" si="110"/>
        <v>0.64022362120449539</v>
      </c>
      <c r="AS538">
        <f t="shared" si="111"/>
        <v>0.60751385500188915</v>
      </c>
      <c r="AT538">
        <f t="shared" si="112"/>
        <v>3.051550074410625</v>
      </c>
      <c r="AU538">
        <f t="shared" si="113"/>
        <v>11.189700270188039</v>
      </c>
    </row>
    <row r="539" spans="1:47" x14ac:dyDescent="0.3">
      <c r="A539">
        <v>12</v>
      </c>
      <c r="B539" t="s">
        <v>209</v>
      </c>
      <c r="C539" t="s">
        <v>205</v>
      </c>
      <c r="D539" t="s">
        <v>206</v>
      </c>
      <c r="F539" s="7">
        <v>0</v>
      </c>
      <c r="G539" s="7">
        <v>0</v>
      </c>
      <c r="H539" s="3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2250769.7999999998</v>
      </c>
      <c r="O539">
        <f t="shared" si="83"/>
        <v>2253644.7999999998</v>
      </c>
      <c r="P539">
        <f t="shared" si="84"/>
        <v>10277063.199999999</v>
      </c>
      <c r="Q539">
        <f t="shared" si="85"/>
        <v>1035119.2</v>
      </c>
      <c r="R539">
        <f t="shared" si="86"/>
        <v>15865753</v>
      </c>
      <c r="S539">
        <f t="shared" si="87"/>
        <v>1445638.2</v>
      </c>
      <c r="T539">
        <f t="shared" si="88"/>
        <v>9444111</v>
      </c>
      <c r="U539">
        <f t="shared" si="89"/>
        <v>4907112.5999999996</v>
      </c>
      <c r="V539">
        <f t="shared" si="90"/>
        <v>10692161.6</v>
      </c>
      <c r="W539">
        <f t="shared" si="91"/>
        <v>2437908.2000000002</v>
      </c>
      <c r="Y539">
        <f t="shared" si="92"/>
        <v>5.7493442108039741</v>
      </c>
      <c r="Z539">
        <f t="shared" si="93"/>
        <v>1.993373838206753</v>
      </c>
      <c r="AA539">
        <f t="shared" si="94"/>
        <v>1.9964378686156119</v>
      </c>
      <c r="AB539">
        <f t="shared" si="95"/>
        <v>7.6330107824061999</v>
      </c>
      <c r="AC539">
        <f t="shared" si="96"/>
        <v>1.365952914598165</v>
      </c>
      <c r="AD539">
        <f t="shared" si="97"/>
        <v>11.315698281012009</v>
      </c>
      <c r="AE539">
        <f t="shared" si="98"/>
        <v>1.6922404386103149</v>
      </c>
      <c r="AF539">
        <f t="shared" si="99"/>
        <v>5.7670037728152241</v>
      </c>
      <c r="AG539">
        <f t="shared" si="100"/>
        <v>3.1820171535597179</v>
      </c>
      <c r="AH539">
        <f t="shared" si="101"/>
        <v>5.6354173079831522</v>
      </c>
      <c r="AI539">
        <f t="shared" si="102"/>
        <v>3.22087976943003</v>
      </c>
      <c r="AK539">
        <f t="shared" si="103"/>
        <v>5.7493442108039741</v>
      </c>
      <c r="AL539">
        <f t="shared" si="104"/>
        <v>0.74484760061604904</v>
      </c>
      <c r="AM539">
        <f t="shared" si="105"/>
        <v>0.74780174536863342</v>
      </c>
      <c r="AN539">
        <f t="shared" si="106"/>
        <v>7.6330107824061999</v>
      </c>
      <c r="AO539">
        <f t="shared" si="107"/>
        <v>0.57127248460310509</v>
      </c>
      <c r="AP539">
        <f t="shared" si="108"/>
        <v>11.315698281012009</v>
      </c>
      <c r="AQ539">
        <f t="shared" si="109"/>
        <v>0.72587414741283285</v>
      </c>
      <c r="AR539">
        <f t="shared" si="110"/>
        <v>3.9583560660132209</v>
      </c>
      <c r="AS539">
        <f t="shared" si="111"/>
        <v>0.62062611415749414</v>
      </c>
      <c r="AT539">
        <f t="shared" si="112"/>
        <v>5.6354173079831522</v>
      </c>
      <c r="AU539">
        <f t="shared" si="113"/>
        <v>1.722263360000216</v>
      </c>
    </row>
    <row r="540" spans="1:47" x14ac:dyDescent="0.3">
      <c r="A540">
        <v>12</v>
      </c>
      <c r="B540" t="s">
        <v>210</v>
      </c>
      <c r="C540" t="s">
        <v>205</v>
      </c>
      <c r="D540" t="s">
        <v>206</v>
      </c>
      <c r="F540" s="7">
        <v>0</v>
      </c>
      <c r="G540" s="7">
        <v>1</v>
      </c>
      <c r="H540" s="3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2224850.4</v>
      </c>
      <c r="O540">
        <f t="shared" si="83"/>
        <v>2233913.6</v>
      </c>
      <c r="P540">
        <f t="shared" si="84"/>
        <v>14509706.199999999</v>
      </c>
      <c r="Q540">
        <f t="shared" si="85"/>
        <v>695220</v>
      </c>
      <c r="R540">
        <f t="shared" si="86"/>
        <v>9623035</v>
      </c>
      <c r="S540">
        <f t="shared" si="87"/>
        <v>1125657.2</v>
      </c>
      <c r="T540">
        <f t="shared" si="88"/>
        <v>9388318.8000000007</v>
      </c>
      <c r="U540">
        <f t="shared" si="89"/>
        <v>4863463.4000000004</v>
      </c>
      <c r="V540">
        <f t="shared" si="90"/>
        <v>9349243.1999999993</v>
      </c>
      <c r="W540">
        <f t="shared" si="91"/>
        <v>2027564</v>
      </c>
      <c r="Y540">
        <f t="shared" si="92"/>
        <v>5.9512103569926698</v>
      </c>
      <c r="Z540">
        <f t="shared" si="93"/>
        <v>1.9510206558159551</v>
      </c>
      <c r="AA540">
        <f t="shared" si="94"/>
        <v>1.9487941590137781</v>
      </c>
      <c r="AB540">
        <f t="shared" si="95"/>
        <v>10.52009819840314</v>
      </c>
      <c r="AC540">
        <f t="shared" si="96"/>
        <v>1.244485746591818</v>
      </c>
      <c r="AD540">
        <f t="shared" si="97"/>
        <v>7.5305662588099951</v>
      </c>
      <c r="AE540">
        <f t="shared" si="98"/>
        <v>1.467315215570852</v>
      </c>
      <c r="AF540">
        <f t="shared" si="99"/>
        <v>5.6851373778306877</v>
      </c>
      <c r="AG540">
        <f t="shared" si="100"/>
        <v>3.10900896055391</v>
      </c>
      <c r="AH540">
        <f t="shared" si="101"/>
        <v>5.2290184640209194</v>
      </c>
      <c r="AI540">
        <f t="shared" si="102"/>
        <v>2.867609412001912</v>
      </c>
      <c r="AK540">
        <f t="shared" si="103"/>
        <v>5.9512103569926698</v>
      </c>
      <c r="AL540">
        <f t="shared" si="104"/>
        <v>0.73135811220854519</v>
      </c>
      <c r="AM540">
        <f t="shared" si="105"/>
        <v>0.7318595275632106</v>
      </c>
      <c r="AN540">
        <f t="shared" si="106"/>
        <v>10.52009819840314</v>
      </c>
      <c r="AO540">
        <f t="shared" si="107"/>
        <v>0.57095092920353641</v>
      </c>
      <c r="AP540">
        <f t="shared" si="108"/>
        <v>7.5305662588099951</v>
      </c>
      <c r="AQ540">
        <f t="shared" si="109"/>
        <v>0.61593948777299379</v>
      </c>
      <c r="AR540">
        <f t="shared" si="110"/>
        <v>3.8947356738150121</v>
      </c>
      <c r="AS540">
        <f t="shared" si="111"/>
        <v>0.60746122758137067</v>
      </c>
      <c r="AT540">
        <f t="shared" si="112"/>
        <v>5.2290184640209194</v>
      </c>
      <c r="AU540">
        <f t="shared" si="113"/>
        <v>1.491458789212629</v>
      </c>
    </row>
    <row r="541" spans="1:47" x14ac:dyDescent="0.3">
      <c r="A541">
        <v>12</v>
      </c>
      <c r="B541" t="s">
        <v>211</v>
      </c>
      <c r="C541" t="s">
        <v>205</v>
      </c>
      <c r="D541" t="s">
        <v>206</v>
      </c>
      <c r="F541" s="7">
        <v>0</v>
      </c>
      <c r="G541" s="7">
        <v>0</v>
      </c>
      <c r="H541" s="3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>
        <f t="shared" si="81"/>
        <v>269251.40000000002</v>
      </c>
      <c r="N541">
        <f t="shared" si="82"/>
        <v>6873117.2000000002</v>
      </c>
      <c r="O541">
        <f t="shared" si="83"/>
        <v>6868949.7999999998</v>
      </c>
      <c r="P541">
        <f t="shared" si="84"/>
        <v>463118.8</v>
      </c>
      <c r="Q541">
        <f t="shared" si="85"/>
        <v>7723951.7999999998</v>
      </c>
      <c r="R541">
        <f t="shared" si="86"/>
        <v>99494</v>
      </c>
      <c r="S541">
        <f t="shared" si="87"/>
        <v>7968587.7999999998</v>
      </c>
      <c r="T541">
        <f t="shared" si="88"/>
        <v>3012197.6</v>
      </c>
      <c r="U541">
        <f t="shared" si="89"/>
        <v>3602995</v>
      </c>
      <c r="V541">
        <f t="shared" si="90"/>
        <v>160465.20000000001</v>
      </c>
      <c r="W541">
        <f t="shared" si="91"/>
        <v>10817141.199999999</v>
      </c>
      <c r="Y541">
        <f t="shared" si="92"/>
        <v>0.43820244099479172</v>
      </c>
      <c r="Z541">
        <f t="shared" si="93"/>
        <v>5.5866801846073937</v>
      </c>
      <c r="AA541">
        <f t="shared" si="94"/>
        <v>5.5756597656058151</v>
      </c>
      <c r="AB541">
        <f t="shared" si="95"/>
        <v>0.70235626880312341</v>
      </c>
      <c r="AC541">
        <f t="shared" si="96"/>
        <v>6.8410151959862562</v>
      </c>
      <c r="AD541">
        <f t="shared" si="97"/>
        <v>0.26750100118806591</v>
      </c>
      <c r="AE541">
        <f t="shared" si="98"/>
        <v>5.6798017271677974</v>
      </c>
      <c r="AF541">
        <f t="shared" si="99"/>
        <v>0.92499070217600088</v>
      </c>
      <c r="AG541">
        <f t="shared" si="100"/>
        <v>2.3245594562147738</v>
      </c>
      <c r="AH541">
        <f t="shared" si="101"/>
        <v>0.54822632300201801</v>
      </c>
      <c r="AI541">
        <f t="shared" si="102"/>
        <v>13.0504895877908</v>
      </c>
      <c r="AK541">
        <f t="shared" si="103"/>
        <v>0.43820244099479172</v>
      </c>
      <c r="AL541">
        <f t="shared" si="104"/>
        <v>2.6610602076048959</v>
      </c>
      <c r="AM541">
        <f t="shared" si="105"/>
        <v>2.6548294508247641</v>
      </c>
      <c r="AN541">
        <f t="shared" si="106"/>
        <v>0.70235626880312341</v>
      </c>
      <c r="AO541">
        <f t="shared" si="107"/>
        <v>3.5784856719954399</v>
      </c>
      <c r="AP541">
        <f t="shared" si="108"/>
        <v>0.26750100118806591</v>
      </c>
      <c r="AQ541">
        <f t="shared" si="109"/>
        <v>3.0711135727935468</v>
      </c>
      <c r="AR541">
        <f t="shared" si="110"/>
        <v>0.58039484578184786</v>
      </c>
      <c r="AS541">
        <f t="shared" si="111"/>
        <v>0.59882897136267277</v>
      </c>
      <c r="AT541">
        <f t="shared" si="112"/>
        <v>0.54822632300201801</v>
      </c>
      <c r="AU541">
        <f t="shared" si="113"/>
        <v>10.76993258978473</v>
      </c>
    </row>
    <row r="542" spans="1:47" x14ac:dyDescent="0.3">
      <c r="A542">
        <v>12</v>
      </c>
      <c r="B542" t="s">
        <v>212</v>
      </c>
      <c r="C542" t="s">
        <v>205</v>
      </c>
      <c r="D542" t="s">
        <v>206</v>
      </c>
      <c r="F542" s="7">
        <v>0</v>
      </c>
      <c r="G542" s="7">
        <v>0</v>
      </c>
      <c r="H542" s="3">
        <v>0</v>
      </c>
      <c r="I542">
        <f t="shared" si="114"/>
        <v>0</v>
      </c>
      <c r="J542">
        <f t="shared" si="114"/>
        <v>1</v>
      </c>
      <c r="K542">
        <v>3</v>
      </c>
      <c r="L542">
        <v>0</v>
      </c>
      <c r="M542">
        <f t="shared" si="81"/>
        <v>521878.2</v>
      </c>
      <c r="N542">
        <f t="shared" si="82"/>
        <v>2647418.4</v>
      </c>
      <c r="O542">
        <f t="shared" si="83"/>
        <v>2849923.6</v>
      </c>
      <c r="P542">
        <f t="shared" si="84"/>
        <v>1662851.2</v>
      </c>
      <c r="Q542">
        <f t="shared" si="85"/>
        <v>2290632.6</v>
      </c>
      <c r="R542">
        <f t="shared" si="86"/>
        <v>296466.59999999998</v>
      </c>
      <c r="S542">
        <f t="shared" si="87"/>
        <v>2467745.6</v>
      </c>
      <c r="T542">
        <f t="shared" si="88"/>
        <v>3129437</v>
      </c>
      <c r="U542">
        <f t="shared" si="89"/>
        <v>3532176.8</v>
      </c>
      <c r="V542">
        <f t="shared" si="90"/>
        <v>1262862</v>
      </c>
      <c r="W542">
        <f t="shared" si="91"/>
        <v>4363452</v>
      </c>
      <c r="Y542">
        <f t="shared" si="92"/>
        <v>0.72681363738374782</v>
      </c>
      <c r="Z542">
        <f t="shared" si="93"/>
        <v>2.516081017896068</v>
      </c>
      <c r="AA542">
        <f t="shared" si="94"/>
        <v>2.6551861286163332</v>
      </c>
      <c r="AB542">
        <f t="shared" si="95"/>
        <v>1.9416008641943341</v>
      </c>
      <c r="AC542">
        <f t="shared" si="96"/>
        <v>3.0093303663947149</v>
      </c>
      <c r="AD542">
        <f t="shared" si="97"/>
        <v>0.5415133067988791</v>
      </c>
      <c r="AE542">
        <f t="shared" si="98"/>
        <v>1.894038158433978</v>
      </c>
      <c r="AF542">
        <f t="shared" si="99"/>
        <v>1.050135597400367</v>
      </c>
      <c r="AG542">
        <f t="shared" si="100"/>
        <v>2.2684743411955419</v>
      </c>
      <c r="AH542">
        <f t="shared" si="101"/>
        <v>2.636565235187299</v>
      </c>
      <c r="AI542">
        <f t="shared" si="102"/>
        <v>5.2842373300460164</v>
      </c>
      <c r="AK542">
        <f t="shared" si="103"/>
        <v>0.72681363738374782</v>
      </c>
      <c r="AL542">
        <f t="shared" si="104"/>
        <v>1.0699342628358861</v>
      </c>
      <c r="AM542">
        <f t="shared" si="105"/>
        <v>1.1982911781873551</v>
      </c>
      <c r="AN542">
        <f t="shared" si="106"/>
        <v>1.9416008641943341</v>
      </c>
      <c r="AO542">
        <f t="shared" si="107"/>
        <v>1.574121519393521</v>
      </c>
      <c r="AP542">
        <f t="shared" si="108"/>
        <v>0.5415133067988791</v>
      </c>
      <c r="AQ542">
        <f t="shared" si="109"/>
        <v>0.9423225115984678</v>
      </c>
      <c r="AR542">
        <f t="shared" si="110"/>
        <v>0.63631509421393273</v>
      </c>
      <c r="AS542">
        <f t="shared" si="111"/>
        <v>0.57137568340403955</v>
      </c>
      <c r="AT542">
        <f t="shared" si="112"/>
        <v>2.636565235187299</v>
      </c>
      <c r="AU542">
        <f t="shared" si="113"/>
        <v>3.814948258607183</v>
      </c>
    </row>
    <row r="543" spans="1:47" x14ac:dyDescent="0.3">
      <c r="A543">
        <v>12</v>
      </c>
      <c r="B543" t="s">
        <v>213</v>
      </c>
      <c r="C543" t="s">
        <v>205</v>
      </c>
      <c r="D543" t="s">
        <v>206</v>
      </c>
      <c r="F543" s="7">
        <v>0</v>
      </c>
      <c r="G543" s="7">
        <v>1</v>
      </c>
      <c r="H543" s="3">
        <v>0</v>
      </c>
      <c r="I543">
        <f t="shared" si="114"/>
        <v>0</v>
      </c>
      <c r="J543">
        <f t="shared" si="114"/>
        <v>1</v>
      </c>
      <c r="K543">
        <v>3</v>
      </c>
      <c r="L543">
        <v>0</v>
      </c>
      <c r="M543">
        <f t="shared" si="81"/>
        <v>8551058.5999999996</v>
      </c>
      <c r="N543">
        <f t="shared" si="82"/>
        <v>2240817</v>
      </c>
      <c r="O543">
        <f t="shared" si="83"/>
        <v>2249375</v>
      </c>
      <c r="P543">
        <f t="shared" si="84"/>
        <v>18313333.399999999</v>
      </c>
      <c r="Q543">
        <f t="shared" si="85"/>
        <v>858432.4</v>
      </c>
      <c r="R543">
        <f t="shared" si="86"/>
        <v>9876058.5999999996</v>
      </c>
      <c r="S543">
        <f t="shared" si="87"/>
        <v>1364324.4</v>
      </c>
      <c r="T543">
        <f t="shared" si="88"/>
        <v>9453028.1999999993</v>
      </c>
      <c r="U543">
        <f t="shared" si="89"/>
        <v>4905973.2</v>
      </c>
      <c r="V543">
        <f t="shared" si="90"/>
        <v>10764021.800000001</v>
      </c>
      <c r="W543">
        <f t="shared" si="91"/>
        <v>2131120.7999999998</v>
      </c>
      <c r="Y543">
        <f t="shared" si="92"/>
        <v>6.3840425922069697</v>
      </c>
      <c r="Z543">
        <f t="shared" si="93"/>
        <v>1.9849401370505799</v>
      </c>
      <c r="AA543">
        <f t="shared" si="94"/>
        <v>1.978971936739981</v>
      </c>
      <c r="AB543">
        <f t="shared" si="95"/>
        <v>12.07681836279226</v>
      </c>
      <c r="AC543">
        <f t="shared" si="96"/>
        <v>1.2422672826040071</v>
      </c>
      <c r="AD543">
        <f t="shared" si="97"/>
        <v>7.3952775954036039</v>
      </c>
      <c r="AE543">
        <f t="shared" si="98"/>
        <v>1.671352485462557</v>
      </c>
      <c r="AF543">
        <f t="shared" si="99"/>
        <v>5.6956632857793013</v>
      </c>
      <c r="AG543">
        <f t="shared" si="100"/>
        <v>3.1246838671038861</v>
      </c>
      <c r="AH543">
        <f t="shared" si="101"/>
        <v>5.2542971898103126</v>
      </c>
      <c r="AI543">
        <f t="shared" si="102"/>
        <v>2.9626138292020192</v>
      </c>
      <c r="AK543">
        <f t="shared" si="103"/>
        <v>6.3840425922069697</v>
      </c>
      <c r="AL543">
        <f t="shared" si="104"/>
        <v>0.75734992903890086</v>
      </c>
      <c r="AM543">
        <f t="shared" si="105"/>
        <v>0.7541268841712736</v>
      </c>
      <c r="AN543">
        <f t="shared" si="106"/>
        <v>12.07681836279226</v>
      </c>
      <c r="AO543">
        <f t="shared" si="107"/>
        <v>0.56581209201249294</v>
      </c>
      <c r="AP543">
        <f t="shared" si="108"/>
        <v>7.3952775954036039</v>
      </c>
      <c r="AQ543">
        <f t="shared" si="109"/>
        <v>0.70782051363494247</v>
      </c>
      <c r="AR543">
        <f t="shared" si="110"/>
        <v>3.90183576339623</v>
      </c>
      <c r="AS543">
        <f t="shared" si="111"/>
        <v>0.61182996159186587</v>
      </c>
      <c r="AT543">
        <f t="shared" si="112"/>
        <v>5.2542971898103126</v>
      </c>
      <c r="AU543">
        <f t="shared" si="113"/>
        <v>1.574719221820124</v>
      </c>
    </row>
    <row r="544" spans="1:47" x14ac:dyDescent="0.3">
      <c r="F544" s="7"/>
      <c r="G544" s="7"/>
      <c r="H544" s="3"/>
    </row>
    <row r="545" spans="6:8" x14ac:dyDescent="0.3">
      <c r="F545" s="7"/>
      <c r="G545" s="7"/>
      <c r="H545" s="3"/>
    </row>
    <row r="546" spans="6:8" x14ac:dyDescent="0.3">
      <c r="F546" s="7"/>
      <c r="G546" s="7"/>
      <c r="H546" s="3"/>
    </row>
    <row r="547" spans="6:8" x14ac:dyDescent="0.3">
      <c r="F547" s="7"/>
      <c r="G547" s="7"/>
      <c r="H547" s="3"/>
    </row>
    <row r="548" spans="6:8" x14ac:dyDescent="0.3">
      <c r="F548" s="7"/>
      <c r="G548" s="7"/>
      <c r="H548" s="3"/>
    </row>
    <row r="549" spans="6:8" x14ac:dyDescent="0.3">
      <c r="F549" s="7"/>
      <c r="G549" s="7"/>
      <c r="H549" s="3"/>
    </row>
    <row r="550" spans="6:8" x14ac:dyDescent="0.3">
      <c r="F550" s="7"/>
      <c r="G550" s="7"/>
      <c r="H550" s="3"/>
    </row>
    <row r="551" spans="6:8" x14ac:dyDescent="0.3">
      <c r="F551" s="7"/>
      <c r="G551" s="7"/>
      <c r="H551" s="3"/>
    </row>
    <row r="552" spans="6:8" x14ac:dyDescent="0.3">
      <c r="F552" s="7"/>
      <c r="G552" s="7"/>
      <c r="H552" s="3"/>
    </row>
    <row r="553" spans="6:8" x14ac:dyDescent="0.3">
      <c r="F553" s="7"/>
      <c r="G553" s="7"/>
      <c r="H553" s="3"/>
    </row>
    <row r="554" spans="6:8" x14ac:dyDescent="0.3">
      <c r="F554" s="7"/>
      <c r="G554" s="7"/>
      <c r="H554" s="3"/>
    </row>
    <row r="555" spans="6:8" x14ac:dyDescent="0.3">
      <c r="F555" s="7"/>
      <c r="G555" s="7"/>
      <c r="H555" s="3"/>
    </row>
    <row r="556" spans="6:8" x14ac:dyDescent="0.3">
      <c r="F556" s="7"/>
      <c r="G556" s="7"/>
      <c r="H556" s="3"/>
    </row>
    <row r="557" spans="6:8" x14ac:dyDescent="0.3">
      <c r="F557" s="7"/>
      <c r="G557" s="7"/>
      <c r="H557" s="3"/>
    </row>
    <row r="558" spans="6:8" x14ac:dyDescent="0.3">
      <c r="F558" s="7"/>
      <c r="G558" s="7"/>
      <c r="H558" s="3"/>
    </row>
    <row r="559" spans="6:8" x14ac:dyDescent="0.3">
      <c r="F559" s="7"/>
      <c r="G559" s="7"/>
      <c r="H559" s="3"/>
    </row>
    <row r="560" spans="6:8" x14ac:dyDescent="0.3">
      <c r="F560" s="7"/>
      <c r="G560" s="7"/>
      <c r="H560" s="3"/>
    </row>
    <row r="561" spans="6:8" x14ac:dyDescent="0.3">
      <c r="F561" s="7"/>
      <c r="G561" s="7"/>
      <c r="H561" s="3"/>
    </row>
    <row r="562" spans="6:8" x14ac:dyDescent="0.3">
      <c r="F562" s="7"/>
      <c r="G562" s="7"/>
      <c r="H562" s="3"/>
    </row>
    <row r="563" spans="6:8" x14ac:dyDescent="0.3">
      <c r="F563" s="7"/>
      <c r="G563" s="7"/>
      <c r="H563" s="3"/>
    </row>
    <row r="564" spans="6:8" x14ac:dyDescent="0.3">
      <c r="F564" s="7"/>
      <c r="G564" s="7"/>
      <c r="H564" s="3"/>
    </row>
    <row r="565" spans="6:8" x14ac:dyDescent="0.3">
      <c r="F565" s="7"/>
      <c r="G565" s="7"/>
      <c r="H565" s="3"/>
    </row>
    <row r="566" spans="6:8" x14ac:dyDescent="0.3">
      <c r="F566" s="7"/>
      <c r="G566" s="7"/>
      <c r="H566" s="3"/>
    </row>
    <row r="567" spans="6:8" x14ac:dyDescent="0.3">
      <c r="F567" s="7"/>
      <c r="G567" s="7"/>
      <c r="H567" s="3"/>
    </row>
    <row r="568" spans="6:8" x14ac:dyDescent="0.3">
      <c r="F568" s="7"/>
      <c r="G568" s="7"/>
      <c r="H568" s="3"/>
    </row>
    <row r="569" spans="6:8" x14ac:dyDescent="0.3">
      <c r="F569" s="7"/>
      <c r="G569" s="7"/>
      <c r="H569" s="3"/>
    </row>
    <row r="570" spans="6:8" x14ac:dyDescent="0.3">
      <c r="F570" s="7"/>
      <c r="G570" s="7"/>
      <c r="H570" s="3"/>
    </row>
    <row r="571" spans="6:8" x14ac:dyDescent="0.3">
      <c r="F571" s="7"/>
      <c r="G571" s="7"/>
      <c r="H571" s="3"/>
    </row>
    <row r="572" spans="6:8" x14ac:dyDescent="0.3">
      <c r="F572" s="7"/>
      <c r="G572" s="7"/>
      <c r="H572" s="3"/>
    </row>
    <row r="573" spans="6:8" x14ac:dyDescent="0.3">
      <c r="F573" s="7"/>
      <c r="G573" s="7"/>
      <c r="H573" s="3"/>
    </row>
    <row r="574" spans="6:8" x14ac:dyDescent="0.3">
      <c r="F574" s="7"/>
      <c r="G574" s="7"/>
      <c r="H574" s="3"/>
    </row>
    <row r="575" spans="6:8" x14ac:dyDescent="0.3">
      <c r="F575" s="7"/>
      <c r="G575" s="7"/>
      <c r="H575" s="3"/>
    </row>
    <row r="576" spans="6:8" x14ac:dyDescent="0.3">
      <c r="F576" s="7"/>
      <c r="G576" s="7"/>
      <c r="H576" s="3"/>
    </row>
    <row r="577" spans="6:8" x14ac:dyDescent="0.3">
      <c r="F577" s="7"/>
      <c r="G577" s="7"/>
      <c r="H577" s="3"/>
    </row>
    <row r="578" spans="6:8" x14ac:dyDescent="0.3">
      <c r="F578" s="7"/>
      <c r="G578" s="7"/>
      <c r="H578" s="3"/>
    </row>
    <row r="579" spans="6:8" x14ac:dyDescent="0.3">
      <c r="F579" s="7"/>
      <c r="G579" s="7"/>
      <c r="H579" s="3"/>
    </row>
    <row r="580" spans="6:8" x14ac:dyDescent="0.3">
      <c r="F580" s="7"/>
      <c r="G580" s="7"/>
      <c r="H580" s="3"/>
    </row>
    <row r="581" spans="6:8" x14ac:dyDescent="0.3">
      <c r="F581" s="7"/>
      <c r="G581" s="7"/>
      <c r="H581" s="3"/>
    </row>
    <row r="582" spans="6:8" x14ac:dyDescent="0.3">
      <c r="F582" s="7"/>
      <c r="G582" s="7"/>
      <c r="H582" s="3"/>
    </row>
    <row r="583" spans="6:8" x14ac:dyDescent="0.3">
      <c r="F583" s="7"/>
      <c r="G583" s="7"/>
      <c r="H583" s="3"/>
    </row>
    <row r="584" spans="6:8" x14ac:dyDescent="0.3">
      <c r="F584" s="7"/>
      <c r="G584" s="7"/>
      <c r="H584" s="3"/>
    </row>
    <row r="585" spans="6:8" x14ac:dyDescent="0.3">
      <c r="F585" s="7"/>
      <c r="G585" s="7"/>
      <c r="H585" s="3"/>
    </row>
    <row r="586" spans="6:8" x14ac:dyDescent="0.3">
      <c r="F586" s="7"/>
      <c r="G586" s="7"/>
      <c r="H586" s="3"/>
    </row>
    <row r="587" spans="6:8" x14ac:dyDescent="0.3">
      <c r="F587" s="7"/>
      <c r="G587" s="7"/>
      <c r="H587" s="3"/>
    </row>
    <row r="588" spans="6:8" x14ac:dyDescent="0.3">
      <c r="F588" s="7"/>
      <c r="G588" s="7"/>
      <c r="H588" s="3"/>
    </row>
    <row r="589" spans="6:8" x14ac:dyDescent="0.3">
      <c r="F589" s="7"/>
      <c r="G589" s="7"/>
      <c r="H589" s="3"/>
    </row>
    <row r="590" spans="6:8" x14ac:dyDescent="0.3">
      <c r="F590" s="7"/>
      <c r="G590" s="7"/>
      <c r="H590" s="3"/>
    </row>
    <row r="591" spans="6:8" x14ac:dyDescent="0.3">
      <c r="F591" s="7"/>
      <c r="G591" s="7"/>
      <c r="H591" s="3"/>
    </row>
    <row r="592" spans="6:8" x14ac:dyDescent="0.3">
      <c r="F592" s="7"/>
      <c r="G592" s="7"/>
      <c r="H592" s="3"/>
    </row>
    <row r="593" spans="6:8" x14ac:dyDescent="0.3">
      <c r="F593" s="7"/>
      <c r="G593" s="7"/>
      <c r="H593" s="3"/>
    </row>
    <row r="594" spans="6:8" x14ac:dyDescent="0.3">
      <c r="F594" s="7"/>
      <c r="G594" s="7"/>
      <c r="H594" s="3"/>
    </row>
    <row r="595" spans="6:8" x14ac:dyDescent="0.3">
      <c r="F595" s="7"/>
      <c r="G595" s="7"/>
      <c r="H595" s="3"/>
    </row>
    <row r="596" spans="6:8" x14ac:dyDescent="0.3">
      <c r="F596" s="7"/>
      <c r="G596" s="7"/>
      <c r="H596" s="3"/>
    </row>
    <row r="597" spans="6:8" x14ac:dyDescent="0.3">
      <c r="F597" s="7"/>
      <c r="G597" s="7"/>
      <c r="H597" s="3"/>
    </row>
    <row r="598" spans="6:8" x14ac:dyDescent="0.3">
      <c r="F598" s="7"/>
      <c r="G598" s="7"/>
      <c r="H598" s="3"/>
    </row>
    <row r="599" spans="6:8" x14ac:dyDescent="0.3">
      <c r="F599" s="7"/>
      <c r="G599" s="7"/>
      <c r="H599" s="3"/>
    </row>
    <row r="600" spans="6:8" x14ac:dyDescent="0.3">
      <c r="F600" s="7"/>
      <c r="G600" s="7"/>
      <c r="H600" s="3"/>
    </row>
    <row r="601" spans="6:8" x14ac:dyDescent="0.3">
      <c r="F601" s="7"/>
      <c r="G601" s="7"/>
      <c r="H601" s="3"/>
    </row>
    <row r="602" spans="6:8" x14ac:dyDescent="0.3">
      <c r="F602" s="7"/>
      <c r="G602" s="7"/>
      <c r="H602" s="3"/>
    </row>
    <row r="603" spans="6:8" x14ac:dyDescent="0.3">
      <c r="F603" s="7"/>
      <c r="G603" s="7"/>
      <c r="H603" s="3"/>
    </row>
    <row r="604" spans="6:8" x14ac:dyDescent="0.3">
      <c r="F604" s="7"/>
      <c r="G604" s="7"/>
      <c r="H604" s="3"/>
    </row>
    <row r="605" spans="6:8" x14ac:dyDescent="0.3">
      <c r="F605" s="7"/>
      <c r="G605" s="7"/>
      <c r="H605" s="3"/>
    </row>
    <row r="606" spans="6:8" x14ac:dyDescent="0.3">
      <c r="F606" s="7"/>
      <c r="G606" s="7"/>
      <c r="H606" s="3"/>
    </row>
    <row r="607" spans="6:8" x14ac:dyDescent="0.3">
      <c r="F607" s="7"/>
      <c r="G607" s="7"/>
      <c r="H607" s="3"/>
    </row>
    <row r="608" spans="6:8" x14ac:dyDescent="0.3">
      <c r="F608" s="7"/>
      <c r="G608" s="7"/>
      <c r="H608" s="3"/>
    </row>
    <row r="609" spans="6:8" x14ac:dyDescent="0.3">
      <c r="F609" s="7"/>
      <c r="G609" s="7"/>
      <c r="H609" s="3"/>
    </row>
    <row r="610" spans="6:8" x14ac:dyDescent="0.3">
      <c r="F610" s="7"/>
      <c r="G610" s="7"/>
      <c r="H610" s="3"/>
    </row>
    <row r="611" spans="6:8" x14ac:dyDescent="0.3">
      <c r="F611" s="7"/>
      <c r="G611" s="7"/>
      <c r="H611" s="3"/>
    </row>
    <row r="612" spans="6:8" x14ac:dyDescent="0.3">
      <c r="F612" s="7"/>
      <c r="G612" s="7"/>
      <c r="H612" s="3"/>
    </row>
    <row r="613" spans="6:8" x14ac:dyDescent="0.3">
      <c r="F613" s="7"/>
      <c r="G613" s="7"/>
      <c r="H613" s="3"/>
    </row>
    <row r="614" spans="6:8" x14ac:dyDescent="0.3">
      <c r="F614" s="7"/>
      <c r="G614" s="7"/>
      <c r="H614" s="3"/>
    </row>
    <row r="615" spans="6:8" x14ac:dyDescent="0.3">
      <c r="F615" s="7"/>
      <c r="G615" s="7"/>
      <c r="H615" s="3"/>
    </row>
    <row r="616" spans="6:8" x14ac:dyDescent="0.3">
      <c r="F616" s="7"/>
      <c r="G616" s="7"/>
      <c r="H616" s="3"/>
    </row>
    <row r="617" spans="6:8" x14ac:dyDescent="0.3">
      <c r="F617" s="7"/>
      <c r="G617" s="7"/>
      <c r="H617" s="3"/>
    </row>
    <row r="618" spans="6:8" x14ac:dyDescent="0.3">
      <c r="F618" s="7"/>
      <c r="G618" s="7"/>
      <c r="H618" s="3"/>
    </row>
    <row r="619" spans="6:8" x14ac:dyDescent="0.3">
      <c r="F619" s="7"/>
      <c r="G619" s="7"/>
      <c r="H619" s="3"/>
    </row>
    <row r="620" spans="6:8" x14ac:dyDescent="0.3">
      <c r="F620" s="7"/>
      <c r="G620" s="7"/>
      <c r="H620" s="3"/>
    </row>
    <row r="621" spans="6:8" x14ac:dyDescent="0.3">
      <c r="F621" s="7"/>
      <c r="G621" s="7"/>
      <c r="H621" s="3"/>
    </row>
    <row r="622" spans="6:8" x14ac:dyDescent="0.3">
      <c r="F622" s="7"/>
      <c r="G622" s="7"/>
      <c r="H622" s="3"/>
    </row>
    <row r="623" spans="6:8" x14ac:dyDescent="0.3">
      <c r="F623" s="7"/>
      <c r="G623" s="7"/>
      <c r="H623" s="3"/>
    </row>
    <row r="624" spans="6:8" x14ac:dyDescent="0.3">
      <c r="F624" s="7"/>
      <c r="G624" s="7"/>
      <c r="H624" s="3"/>
    </row>
    <row r="625" spans="6:8" x14ac:dyDescent="0.3">
      <c r="F625" s="7"/>
      <c r="G625" s="7"/>
      <c r="H625" s="3"/>
    </row>
    <row r="626" spans="6:8" x14ac:dyDescent="0.3">
      <c r="F626" s="7"/>
      <c r="G626" s="7"/>
      <c r="H626" s="3"/>
    </row>
    <row r="627" spans="6:8" x14ac:dyDescent="0.3">
      <c r="F627" s="7"/>
      <c r="G627" s="7"/>
      <c r="H627" s="3"/>
    </row>
    <row r="628" spans="6:8" x14ac:dyDescent="0.3">
      <c r="F628" s="7"/>
      <c r="G628" s="7"/>
      <c r="H628" s="3"/>
    </row>
    <row r="629" spans="6:8" x14ac:dyDescent="0.3">
      <c r="F629" s="7"/>
      <c r="G629" s="7"/>
      <c r="H629" s="3"/>
    </row>
    <row r="630" spans="6:8" x14ac:dyDescent="0.3">
      <c r="F630" s="7"/>
      <c r="G630" s="7"/>
      <c r="H630" s="3"/>
    </row>
    <row r="631" spans="6:8" x14ac:dyDescent="0.3">
      <c r="F631" s="7"/>
      <c r="G631" s="7"/>
      <c r="H631" s="3"/>
    </row>
    <row r="632" spans="6:8" x14ac:dyDescent="0.3">
      <c r="F632" s="7"/>
      <c r="G632" s="7"/>
      <c r="H632" s="3"/>
    </row>
    <row r="633" spans="6:8" x14ac:dyDescent="0.3">
      <c r="F633" s="7"/>
      <c r="G633" s="7"/>
      <c r="H633" s="3"/>
    </row>
    <row r="634" spans="6:8" x14ac:dyDescent="0.3">
      <c r="F634" s="7"/>
      <c r="G634" s="7"/>
      <c r="H634" s="3"/>
    </row>
    <row r="635" spans="6:8" x14ac:dyDescent="0.3">
      <c r="F635" s="7"/>
      <c r="G635" s="7"/>
      <c r="H635" s="3"/>
    </row>
    <row r="636" spans="6:8" x14ac:dyDescent="0.3">
      <c r="F636" s="7"/>
      <c r="G636" s="7"/>
      <c r="H636" s="3"/>
    </row>
    <row r="637" spans="6:8" x14ac:dyDescent="0.3">
      <c r="F637" s="7"/>
      <c r="G637" s="7"/>
      <c r="H637" s="3"/>
    </row>
    <row r="638" spans="6:8" x14ac:dyDescent="0.3">
      <c r="F638" s="7"/>
      <c r="G638" s="7"/>
      <c r="H638" s="3"/>
    </row>
    <row r="639" spans="6:8" x14ac:dyDescent="0.3">
      <c r="F639" s="7"/>
      <c r="G639" s="7"/>
      <c r="H639" s="3"/>
    </row>
    <row r="640" spans="6:8" x14ac:dyDescent="0.3">
      <c r="F640" s="7"/>
      <c r="G640" s="7"/>
      <c r="H640" s="3"/>
    </row>
    <row r="641" spans="6:8" x14ac:dyDescent="0.3">
      <c r="F641" s="7"/>
      <c r="G641" s="7"/>
      <c r="H641" s="3"/>
    </row>
    <row r="642" spans="6:8" x14ac:dyDescent="0.3">
      <c r="F642" s="7"/>
      <c r="G642" s="7"/>
      <c r="H642" s="3"/>
    </row>
    <row r="643" spans="6:8" x14ac:dyDescent="0.3">
      <c r="F643" s="7"/>
      <c r="G643" s="7"/>
      <c r="H643" s="3"/>
    </row>
    <row r="644" spans="6:8" x14ac:dyDescent="0.3">
      <c r="F644" s="7"/>
      <c r="G644" s="7"/>
      <c r="H644" s="3"/>
    </row>
    <row r="645" spans="6:8" x14ac:dyDescent="0.3">
      <c r="F645" s="7"/>
      <c r="G645" s="7"/>
      <c r="H645" s="3"/>
    </row>
    <row r="646" spans="6:8" x14ac:dyDescent="0.3">
      <c r="F646" s="7"/>
      <c r="G646" s="7"/>
      <c r="H646" s="3"/>
    </row>
    <row r="647" spans="6:8" x14ac:dyDescent="0.3">
      <c r="F647" s="7"/>
      <c r="G647" s="7"/>
      <c r="H647" s="3"/>
    </row>
    <row r="648" spans="6:8" x14ac:dyDescent="0.3">
      <c r="F648" s="7"/>
      <c r="G648" s="7"/>
      <c r="H648" s="3"/>
    </row>
    <row r="649" spans="6:8" x14ac:dyDescent="0.3">
      <c r="F649" s="7"/>
      <c r="G649" s="7"/>
      <c r="H649" s="3"/>
    </row>
    <row r="650" spans="6:8" x14ac:dyDescent="0.3">
      <c r="F650" s="7"/>
      <c r="G650" s="7"/>
      <c r="H650" s="3"/>
    </row>
    <row r="651" spans="6:8" x14ac:dyDescent="0.3">
      <c r="F651" s="7"/>
      <c r="G651" s="7"/>
      <c r="H651" s="3"/>
    </row>
    <row r="652" spans="6:8" x14ac:dyDescent="0.3">
      <c r="F652" s="7"/>
      <c r="G652" s="7"/>
      <c r="H652" s="3"/>
    </row>
    <row r="653" spans="6:8" x14ac:dyDescent="0.3">
      <c r="F653" s="7"/>
      <c r="G653" s="7"/>
      <c r="H653" s="3"/>
    </row>
    <row r="654" spans="6:8" x14ac:dyDescent="0.3">
      <c r="F654" s="7"/>
      <c r="G654" s="7"/>
      <c r="H654" s="3"/>
    </row>
    <row r="655" spans="6:8" x14ac:dyDescent="0.3">
      <c r="F655" s="7"/>
      <c r="G655" s="7"/>
      <c r="H655" s="3"/>
    </row>
    <row r="656" spans="6:8" x14ac:dyDescent="0.3">
      <c r="F656" s="7"/>
      <c r="G656" s="7"/>
      <c r="H656" s="3"/>
    </row>
    <row r="657" spans="6:8" x14ac:dyDescent="0.3">
      <c r="F657" s="7"/>
      <c r="G657" s="7"/>
      <c r="H657" s="3"/>
    </row>
    <row r="658" spans="6:8" x14ac:dyDescent="0.3">
      <c r="F658" s="7"/>
      <c r="G658" s="7"/>
      <c r="H658" s="3"/>
    </row>
    <row r="659" spans="6:8" x14ac:dyDescent="0.3">
      <c r="F659" s="7"/>
      <c r="G659" s="7"/>
      <c r="H659" s="3"/>
    </row>
    <row r="660" spans="6:8" x14ac:dyDescent="0.3">
      <c r="F660" s="7"/>
      <c r="G660" s="7"/>
      <c r="H660" s="3"/>
    </row>
    <row r="661" spans="6:8" x14ac:dyDescent="0.3">
      <c r="F661" s="7"/>
      <c r="G661" s="7"/>
      <c r="H661" s="3"/>
    </row>
    <row r="662" spans="6:8" x14ac:dyDescent="0.3">
      <c r="F662" s="7"/>
      <c r="G662" s="7"/>
      <c r="H662" s="3"/>
    </row>
    <row r="663" spans="6:8" x14ac:dyDescent="0.3">
      <c r="F663" s="7"/>
      <c r="G663" s="7"/>
      <c r="H663" s="3"/>
    </row>
    <row r="664" spans="6:8" x14ac:dyDescent="0.3">
      <c r="F664" s="7"/>
      <c r="G664" s="7"/>
      <c r="H664" s="3"/>
    </row>
    <row r="665" spans="6:8" x14ac:dyDescent="0.3">
      <c r="F665" s="7"/>
      <c r="G665" s="7"/>
      <c r="H665" s="3"/>
    </row>
    <row r="666" spans="6:8" x14ac:dyDescent="0.3">
      <c r="F666" s="7"/>
      <c r="G666" s="7"/>
      <c r="H666" s="3"/>
    </row>
    <row r="667" spans="6:8" x14ac:dyDescent="0.3">
      <c r="F667" s="7"/>
      <c r="G667" s="7"/>
      <c r="H667" s="3"/>
    </row>
    <row r="668" spans="6:8" x14ac:dyDescent="0.3">
      <c r="F668" s="7"/>
      <c r="G668" s="7"/>
      <c r="H668" s="3"/>
    </row>
    <row r="669" spans="6:8" x14ac:dyDescent="0.3">
      <c r="F669" s="7"/>
      <c r="G669" s="7"/>
      <c r="H669" s="3"/>
    </row>
    <row r="670" spans="6:8" x14ac:dyDescent="0.3">
      <c r="F670" s="7"/>
      <c r="G670" s="7"/>
      <c r="H670" s="3"/>
    </row>
    <row r="671" spans="6:8" x14ac:dyDescent="0.3">
      <c r="F671" s="7"/>
      <c r="G671" s="7"/>
      <c r="H671" s="3"/>
    </row>
    <row r="672" spans="6:8" x14ac:dyDescent="0.3">
      <c r="F672" s="7"/>
      <c r="G672" s="7"/>
      <c r="H672" s="3"/>
    </row>
    <row r="673" spans="6:8" x14ac:dyDescent="0.3">
      <c r="F673" s="7"/>
      <c r="G673" s="7"/>
      <c r="H673" s="3"/>
    </row>
    <row r="674" spans="6:8" x14ac:dyDescent="0.3">
      <c r="F674" s="7"/>
      <c r="G674" s="7"/>
      <c r="H674" s="3"/>
    </row>
    <row r="675" spans="6:8" x14ac:dyDescent="0.3">
      <c r="F675" s="7"/>
      <c r="G675" s="7"/>
      <c r="H675" s="3"/>
    </row>
    <row r="676" spans="6:8" x14ac:dyDescent="0.3">
      <c r="F676" s="7"/>
      <c r="G676" s="7"/>
      <c r="H676" s="3"/>
    </row>
    <row r="677" spans="6:8" x14ac:dyDescent="0.3">
      <c r="F677" s="7"/>
      <c r="G677" s="7"/>
      <c r="H677" s="3"/>
    </row>
    <row r="678" spans="6:8" x14ac:dyDescent="0.3">
      <c r="F678" s="7"/>
      <c r="G678" s="7"/>
      <c r="H678" s="3"/>
    </row>
    <row r="679" spans="6:8" x14ac:dyDescent="0.3">
      <c r="F679" s="7"/>
      <c r="G679" s="7"/>
      <c r="H679" s="3"/>
    </row>
    <row r="680" spans="6:8" x14ac:dyDescent="0.3">
      <c r="F680" s="7"/>
      <c r="G680" s="7"/>
      <c r="H680" s="3"/>
    </row>
    <row r="681" spans="6:8" x14ac:dyDescent="0.3">
      <c r="F681" s="7"/>
      <c r="G681" s="7"/>
      <c r="H681" s="3"/>
    </row>
    <row r="682" spans="6:8" x14ac:dyDescent="0.3">
      <c r="F682" s="7"/>
      <c r="G682" s="7"/>
      <c r="H682" s="3"/>
    </row>
    <row r="683" spans="6:8" x14ac:dyDescent="0.3">
      <c r="F683" s="7"/>
      <c r="G683" s="7"/>
      <c r="H683" s="3"/>
    </row>
    <row r="684" spans="6:8" x14ac:dyDescent="0.3">
      <c r="F684" s="7"/>
      <c r="G684" s="7"/>
      <c r="H684" s="3"/>
    </row>
    <row r="685" spans="6:8" x14ac:dyDescent="0.3">
      <c r="F685" s="7"/>
      <c r="G685" s="7"/>
      <c r="H685" s="3"/>
    </row>
    <row r="686" spans="6:8" x14ac:dyDescent="0.3">
      <c r="F686" s="7"/>
      <c r="G686" s="7"/>
      <c r="H686" s="3"/>
    </row>
    <row r="687" spans="6:8" x14ac:dyDescent="0.3">
      <c r="F687" s="7"/>
      <c r="G687" s="7"/>
      <c r="H687" s="3"/>
    </row>
    <row r="688" spans="6:8" x14ac:dyDescent="0.3">
      <c r="F688" s="7"/>
      <c r="G688" s="7"/>
      <c r="H688" s="3"/>
    </row>
    <row r="689" spans="6:8" x14ac:dyDescent="0.3">
      <c r="F689" s="7"/>
      <c r="G689" s="7"/>
      <c r="H689" s="3"/>
    </row>
    <row r="690" spans="6:8" x14ac:dyDescent="0.3">
      <c r="F690" s="7"/>
      <c r="G690" s="7"/>
      <c r="H690" s="3"/>
    </row>
    <row r="691" spans="6:8" x14ac:dyDescent="0.3">
      <c r="F691" s="7"/>
      <c r="G691" s="7"/>
      <c r="H691" s="3"/>
    </row>
    <row r="692" spans="6:8" x14ac:dyDescent="0.3">
      <c r="F692" s="7"/>
      <c r="G692" s="7"/>
      <c r="H692" s="3"/>
    </row>
    <row r="693" spans="6:8" x14ac:dyDescent="0.3">
      <c r="F693" s="7"/>
      <c r="G693" s="7"/>
      <c r="H693" s="3"/>
    </row>
    <row r="694" spans="6:8" x14ac:dyDescent="0.3">
      <c r="F694" s="7"/>
      <c r="G694" s="7"/>
      <c r="H694" s="3"/>
    </row>
    <row r="695" spans="6:8" x14ac:dyDescent="0.3">
      <c r="F695" s="7"/>
      <c r="G695" s="7"/>
      <c r="H695" s="3"/>
    </row>
    <row r="696" spans="6:8" x14ac:dyDescent="0.3">
      <c r="F696" s="7"/>
      <c r="G696" s="7"/>
      <c r="H696" s="3"/>
    </row>
    <row r="697" spans="6:8" x14ac:dyDescent="0.3">
      <c r="F697" s="7"/>
      <c r="G697" s="7"/>
      <c r="H697" s="3"/>
    </row>
    <row r="698" spans="6:8" x14ac:dyDescent="0.3">
      <c r="F698" s="7"/>
      <c r="G698" s="7"/>
      <c r="H698" s="3"/>
    </row>
    <row r="699" spans="6:8" x14ac:dyDescent="0.3">
      <c r="F699" s="7"/>
      <c r="G699" s="7"/>
      <c r="H699" s="3"/>
    </row>
    <row r="700" spans="6:8" x14ac:dyDescent="0.3">
      <c r="F700" s="7"/>
      <c r="G700" s="7"/>
      <c r="H700" s="3"/>
    </row>
    <row r="701" spans="6:8" x14ac:dyDescent="0.3">
      <c r="F701" s="7"/>
      <c r="G701" s="7"/>
      <c r="H701" s="3"/>
    </row>
    <row r="702" spans="6:8" x14ac:dyDescent="0.3">
      <c r="F702" s="7"/>
      <c r="G702" s="7"/>
      <c r="H702" s="3"/>
    </row>
    <row r="703" spans="6:8" x14ac:dyDescent="0.3">
      <c r="F703" s="7"/>
      <c r="G703" s="7"/>
      <c r="H703" s="3"/>
    </row>
    <row r="704" spans="6:8" x14ac:dyDescent="0.3">
      <c r="F704" s="7"/>
      <c r="G704" s="7"/>
      <c r="H704" s="3"/>
    </row>
    <row r="705" spans="6:8" x14ac:dyDescent="0.3">
      <c r="F705" s="7"/>
      <c r="G705" s="7"/>
      <c r="H705" s="3"/>
    </row>
    <row r="706" spans="6:8" x14ac:dyDescent="0.3">
      <c r="F706" s="7"/>
      <c r="G706" s="7"/>
      <c r="H706" s="3"/>
    </row>
    <row r="707" spans="6:8" x14ac:dyDescent="0.3">
      <c r="F707" s="7"/>
      <c r="G707" s="7"/>
      <c r="H707" s="3"/>
    </row>
    <row r="708" spans="6:8" x14ac:dyDescent="0.3">
      <c r="F708" s="7"/>
      <c r="G708" s="7"/>
      <c r="H708" s="3"/>
    </row>
    <row r="709" spans="6:8" x14ac:dyDescent="0.3">
      <c r="F709" s="7"/>
      <c r="G709" s="7"/>
      <c r="H709" s="3"/>
    </row>
    <row r="710" spans="6:8" x14ac:dyDescent="0.3">
      <c r="F710" s="7"/>
      <c r="G710" s="7"/>
      <c r="H710" s="3"/>
    </row>
    <row r="711" spans="6:8" x14ac:dyDescent="0.3">
      <c r="F711" s="7"/>
      <c r="G711" s="7"/>
      <c r="H711" s="3"/>
    </row>
    <row r="712" spans="6:8" x14ac:dyDescent="0.3">
      <c r="F712" s="7"/>
      <c r="G712" s="7"/>
      <c r="H712" s="3"/>
    </row>
    <row r="713" spans="6:8" x14ac:dyDescent="0.3">
      <c r="F713" s="7"/>
      <c r="G713" s="7"/>
      <c r="H713" s="3"/>
    </row>
    <row r="714" spans="6:8" x14ac:dyDescent="0.3">
      <c r="F714" s="7"/>
      <c r="G714" s="7"/>
      <c r="H714" s="3"/>
    </row>
    <row r="715" spans="6:8" x14ac:dyDescent="0.3">
      <c r="F715" s="7"/>
      <c r="G715" s="7"/>
      <c r="H715" s="3"/>
    </row>
    <row r="716" spans="6:8" x14ac:dyDescent="0.3">
      <c r="F716" s="7"/>
      <c r="G716" s="7"/>
      <c r="H716" s="3"/>
    </row>
    <row r="717" spans="6:8" x14ac:dyDescent="0.3">
      <c r="F717" s="7"/>
      <c r="G717" s="7"/>
      <c r="H717" s="3"/>
    </row>
    <row r="718" spans="6:8" x14ac:dyDescent="0.3">
      <c r="F718" s="7"/>
      <c r="G718" s="7"/>
      <c r="H718" s="3"/>
    </row>
    <row r="719" spans="6:8" x14ac:dyDescent="0.3">
      <c r="F719" s="7"/>
      <c r="G719" s="7"/>
      <c r="H719" s="3"/>
    </row>
    <row r="720" spans="6:8" x14ac:dyDescent="0.3">
      <c r="F720" s="7"/>
      <c r="G720" s="7"/>
      <c r="H720" s="3"/>
    </row>
    <row r="721" spans="6:8" x14ac:dyDescent="0.3">
      <c r="F721" s="7"/>
      <c r="G721" s="7"/>
      <c r="H721" s="3"/>
    </row>
    <row r="722" spans="6:8" x14ac:dyDescent="0.3">
      <c r="F722" s="7"/>
      <c r="G722" s="7"/>
      <c r="H722" s="3"/>
    </row>
    <row r="723" spans="6:8" x14ac:dyDescent="0.3">
      <c r="F723" s="7"/>
      <c r="G723" s="7"/>
      <c r="H723" s="3"/>
    </row>
    <row r="724" spans="6:8" x14ac:dyDescent="0.3">
      <c r="F724" s="7"/>
      <c r="G724" s="7"/>
      <c r="H724" s="3"/>
    </row>
    <row r="725" spans="6:8" x14ac:dyDescent="0.3">
      <c r="F725" s="7"/>
      <c r="G725" s="7"/>
      <c r="H725" s="3"/>
    </row>
    <row r="726" spans="6:8" x14ac:dyDescent="0.3">
      <c r="F726" s="7"/>
      <c r="G726" s="7"/>
      <c r="H726" s="3"/>
    </row>
    <row r="727" spans="6:8" x14ac:dyDescent="0.3">
      <c r="F727" s="7"/>
      <c r="G727" s="7"/>
      <c r="H727" s="3"/>
    </row>
    <row r="728" spans="6:8" x14ac:dyDescent="0.3">
      <c r="F728" s="7"/>
      <c r="G728" s="7"/>
      <c r="H728" s="3"/>
    </row>
    <row r="729" spans="6:8" x14ac:dyDescent="0.3">
      <c r="F729" s="7"/>
      <c r="G729" s="7"/>
      <c r="H729" s="3"/>
    </row>
    <row r="730" spans="6:8" x14ac:dyDescent="0.3">
      <c r="F730" s="7"/>
      <c r="G730" s="7"/>
      <c r="H730" s="3"/>
    </row>
    <row r="731" spans="6:8" x14ac:dyDescent="0.3">
      <c r="F731" s="7"/>
      <c r="G731" s="7"/>
      <c r="H731" s="3"/>
    </row>
    <row r="732" spans="6:8" x14ac:dyDescent="0.3">
      <c r="F732" s="7"/>
      <c r="G732" s="7"/>
      <c r="H732" s="3"/>
    </row>
    <row r="733" spans="6:8" x14ac:dyDescent="0.3">
      <c r="F733" s="7"/>
      <c r="G733" s="7"/>
      <c r="H733" s="3"/>
    </row>
    <row r="734" spans="6:8" x14ac:dyDescent="0.3">
      <c r="F734" s="7"/>
      <c r="G734" s="7"/>
      <c r="H734" s="3"/>
    </row>
    <row r="735" spans="6:8" x14ac:dyDescent="0.3">
      <c r="F735" s="7"/>
      <c r="G735" s="7"/>
      <c r="H735" s="3"/>
    </row>
    <row r="736" spans="6:8" x14ac:dyDescent="0.3">
      <c r="F736" s="7"/>
      <c r="G736" s="7"/>
      <c r="H736" s="3"/>
    </row>
    <row r="737" spans="6:8" x14ac:dyDescent="0.3">
      <c r="F737" s="7"/>
      <c r="G737" s="7"/>
      <c r="H737" s="3"/>
    </row>
    <row r="738" spans="6:8" x14ac:dyDescent="0.3">
      <c r="F738" s="7"/>
      <c r="G738" s="7"/>
      <c r="H738" s="3"/>
    </row>
    <row r="739" spans="6:8" x14ac:dyDescent="0.3">
      <c r="F739" s="7"/>
      <c r="G739" s="7"/>
      <c r="H739" s="3"/>
    </row>
    <row r="740" spans="6:8" x14ac:dyDescent="0.3">
      <c r="F740" s="7"/>
      <c r="G740" s="7"/>
      <c r="H740" s="3"/>
    </row>
    <row r="741" spans="6:8" x14ac:dyDescent="0.3">
      <c r="F741" s="7"/>
      <c r="G741" s="7"/>
      <c r="H741" s="3"/>
    </row>
    <row r="742" spans="6:8" x14ac:dyDescent="0.3">
      <c r="F742" s="7"/>
      <c r="G742" s="7"/>
      <c r="H742" s="3"/>
    </row>
    <row r="743" spans="6:8" x14ac:dyDescent="0.3">
      <c r="F743" s="7"/>
      <c r="G743" s="7"/>
      <c r="H743" s="3"/>
    </row>
    <row r="744" spans="6:8" x14ac:dyDescent="0.3">
      <c r="F744" s="7"/>
      <c r="G744" s="7"/>
      <c r="H744" s="3"/>
    </row>
    <row r="745" spans="6:8" x14ac:dyDescent="0.3">
      <c r="F745" s="7"/>
      <c r="G745" s="7"/>
      <c r="H745" s="3"/>
    </row>
    <row r="746" spans="6:8" x14ac:dyDescent="0.3">
      <c r="F746" s="7"/>
      <c r="G746" s="7"/>
      <c r="H746" s="3"/>
    </row>
    <row r="747" spans="6:8" x14ac:dyDescent="0.3">
      <c r="F747" s="7"/>
      <c r="G747" s="7"/>
      <c r="H747" s="3"/>
    </row>
    <row r="748" spans="6:8" x14ac:dyDescent="0.3">
      <c r="F748" s="7"/>
      <c r="G748" s="7"/>
      <c r="H748" s="3"/>
    </row>
    <row r="749" spans="6:8" x14ac:dyDescent="0.3">
      <c r="F749" s="7"/>
      <c r="G749" s="7"/>
      <c r="H749" s="3"/>
    </row>
    <row r="750" spans="6:8" x14ac:dyDescent="0.3">
      <c r="F750" s="7"/>
      <c r="G750" s="7"/>
      <c r="H750" s="3"/>
    </row>
    <row r="751" spans="6:8" x14ac:dyDescent="0.3">
      <c r="F751" s="7"/>
      <c r="G751" s="7"/>
      <c r="H751" s="3"/>
    </row>
    <row r="752" spans="6:8" x14ac:dyDescent="0.3">
      <c r="F752" s="7"/>
      <c r="G752" s="7"/>
      <c r="H752" s="3"/>
    </row>
    <row r="753" spans="6:47" x14ac:dyDescent="0.3">
      <c r="F753" s="7"/>
      <c r="G753" s="7"/>
      <c r="H753" s="3"/>
    </row>
    <row r="754" spans="6:47" x14ac:dyDescent="0.3">
      <c r="F754" s="7"/>
      <c r="G754" s="7"/>
      <c r="H754" s="3"/>
    </row>
    <row r="755" spans="6:47" x14ac:dyDescent="0.3">
      <c r="F755" s="7"/>
      <c r="G755" s="7"/>
      <c r="H755" s="3"/>
    </row>
    <row r="756" spans="6:47" x14ac:dyDescent="0.3">
      <c r="F756" s="7"/>
      <c r="G756" s="7"/>
      <c r="H756" s="3"/>
    </row>
    <row r="757" spans="6:47" x14ac:dyDescent="0.3">
      <c r="F757" s="7"/>
      <c r="G757" s="7"/>
      <c r="H757" s="3"/>
    </row>
    <row r="758" spans="6:47" x14ac:dyDescent="0.3">
      <c r="F758" s="7"/>
      <c r="G758" s="7"/>
      <c r="H758" s="3"/>
    </row>
    <row r="759" spans="6:47" x14ac:dyDescent="0.3">
      <c r="F759" s="7"/>
      <c r="G759" s="7"/>
      <c r="H759" s="3"/>
    </row>
    <row r="764" spans="6:47" x14ac:dyDescent="0.3">
      <c r="M764" s="10" t="s">
        <v>4</v>
      </c>
      <c r="N764" s="10" t="s">
        <v>5</v>
      </c>
      <c r="O764" s="10" t="s">
        <v>6</v>
      </c>
      <c r="P764" s="10" t="s">
        <v>7</v>
      </c>
      <c r="Q764" s="10" t="s">
        <v>8</v>
      </c>
      <c r="R764" s="10" t="s">
        <v>11</v>
      </c>
      <c r="S764" s="10" t="s">
        <v>12</v>
      </c>
      <c r="T764" s="10" t="s">
        <v>13</v>
      </c>
      <c r="U764" s="10" t="s">
        <v>14</v>
      </c>
      <c r="V764" s="10" t="s">
        <v>15</v>
      </c>
      <c r="W764" s="10" t="s">
        <v>16</v>
      </c>
      <c r="Y764" s="10" t="s">
        <v>4</v>
      </c>
      <c r="Z764" s="10" t="s">
        <v>5</v>
      </c>
      <c r="AA764" s="10" t="s">
        <v>6</v>
      </c>
      <c r="AB764" s="10" t="s">
        <v>7</v>
      </c>
      <c r="AC764" s="10" t="s">
        <v>8</v>
      </c>
      <c r="AD764" s="10" t="s">
        <v>11</v>
      </c>
      <c r="AE764" s="10" t="s">
        <v>12</v>
      </c>
      <c r="AF764" s="10" t="s">
        <v>13</v>
      </c>
      <c r="AG764" s="10" t="s">
        <v>14</v>
      </c>
      <c r="AH764" s="10" t="s">
        <v>15</v>
      </c>
      <c r="AI764" s="10" t="s">
        <v>16</v>
      </c>
      <c r="AK764" s="10" t="s">
        <v>4</v>
      </c>
      <c r="AL764" s="10" t="s">
        <v>5</v>
      </c>
      <c r="AM764" s="10" t="s">
        <v>6</v>
      </c>
      <c r="AN764" s="10" t="s">
        <v>7</v>
      </c>
      <c r="AO764" s="10" t="s">
        <v>8</v>
      </c>
      <c r="AP764" s="10" t="s">
        <v>11</v>
      </c>
      <c r="AQ764" s="10" t="s">
        <v>12</v>
      </c>
      <c r="AR764" s="10" t="s">
        <v>13</v>
      </c>
      <c r="AS764" s="10" t="s">
        <v>14</v>
      </c>
      <c r="AT764" s="10" t="s">
        <v>15</v>
      </c>
      <c r="AU764" s="10" t="s">
        <v>16</v>
      </c>
    </row>
    <row r="765" spans="6:47" x14ac:dyDescent="0.3">
      <c r="L765" s="4" t="s">
        <v>215</v>
      </c>
      <c r="M765">
        <f t="shared" ref="M765:W765" si="115">AVERAGEIF($H$384:$H$759, "=1", M384:M759)</f>
        <v>2408467.8947368427</v>
      </c>
      <c r="N765">
        <f t="shared" si="115"/>
        <v>2743431.4052631576</v>
      </c>
      <c r="O765">
        <f t="shared" si="115"/>
        <v>2801412.7684210525</v>
      </c>
      <c r="P765">
        <f t="shared" si="115"/>
        <v>3929169.3368421048</v>
      </c>
      <c r="Q765">
        <f t="shared" si="115"/>
        <v>2174911.3052631579</v>
      </c>
      <c r="R765">
        <f t="shared" si="115"/>
        <v>4556204.4736842103</v>
      </c>
      <c r="S765">
        <f t="shared" si="115"/>
        <v>2738096.8315789476</v>
      </c>
      <c r="T765">
        <f t="shared" si="115"/>
        <v>4656147.4789473685</v>
      </c>
      <c r="U765">
        <f t="shared" si="115"/>
        <v>3577666.4315789477</v>
      </c>
      <c r="V765">
        <f t="shared" si="115"/>
        <v>7453565.2631578948</v>
      </c>
      <c r="W765">
        <f t="shared" si="115"/>
        <v>4181764.0842105262</v>
      </c>
      <c r="X765" s="4" t="s">
        <v>215</v>
      </c>
      <c r="Y765">
        <f t="shared" ref="Y765:AI765" si="116">AVERAGEIF($H$384:$H$759, "=1", Y384:Y759)</f>
        <v>2.1598267327363017</v>
      </c>
      <c r="Z765">
        <f t="shared" si="116"/>
        <v>2.5616975615202371</v>
      </c>
      <c r="AA765">
        <f t="shared" si="116"/>
        <v>2.5825794715682457</v>
      </c>
      <c r="AB765">
        <f t="shared" si="116"/>
        <v>2.9966932935257264</v>
      </c>
      <c r="AC765">
        <f t="shared" si="116"/>
        <v>2.4677740033898248</v>
      </c>
      <c r="AD765">
        <f t="shared" si="116"/>
        <v>3.7183700868767975</v>
      </c>
      <c r="AE765">
        <f t="shared" si="116"/>
        <v>2.7152437967223748</v>
      </c>
      <c r="AF765">
        <f t="shared" si="116"/>
        <v>2.2138695855410524</v>
      </c>
      <c r="AG765">
        <f t="shared" si="116"/>
        <v>2.1536799174914201</v>
      </c>
      <c r="AH765">
        <f t="shared" si="116"/>
        <v>4.2239395179788852</v>
      </c>
      <c r="AI765">
        <f t="shared" si="116"/>
        <v>5.2337021045475636</v>
      </c>
      <c r="AJ765" s="4" t="s">
        <v>215</v>
      </c>
      <c r="AK765">
        <f t="shared" ref="AK765:AU765" si="117">AVERAGEIF($H$384:$H$759, "=1", AK384:AK759)</f>
        <v>2.1598267327363017</v>
      </c>
      <c r="AL765">
        <f t="shared" si="117"/>
        <v>1.1421207765218384</v>
      </c>
      <c r="AM765">
        <f t="shared" si="117"/>
        <v>1.1690415602177382</v>
      </c>
      <c r="AN765">
        <f t="shared" si="117"/>
        <v>2.9966932935257264</v>
      </c>
      <c r="AO765">
        <f t="shared" si="117"/>
        <v>1.1999971800742635</v>
      </c>
      <c r="AP765">
        <f t="shared" si="117"/>
        <v>3.7183700868767975</v>
      </c>
      <c r="AQ765">
        <f t="shared" si="117"/>
        <v>1.2985928221513812</v>
      </c>
      <c r="AR765">
        <f t="shared" si="117"/>
        <v>1.2762824109972963</v>
      </c>
      <c r="AS765">
        <f t="shared" si="117"/>
        <v>0.53040182029577221</v>
      </c>
      <c r="AT765">
        <f t="shared" si="117"/>
        <v>4.2239395179788852</v>
      </c>
      <c r="AU765">
        <f t="shared" si="117"/>
        <v>3.7116679573786984</v>
      </c>
    </row>
    <row r="766" spans="6:47" x14ac:dyDescent="0.3">
      <c r="L766" s="4" t="s">
        <v>216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1531539.8</v>
      </c>
      <c r="O766" cm="1">
        <f t="array" ref="O766">MEDIAN(_xlfn._xlws.FILTER(O384:O759, $H$384:$H$759=1))</f>
        <v>1561343.1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821674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1071795.8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3780997.2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1683047.9</v>
      </c>
      <c r="X766" s="4" t="s">
        <v>216</v>
      </c>
      <c r="Y766" cm="1">
        <f t="array" ref="Y766">MEDIAN(_xlfn._xlws.FILTER(Y384:Y759, $H$384:$H$759=1))</f>
        <v>1.8740376608970108</v>
      </c>
      <c r="Z766" cm="1">
        <f t="array" ref="Z766">MEDIAN(_xlfn._xlws.FILTER(Z384:Z759, $H$384:$H$759=1))</f>
        <v>1.7124741655250544</v>
      </c>
      <c r="AA766" cm="1">
        <f t="array" ref="AA766">MEDIAN(_xlfn._xlws.FILTER(AA384:AA759, $H$384:$H$759=1))</f>
        <v>1.7128647157631349</v>
      </c>
      <c r="AB766" cm="1">
        <f t="array" ref="AB766">MEDIAN(_xlfn._xlws.FILTER(AB384:AB759, $H$384:$H$759=1))</f>
        <v>2.1432157257979272</v>
      </c>
      <c r="AC766" cm="1">
        <f t="array" ref="AC766">MEDIAN(_xlfn._xlws.FILTER(AC384:AC759, $H$384:$H$759=1))</f>
        <v>1.3509294731018602</v>
      </c>
      <c r="AD766" cm="1">
        <f t="array" ref="AD766">MEDIAN(_xlfn._xlws.FILTER(AD384:AD759, $H$384:$H$759=1))</f>
        <v>2.1672701465955471</v>
      </c>
      <c r="AE766" cm="1">
        <f t="array" ref="AE766">MEDIAN(_xlfn._xlws.FILTER(AE384:AE759, $H$384:$H$759=1))</f>
        <v>1.492734232766088</v>
      </c>
      <c r="AF766" cm="1">
        <f t="array" ref="AF766">MEDIAN(_xlfn._xlws.FILTER(AF384:AF759, $H$384:$H$759=1))</f>
        <v>1.7610382740152999</v>
      </c>
      <c r="AG766" cm="1">
        <f t="array" ref="AG766">MEDIAN(_xlfn._xlws.FILTER(AG384:AG759, $H$384:$H$759=1))</f>
        <v>2.3958950202446427</v>
      </c>
      <c r="AH766" cm="1">
        <f t="array" ref="AH766">MEDIAN(_xlfn._xlws.FILTER(AH384:AH759, $H$384:$H$759=1))</f>
        <v>3.6454285743006043</v>
      </c>
      <c r="AI766" cm="1">
        <f t="array" ref="AI766">MEDIAN(_xlfn._xlws.FILTER(AI384:AI759, $H$384:$H$759=1))</f>
        <v>2.7588588373968381</v>
      </c>
      <c r="AJ766" s="4" t="s">
        <v>216</v>
      </c>
      <c r="AK766" cm="1">
        <f t="array" ref="AK766">MEDIAN(_xlfn._xlws.FILTER(AK384:AK759, $H$384:$H$759=1))</f>
        <v>1.8740376608970108</v>
      </c>
      <c r="AL766" cm="1">
        <f t="array" ref="AL766">MEDIAN(_xlfn._xlws.FILTER(AL384:AL759, $H$384:$H$759=1))</f>
        <v>0.71356216219137425</v>
      </c>
      <c r="AM766" cm="1">
        <f t="array" ref="AM766">MEDIAN(_xlfn._xlws.FILTER(AM384:AM759, $H$384:$H$759=1))</f>
        <v>0.71258515630033803</v>
      </c>
      <c r="AN766" cm="1">
        <f t="array" ref="AN766">MEDIAN(_xlfn._xlws.FILTER(AN384:AN759, $H$384:$H$759=1))</f>
        <v>2.1432157257979272</v>
      </c>
      <c r="AO766" cm="1">
        <f t="array" ref="AO766">MEDIAN(_xlfn._xlws.FILTER(AO384:AO759, $H$384:$H$759=1))</f>
        <v>0.59868635910388546</v>
      </c>
      <c r="AP766" cm="1">
        <f t="array" ref="AP766">MEDIAN(_xlfn._xlws.FILTER(AP384:AP759, $H$384:$H$759=1))</f>
        <v>2.1672701465955471</v>
      </c>
      <c r="AQ766" cm="1">
        <f t="array" ref="AQ766">MEDIAN(_xlfn._xlws.FILTER(AQ384:AQ759, $H$384:$H$759=1))</f>
        <v>0.68447302509448493</v>
      </c>
      <c r="AR766" cm="1">
        <f t="array" ref="AR766">MEDIAN(_xlfn._xlws.FILTER(AR384:AR759, $H$384:$H$759=1))</f>
        <v>1.0364064949855674</v>
      </c>
      <c r="AS766" cm="1">
        <f t="array" ref="AS766">MEDIAN(_xlfn._xlws.FILTER(AS384:AS759, $H$384:$H$759=1))</f>
        <v>0.5231807558855508</v>
      </c>
      <c r="AT766" cm="1">
        <f t="array" ref="AT766">MEDIAN(_xlfn._xlws.FILTER(AT384:AT759, $H$384:$H$759=1))</f>
        <v>3.6454285743006043</v>
      </c>
      <c r="AU766" cm="1">
        <f t="array" ref="AU766">MEDIAN(_xlfn._xlws.FILTER(AU384:AU759, $H$384:$H$759=1))</f>
        <v>1.4934935579076409</v>
      </c>
    </row>
    <row r="769" spans="12:32" x14ac:dyDescent="0.3">
      <c r="M769" s="10" t="s">
        <v>5</v>
      </c>
      <c r="N769" s="10" t="s">
        <v>6</v>
      </c>
      <c r="O769" s="10" t="s">
        <v>8</v>
      </c>
      <c r="P769" s="10" t="s">
        <v>12</v>
      </c>
      <c r="Q769" s="10" t="s">
        <v>14</v>
      </c>
      <c r="R769" s="10" t="s">
        <v>16</v>
      </c>
      <c r="T769" s="10" t="s">
        <v>5</v>
      </c>
      <c r="U769" s="10" t="s">
        <v>6</v>
      </c>
      <c r="V769" s="10" t="s">
        <v>8</v>
      </c>
      <c r="W769" s="10" t="s">
        <v>12</v>
      </c>
      <c r="X769" s="10" t="s">
        <v>14</v>
      </c>
      <c r="Y769" s="10" t="s">
        <v>16</v>
      </c>
      <c r="AA769" s="10" t="s">
        <v>5</v>
      </c>
      <c r="AB769" s="10" t="s">
        <v>6</v>
      </c>
      <c r="AC769" s="10" t="s">
        <v>8</v>
      </c>
      <c r="AD769" s="10" t="s">
        <v>12</v>
      </c>
      <c r="AE769" s="10" t="s">
        <v>14</v>
      </c>
      <c r="AF769" s="10" t="s">
        <v>16</v>
      </c>
    </row>
    <row r="770" spans="12:32" x14ac:dyDescent="0.3">
      <c r="L770" s="4" t="s">
        <v>215</v>
      </c>
      <c r="M770">
        <f>N765</f>
        <v>2743431.4052631576</v>
      </c>
      <c r="N770">
        <f>O765</f>
        <v>2801412.7684210525</v>
      </c>
      <c r="O770">
        <f>Q765</f>
        <v>2174911.3052631579</v>
      </c>
      <c r="P770">
        <f>S765</f>
        <v>2738096.8315789476</v>
      </c>
      <c r="Q770">
        <f>U765</f>
        <v>3577666.4315789477</v>
      </c>
      <c r="R770">
        <f>W765</f>
        <v>4181764.0842105262</v>
      </c>
      <c r="S770" s="4" t="s">
        <v>215</v>
      </c>
      <c r="T770">
        <f>Z765</f>
        <v>2.5616975615202371</v>
      </c>
      <c r="U770">
        <f>AA765</f>
        <v>2.5825794715682457</v>
      </c>
      <c r="V770">
        <f>AC765</f>
        <v>2.4677740033898248</v>
      </c>
      <c r="W770">
        <f>AE765</f>
        <v>2.7152437967223748</v>
      </c>
      <c r="X770">
        <f>AG765</f>
        <v>2.1536799174914201</v>
      </c>
      <c r="Y770">
        <f>AI765</f>
        <v>5.2337021045475636</v>
      </c>
      <c r="Z770" s="4" t="s">
        <v>215</v>
      </c>
      <c r="AA770">
        <f>AL765</f>
        <v>1.1421207765218384</v>
      </c>
      <c r="AB770">
        <f>AM765</f>
        <v>1.1690415602177382</v>
      </c>
      <c r="AC770">
        <f>AO765</f>
        <v>1.1999971800742635</v>
      </c>
      <c r="AD770">
        <f>AQ765</f>
        <v>1.2985928221513812</v>
      </c>
      <c r="AE770">
        <f>AS765</f>
        <v>0.53040182029577221</v>
      </c>
      <c r="AF770">
        <f>AU765</f>
        <v>3.7116679573786984</v>
      </c>
    </row>
    <row r="771" spans="12:32" x14ac:dyDescent="0.3">
      <c r="L771" s="4" t="s">
        <v>216</v>
      </c>
      <c r="M771">
        <f>N766</f>
        <v>1531539.8</v>
      </c>
      <c r="N771">
        <f>O766</f>
        <v>1561343.1</v>
      </c>
      <c r="O771">
        <f>Q766</f>
        <v>821674</v>
      </c>
      <c r="P771">
        <f>S766</f>
        <v>1071795.8</v>
      </c>
      <c r="Q771">
        <f>U766</f>
        <v>3780997.2</v>
      </c>
      <c r="R771">
        <f>W766</f>
        <v>1683047.9</v>
      </c>
      <c r="S771" s="4" t="s">
        <v>216</v>
      </c>
      <c r="T771">
        <f>Z766</f>
        <v>1.7124741655250544</v>
      </c>
      <c r="U771">
        <f>AA766</f>
        <v>1.7128647157631349</v>
      </c>
      <c r="V771">
        <f>AC766</f>
        <v>1.3509294731018602</v>
      </c>
      <c r="W771">
        <f>AE766</f>
        <v>1.492734232766088</v>
      </c>
      <c r="X771">
        <f>AG766</f>
        <v>2.3958950202446427</v>
      </c>
      <c r="Y771">
        <f>AI766</f>
        <v>2.7588588373968381</v>
      </c>
      <c r="Z771" s="4" t="s">
        <v>216</v>
      </c>
      <c r="AA771">
        <f>AL766</f>
        <v>0.71356216219137425</v>
      </c>
      <c r="AB771">
        <f>AM766</f>
        <v>0.71258515630033803</v>
      </c>
      <c r="AC771">
        <f>AO766</f>
        <v>0.59868635910388546</v>
      </c>
      <c r="AD771">
        <f>AQ766</f>
        <v>0.68447302509448493</v>
      </c>
      <c r="AE771">
        <f>AS766</f>
        <v>0.5231807558855508</v>
      </c>
      <c r="AF771">
        <f>AU766</f>
        <v>1.4934935579076409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2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37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02C2-25FA-4397-B872-CC94844E79C2}">
  <dimension ref="A1:AY771"/>
  <sheetViews>
    <sheetView topLeftCell="O751" zoomScaleNormal="100" workbookViewId="0">
      <selection activeCell="AI766" sqref="AI766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13" t="s">
        <v>0</v>
      </c>
      <c r="N1" s="12"/>
      <c r="O1" s="12"/>
      <c r="P1" s="12"/>
      <c r="Q1" s="12"/>
      <c r="R1" s="12"/>
      <c r="S1" s="12"/>
      <c r="T1" s="12"/>
      <c r="U1" s="12"/>
      <c r="V1" s="12"/>
      <c r="W1" s="12"/>
      <c r="Y1" s="13" t="s">
        <v>217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K1" s="13" t="s">
        <v>2</v>
      </c>
      <c r="AL1" s="12"/>
      <c r="AM1" s="12"/>
      <c r="AN1" s="12"/>
      <c r="AO1" s="12"/>
      <c r="AP1" s="12"/>
      <c r="AQ1" s="12"/>
      <c r="AR1" s="12"/>
      <c r="AS1" s="12"/>
      <c r="AT1" s="12"/>
      <c r="AU1" s="12"/>
      <c r="AW1" s="6" t="s">
        <v>218</v>
      </c>
    </row>
    <row r="2" spans="1:51" x14ac:dyDescent="0.3">
      <c r="F2" s="7" t="s">
        <v>219</v>
      </c>
      <c r="G2" s="7" t="s">
        <v>220</v>
      </c>
      <c r="H2" t="s">
        <v>214</v>
      </c>
      <c r="I2" t="s">
        <v>221</v>
      </c>
      <c r="J2" t="s">
        <v>222</v>
      </c>
      <c r="K2" t="s">
        <v>223</v>
      </c>
      <c r="L2" t="s">
        <v>224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15</v>
      </c>
      <c r="AI2" s="2" t="s">
        <v>16</v>
      </c>
      <c r="AK2" s="2" t="s">
        <v>4</v>
      </c>
      <c r="AL2" s="2" t="s">
        <v>5</v>
      </c>
      <c r="AM2" s="2" t="s">
        <v>6</v>
      </c>
      <c r="AN2" s="2" t="s">
        <v>7</v>
      </c>
      <c r="AO2" s="2" t="s">
        <v>8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16</v>
      </c>
      <c r="AW2" s="2" t="s">
        <v>17</v>
      </c>
      <c r="AY2" s="5" t="s">
        <v>225</v>
      </c>
    </row>
    <row r="3" spans="1:51" x14ac:dyDescent="0.3">
      <c r="A3">
        <v>21</v>
      </c>
      <c r="B3" t="s">
        <v>18</v>
      </c>
      <c r="C3" t="s">
        <v>19</v>
      </c>
      <c r="D3" t="s">
        <v>20</v>
      </c>
      <c r="F3" s="7">
        <v>0</v>
      </c>
      <c r="G3" s="7">
        <v>0</v>
      </c>
      <c r="H3" s="3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1.3528373396024109</v>
      </c>
      <c r="Z3">
        <v>1.7804736382211559</v>
      </c>
      <c r="AA3">
        <v>1.7989318209583871</v>
      </c>
      <c r="AB3">
        <v>1.608503560605459</v>
      </c>
      <c r="AC3">
        <v>1.5691071045643179</v>
      </c>
      <c r="AD3">
        <v>1.0889937022002409</v>
      </c>
      <c r="AE3">
        <v>1.866409108031075</v>
      </c>
      <c r="AF3">
        <v>1.5281491631991231</v>
      </c>
      <c r="AG3">
        <v>2.359129574219696</v>
      </c>
      <c r="AH3">
        <v>3.040689163608477</v>
      </c>
      <c r="AI3">
        <v>3.9605328239500519</v>
      </c>
      <c r="AK3">
        <v>1.3528373396024109</v>
      </c>
      <c r="AL3">
        <v>0.46523461217293521</v>
      </c>
      <c r="AM3">
        <v>0.47606677277944981</v>
      </c>
      <c r="AN3">
        <v>1.608503560605459</v>
      </c>
      <c r="AO3">
        <v>0.46240434778155759</v>
      </c>
      <c r="AP3">
        <v>1.0889937022002409</v>
      </c>
      <c r="AQ3">
        <v>0.49387636061292139</v>
      </c>
      <c r="AR3">
        <v>0.9788533970015123</v>
      </c>
      <c r="AS3">
        <v>0.38676818904932592</v>
      </c>
      <c r="AT3">
        <v>3.040689163608477</v>
      </c>
      <c r="AU3">
        <v>2.3079172436031512</v>
      </c>
      <c r="AW3">
        <v>0.13484230139292769</v>
      </c>
      <c r="AY3">
        <v>-0.35233006178009058</v>
      </c>
    </row>
    <row r="4" spans="1:51" x14ac:dyDescent="0.3">
      <c r="A4">
        <v>21</v>
      </c>
      <c r="B4" t="s">
        <v>21</v>
      </c>
      <c r="C4" t="s">
        <v>19</v>
      </c>
      <c r="D4" t="s">
        <v>20</v>
      </c>
      <c r="F4" s="7">
        <v>0</v>
      </c>
      <c r="G4" s="7">
        <v>1</v>
      </c>
      <c r="H4" s="3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8.3987103667925105</v>
      </c>
      <c r="Z4">
        <v>5.6995865858043544</v>
      </c>
      <c r="AA4">
        <v>5.7888324147323136</v>
      </c>
      <c r="AB4">
        <v>7.9635833644017113</v>
      </c>
      <c r="AC4">
        <v>3.1551361128047568</v>
      </c>
      <c r="AD4">
        <v>11.354685336013789</v>
      </c>
      <c r="AE4">
        <v>5.8008373781922273</v>
      </c>
      <c r="AF4">
        <v>2.2395781444269232</v>
      </c>
      <c r="AG4">
        <v>2.5840376746258702</v>
      </c>
      <c r="AH4">
        <v>8.281184553203639</v>
      </c>
      <c r="AI4">
        <v>9.2663305790163584</v>
      </c>
      <c r="AK4">
        <v>8.3987103667925105</v>
      </c>
      <c r="AL4">
        <v>1.9179782529943621</v>
      </c>
      <c r="AM4">
        <v>2.0175543862045742</v>
      </c>
      <c r="AN4">
        <v>7.9635833644017113</v>
      </c>
      <c r="AO4">
        <v>0.96779635879211123</v>
      </c>
      <c r="AP4">
        <v>11.354685336013789</v>
      </c>
      <c r="AQ4">
        <v>1.601994340191595</v>
      </c>
      <c r="AR4">
        <v>1.2717490690294651</v>
      </c>
      <c r="AS4">
        <v>0.53269425916951152</v>
      </c>
      <c r="AT4">
        <v>8.281184553203639</v>
      </c>
      <c r="AU4">
        <v>6.644337541598361</v>
      </c>
      <c r="AW4">
        <v>0.1426878133788704</v>
      </c>
      <c r="AY4">
        <v>-5.8564036138107199E-2</v>
      </c>
    </row>
    <row r="5" spans="1:51" x14ac:dyDescent="0.3">
      <c r="A5">
        <v>21</v>
      </c>
      <c r="B5" t="s">
        <v>22</v>
      </c>
      <c r="C5" t="s">
        <v>19</v>
      </c>
      <c r="D5" t="s">
        <v>20</v>
      </c>
      <c r="F5" s="7">
        <v>0</v>
      </c>
      <c r="G5" s="7">
        <v>1</v>
      </c>
      <c r="H5" s="3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3.8965803782106381</v>
      </c>
      <c r="Z5">
        <v>3.129314509418327</v>
      </c>
      <c r="AA5">
        <v>3.1165689921355808</v>
      </c>
      <c r="AB5">
        <v>2.315118458593497</v>
      </c>
      <c r="AC5">
        <v>1.787758114596363</v>
      </c>
      <c r="AD5">
        <v>1.7500886223861021</v>
      </c>
      <c r="AE5">
        <v>1.818579767167102</v>
      </c>
      <c r="AF5">
        <v>1.5827514785924</v>
      </c>
      <c r="AG5">
        <v>2.1768202927545639</v>
      </c>
      <c r="AH5">
        <v>3.8325771741918291</v>
      </c>
      <c r="AI5">
        <v>4.0426014577620659</v>
      </c>
      <c r="AK5">
        <v>3.8965803782106381</v>
      </c>
      <c r="AL5">
        <v>1.0829028985928739</v>
      </c>
      <c r="AM5">
        <v>1.0814225423499011</v>
      </c>
      <c r="AN5">
        <v>2.315118458593497</v>
      </c>
      <c r="AO5">
        <v>0.6954789362091105</v>
      </c>
      <c r="AP5">
        <v>1.7500886223861021</v>
      </c>
      <c r="AQ5">
        <v>0.57646843619877475</v>
      </c>
      <c r="AR5">
        <v>1.054822362796404</v>
      </c>
      <c r="AS5">
        <v>0.44379587523872033</v>
      </c>
      <c r="AT5">
        <v>3.8325771741918291</v>
      </c>
      <c r="AU5">
        <v>2.4709772035595958</v>
      </c>
      <c r="AW5">
        <v>0.14560111319879071</v>
      </c>
      <c r="AY5">
        <v>-0.12790195555663891</v>
      </c>
    </row>
    <row r="6" spans="1:51" x14ac:dyDescent="0.3">
      <c r="A6">
        <v>21</v>
      </c>
      <c r="B6" t="s">
        <v>23</v>
      </c>
      <c r="C6" t="s">
        <v>19</v>
      </c>
      <c r="D6" t="s">
        <v>20</v>
      </c>
      <c r="F6" s="7">
        <v>0</v>
      </c>
      <c r="G6" s="7">
        <v>0</v>
      </c>
      <c r="H6" s="3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4.455371153389569</v>
      </c>
      <c r="Z6">
        <v>2.7874208733555861</v>
      </c>
      <c r="AA6">
        <v>2.7923472332069652</v>
      </c>
      <c r="AB6">
        <v>2.5663724343816279</v>
      </c>
      <c r="AC6">
        <v>1.7913467591803061</v>
      </c>
      <c r="AD6">
        <v>2.8465807877946649</v>
      </c>
      <c r="AE6">
        <v>2.2059849691460842</v>
      </c>
      <c r="AF6">
        <v>1.8588769910507841</v>
      </c>
      <c r="AG6">
        <v>1.604660156287719</v>
      </c>
      <c r="AH6">
        <v>5.5633515223977152</v>
      </c>
      <c r="AI6">
        <v>3.1314773581107151</v>
      </c>
      <c r="AK6">
        <v>4.455371153389569</v>
      </c>
      <c r="AL6">
        <v>0.84792237937217574</v>
      </c>
      <c r="AM6">
        <v>0.85889340618159626</v>
      </c>
      <c r="AN6">
        <v>2.5663724343816279</v>
      </c>
      <c r="AO6">
        <v>0.52177113161887978</v>
      </c>
      <c r="AP6">
        <v>2.8465807877946649</v>
      </c>
      <c r="AQ6">
        <v>0.62075654538348313</v>
      </c>
      <c r="AR6">
        <v>1.076573239231948</v>
      </c>
      <c r="AS6">
        <v>0.35352483538445079</v>
      </c>
      <c r="AT6">
        <v>5.5633515223977152</v>
      </c>
      <c r="AU6">
        <v>1.7565720292390321</v>
      </c>
      <c r="AW6">
        <v>0.14919988480396559</v>
      </c>
      <c r="AY6">
        <v>0.11627095377051599</v>
      </c>
    </row>
    <row r="7" spans="1:51" x14ac:dyDescent="0.3">
      <c r="A7">
        <v>21</v>
      </c>
      <c r="B7" t="s">
        <v>24</v>
      </c>
      <c r="C7" t="s">
        <v>19</v>
      </c>
      <c r="D7" t="s">
        <v>20</v>
      </c>
      <c r="F7" s="7">
        <v>0</v>
      </c>
      <c r="G7" s="7">
        <v>1</v>
      </c>
      <c r="H7" s="3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1.7351721730083229</v>
      </c>
      <c r="Z7">
        <v>1.118558106559794</v>
      </c>
      <c r="AA7">
        <v>1.1202910740277729</v>
      </c>
      <c r="AB7">
        <v>3.1639450802060312</v>
      </c>
      <c r="AC7">
        <v>0.90857709880801851</v>
      </c>
      <c r="AD7">
        <v>2.86036666398868</v>
      </c>
      <c r="AE7">
        <v>1.0576216837973329</v>
      </c>
      <c r="AF7">
        <v>2.0229268369963389</v>
      </c>
      <c r="AG7">
        <v>1.9813764414633619</v>
      </c>
      <c r="AH7">
        <v>5.3503981631831268</v>
      </c>
      <c r="AI7">
        <v>1.687006904627196</v>
      </c>
      <c r="AK7">
        <v>1.7351721730083229</v>
      </c>
      <c r="AL7">
        <v>0.37783065639669078</v>
      </c>
      <c r="AM7">
        <v>0.37746638160897422</v>
      </c>
      <c r="AN7">
        <v>3.1639450802060312</v>
      </c>
      <c r="AO7">
        <v>0.29410913540050382</v>
      </c>
      <c r="AP7">
        <v>2.86036666398868</v>
      </c>
      <c r="AQ7">
        <v>0.35026507200673218</v>
      </c>
      <c r="AR7">
        <v>1.106998604990076</v>
      </c>
      <c r="AS7">
        <v>0.34609187606256447</v>
      </c>
      <c r="AT7">
        <v>5.3503981631831268</v>
      </c>
      <c r="AU7">
        <v>0.89005566457053642</v>
      </c>
      <c r="AW7">
        <v>0.14613111820071931</v>
      </c>
      <c r="AY7">
        <v>0.23808717767835699</v>
      </c>
    </row>
    <row r="8" spans="1:51" x14ac:dyDescent="0.3">
      <c r="A8">
        <v>21</v>
      </c>
      <c r="B8" t="s">
        <v>25</v>
      </c>
      <c r="C8" t="s">
        <v>19</v>
      </c>
      <c r="D8" t="s">
        <v>20</v>
      </c>
      <c r="F8" s="7">
        <v>0</v>
      </c>
      <c r="G8" s="7">
        <v>0</v>
      </c>
      <c r="H8" s="3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5.2229898261837659</v>
      </c>
      <c r="Z8">
        <v>6.6303169521735983</v>
      </c>
      <c r="AA8">
        <v>6.6486502304207544</v>
      </c>
      <c r="AB8">
        <v>6.9515799830027394</v>
      </c>
      <c r="AC8">
        <v>3.5294612241967109</v>
      </c>
      <c r="AD8">
        <v>6.2021829653996976</v>
      </c>
      <c r="AE8">
        <v>6.1441774275968779</v>
      </c>
      <c r="AF8">
        <v>1.5137357046129181</v>
      </c>
      <c r="AG8">
        <v>3.3892190851387571</v>
      </c>
      <c r="AH8">
        <v>8.7058219229918912</v>
      </c>
      <c r="AI8">
        <v>10.90990057318704</v>
      </c>
      <c r="AK8">
        <v>5.2229898261837659</v>
      </c>
      <c r="AL8">
        <v>1.7391514812014071</v>
      </c>
      <c r="AM8">
        <v>1.755064099829178</v>
      </c>
      <c r="AN8">
        <v>6.9515799830027394</v>
      </c>
      <c r="AO8">
        <v>1.033669698587619</v>
      </c>
      <c r="AP8">
        <v>6.2021829653996976</v>
      </c>
      <c r="AQ8">
        <v>1.418732193170581</v>
      </c>
      <c r="AR8">
        <v>1.01062221461907</v>
      </c>
      <c r="AS8">
        <v>0.57144634817959739</v>
      </c>
      <c r="AT8">
        <v>8.7058219229918912</v>
      </c>
      <c r="AU8">
        <v>7.8596672058221886</v>
      </c>
      <c r="AW8">
        <v>0.14654987519606941</v>
      </c>
      <c r="AY8">
        <v>8.9505628453601299E-2</v>
      </c>
    </row>
    <row r="9" spans="1:51" x14ac:dyDescent="0.3">
      <c r="A9">
        <v>21</v>
      </c>
      <c r="B9" t="s">
        <v>26</v>
      </c>
      <c r="C9" t="s">
        <v>19</v>
      </c>
      <c r="D9" t="s">
        <v>20</v>
      </c>
      <c r="F9" s="7">
        <v>0</v>
      </c>
      <c r="G9" s="7">
        <v>0</v>
      </c>
      <c r="H9" s="3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2.1961747827939688</v>
      </c>
      <c r="Z9">
        <v>1.645241902803537</v>
      </c>
      <c r="AA9">
        <v>1.6530100714066061</v>
      </c>
      <c r="AB9">
        <v>2.030671906995122</v>
      </c>
      <c r="AC9">
        <v>1.022431558190146</v>
      </c>
      <c r="AD9">
        <v>1.690759791794699</v>
      </c>
      <c r="AE9">
        <v>1.4326805879944</v>
      </c>
      <c r="AF9">
        <v>1.848728867224418</v>
      </c>
      <c r="AG9">
        <v>1.745733705488965</v>
      </c>
      <c r="AH9">
        <v>2.956690071395133</v>
      </c>
      <c r="AI9">
        <v>1.8409903625841251</v>
      </c>
      <c r="AK9">
        <v>2.1961747827939688</v>
      </c>
      <c r="AL9">
        <v>0.53567567119607706</v>
      </c>
      <c r="AM9">
        <v>0.54233909540344027</v>
      </c>
      <c r="AN9">
        <v>2.030671906995122</v>
      </c>
      <c r="AO9">
        <v>0.34388079319614923</v>
      </c>
      <c r="AP9">
        <v>1.690759791794699</v>
      </c>
      <c r="AQ9">
        <v>0.41130288580898189</v>
      </c>
      <c r="AR9">
        <v>1.0833852204261349</v>
      </c>
      <c r="AS9">
        <v>0.3506864580092951</v>
      </c>
      <c r="AT9">
        <v>2.956690071395133</v>
      </c>
      <c r="AU9">
        <v>1.0378046663827261</v>
      </c>
      <c r="AW9">
        <v>0.14718905660556619</v>
      </c>
      <c r="AY9">
        <v>0.14655347955597331</v>
      </c>
    </row>
    <row r="10" spans="1:51" x14ac:dyDescent="0.3">
      <c r="A10">
        <v>21</v>
      </c>
      <c r="B10" t="s">
        <v>27</v>
      </c>
      <c r="C10" t="s">
        <v>19</v>
      </c>
      <c r="D10" t="s">
        <v>20</v>
      </c>
      <c r="F10" s="7">
        <v>0</v>
      </c>
      <c r="G10" s="7">
        <v>1</v>
      </c>
      <c r="H10" s="3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1.671562900790013</v>
      </c>
      <c r="Z10">
        <v>2.9774982518167241</v>
      </c>
      <c r="AA10">
        <v>2.9584462541737588</v>
      </c>
      <c r="AB10">
        <v>1.3107680390006859</v>
      </c>
      <c r="AC10">
        <v>1.4444230860157401</v>
      </c>
      <c r="AD10">
        <v>1.763260207790881</v>
      </c>
      <c r="AE10">
        <v>1.9983649846282789</v>
      </c>
      <c r="AF10">
        <v>1.2172114051878451</v>
      </c>
      <c r="AG10">
        <v>2.0724426903412678</v>
      </c>
      <c r="AH10">
        <v>1.6473160200053829</v>
      </c>
      <c r="AI10">
        <v>3.8715440854080949</v>
      </c>
      <c r="AK10">
        <v>1.671562900790013</v>
      </c>
      <c r="AL10">
        <v>0.7004594019963406</v>
      </c>
      <c r="AM10">
        <v>0.69548992838244883</v>
      </c>
      <c r="AN10">
        <v>1.3107680390006859</v>
      </c>
      <c r="AO10">
        <v>0.42149886841070838</v>
      </c>
      <c r="AP10">
        <v>1.763260207790881</v>
      </c>
      <c r="AQ10">
        <v>0.51170982299372558</v>
      </c>
      <c r="AR10">
        <v>0.78862273618578915</v>
      </c>
      <c r="AS10">
        <v>0.36825285234954203</v>
      </c>
      <c r="AT10">
        <v>1.6473160200053829</v>
      </c>
      <c r="AU10">
        <v>2.374650489434134</v>
      </c>
      <c r="AW10">
        <v>0.14691302740247919</v>
      </c>
      <c r="AY10">
        <v>-5.1621185983610797E-2</v>
      </c>
    </row>
    <row r="11" spans="1:51" x14ac:dyDescent="0.3">
      <c r="A11">
        <v>21</v>
      </c>
      <c r="B11" t="s">
        <v>28</v>
      </c>
      <c r="C11" t="s">
        <v>19</v>
      </c>
      <c r="D11" t="s">
        <v>20</v>
      </c>
      <c r="F11" s="7">
        <v>0</v>
      </c>
      <c r="G11" s="7">
        <v>1</v>
      </c>
      <c r="H11" s="3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6.5223588401917372</v>
      </c>
      <c r="Z11">
        <v>7.1476849289960231</v>
      </c>
      <c r="AA11">
        <v>7.1972472060238939</v>
      </c>
      <c r="AB11">
        <v>9.8975206730014182</v>
      </c>
      <c r="AC11">
        <v>4.9967838543874681</v>
      </c>
      <c r="AD11">
        <v>9.0448170699994073</v>
      </c>
      <c r="AE11">
        <v>7.5961738638347018</v>
      </c>
      <c r="AF11">
        <v>1.663739652419463</v>
      </c>
      <c r="AG11">
        <v>2.7373301494168119</v>
      </c>
      <c r="AH11">
        <v>11.03726069498807</v>
      </c>
      <c r="AI11">
        <v>12.13464337202022</v>
      </c>
      <c r="AK11">
        <v>6.5223588401917372</v>
      </c>
      <c r="AL11">
        <v>2.1240042431862092</v>
      </c>
      <c r="AM11">
        <v>2.1837949053966441</v>
      </c>
      <c r="AN11">
        <v>9.8975206730014182</v>
      </c>
      <c r="AO11">
        <v>1.7949824502051339</v>
      </c>
      <c r="AP11">
        <v>9.0448170699994073</v>
      </c>
      <c r="AQ11">
        <v>2.352179760392755</v>
      </c>
      <c r="AR11">
        <v>1.0548461542231959</v>
      </c>
      <c r="AS11">
        <v>0.45948700818698851</v>
      </c>
      <c r="AT11">
        <v>11.03726069498807</v>
      </c>
      <c r="AU11">
        <v>8.7985225004027594</v>
      </c>
      <c r="AW11">
        <v>0.14972611578414211</v>
      </c>
      <c r="AY11">
        <v>-5.1621185983610797E-2</v>
      </c>
    </row>
    <row r="12" spans="1:51" x14ac:dyDescent="0.3">
      <c r="A12">
        <v>21</v>
      </c>
      <c r="B12" t="s">
        <v>29</v>
      </c>
      <c r="C12" t="s">
        <v>19</v>
      </c>
      <c r="D12" t="s">
        <v>20</v>
      </c>
      <c r="F12" s="7">
        <v>0</v>
      </c>
      <c r="G12" s="7">
        <v>0</v>
      </c>
      <c r="H12" s="3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6.2782799296081064</v>
      </c>
      <c r="Z12">
        <v>3.9825320875970651</v>
      </c>
      <c r="AA12">
        <v>4.0014622471760957</v>
      </c>
      <c r="AB12">
        <v>12.602407535398379</v>
      </c>
      <c r="AC12">
        <v>4.8429510944290088</v>
      </c>
      <c r="AD12">
        <v>10.168707988201639</v>
      </c>
      <c r="AE12">
        <v>4.9109572124434644</v>
      </c>
      <c r="AF12">
        <v>2.248768721381202</v>
      </c>
      <c r="AG12">
        <v>2.4664406865835189</v>
      </c>
      <c r="AH12">
        <v>12.011527992587069</v>
      </c>
      <c r="AI12">
        <v>7.1827713553560901</v>
      </c>
      <c r="AK12">
        <v>6.2782799296081064</v>
      </c>
      <c r="AL12">
        <v>1.6904926356044601</v>
      </c>
      <c r="AM12">
        <v>1.7273518602014519</v>
      </c>
      <c r="AN12">
        <v>12.602407535398379</v>
      </c>
      <c r="AO12">
        <v>2.0950829108012838</v>
      </c>
      <c r="AP12">
        <v>10.168707988201639</v>
      </c>
      <c r="AQ12">
        <v>1.8527610194054429</v>
      </c>
      <c r="AR12">
        <v>1.2610892075812441</v>
      </c>
      <c r="AS12">
        <v>0.48172693635569891</v>
      </c>
      <c r="AT12">
        <v>12.011527992587069</v>
      </c>
      <c r="AU12">
        <v>4.8324111601919864</v>
      </c>
      <c r="AW12">
        <v>0.14811680420534681</v>
      </c>
      <c r="AY12">
        <v>0.14655347955597331</v>
      </c>
    </row>
    <row r="13" spans="1:51" x14ac:dyDescent="0.3">
      <c r="A13">
        <v>21</v>
      </c>
      <c r="B13" t="s">
        <v>30</v>
      </c>
      <c r="C13" t="s">
        <v>19</v>
      </c>
      <c r="D13" t="s">
        <v>20</v>
      </c>
      <c r="F13" s="7">
        <v>0</v>
      </c>
      <c r="G13" s="7">
        <v>0</v>
      </c>
      <c r="H13" s="3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4.0905486718052986</v>
      </c>
      <c r="Z13">
        <v>4.0030112009728329</v>
      </c>
      <c r="AA13">
        <v>4.0161635790835133</v>
      </c>
      <c r="AB13">
        <v>3.0819295883993618</v>
      </c>
      <c r="AC13">
        <v>2.056968798581511</v>
      </c>
      <c r="AD13">
        <v>3.0702918950235469</v>
      </c>
      <c r="AE13">
        <v>2.4800828957697378</v>
      </c>
      <c r="AF13">
        <v>1.639070466195699</v>
      </c>
      <c r="AG13">
        <v>2.2868723903433419</v>
      </c>
      <c r="AH13">
        <v>4.6049950696062298</v>
      </c>
      <c r="AI13">
        <v>5.1316579387173986</v>
      </c>
      <c r="AK13">
        <v>4.0905486718052986</v>
      </c>
      <c r="AL13">
        <v>0.98756992439739411</v>
      </c>
      <c r="AM13">
        <v>1.000329108210281</v>
      </c>
      <c r="AN13">
        <v>3.0819295883993618</v>
      </c>
      <c r="AO13">
        <v>0.59641164361964916</v>
      </c>
      <c r="AP13">
        <v>3.0702918950235469</v>
      </c>
      <c r="AQ13">
        <v>0.68027284699492152</v>
      </c>
      <c r="AR13">
        <v>1.091127738985233</v>
      </c>
      <c r="AS13">
        <v>0.45440455853240558</v>
      </c>
      <c r="AT13">
        <v>4.6049950696062298</v>
      </c>
      <c r="AU13">
        <v>3.1770340226241389</v>
      </c>
      <c r="AW13">
        <v>0.15011577518889679</v>
      </c>
      <c r="AY13">
        <v>8.9505628453601299E-2</v>
      </c>
    </row>
    <row r="14" spans="1:51" x14ac:dyDescent="0.3">
      <c r="A14">
        <v>21</v>
      </c>
      <c r="B14" t="s">
        <v>31</v>
      </c>
      <c r="C14" t="s">
        <v>19</v>
      </c>
      <c r="D14" t="s">
        <v>20</v>
      </c>
      <c r="F14" s="7">
        <v>0</v>
      </c>
      <c r="G14" s="7">
        <v>1</v>
      </c>
      <c r="H14" s="3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1.9183216638048179</v>
      </c>
      <c r="Z14">
        <v>1.1066080082091501</v>
      </c>
      <c r="AA14">
        <v>1.1134914700058289</v>
      </c>
      <c r="AB14">
        <v>2.949492090195418</v>
      </c>
      <c r="AC14">
        <v>0.8287126103765331</v>
      </c>
      <c r="AD14">
        <v>3.329058999777772</v>
      </c>
      <c r="AE14">
        <v>1.449643788975663</v>
      </c>
      <c r="AF14">
        <v>1.865135136595927</v>
      </c>
      <c r="AG14">
        <v>1.5719113001483489</v>
      </c>
      <c r="AH14">
        <v>5.2431721363915127</v>
      </c>
      <c r="AI14">
        <v>1.2671094201970849</v>
      </c>
      <c r="AK14">
        <v>1.9183216638048179</v>
      </c>
      <c r="AL14">
        <v>0.37765025020344178</v>
      </c>
      <c r="AM14">
        <v>0.37994315361138431</v>
      </c>
      <c r="AN14">
        <v>2.949492090195418</v>
      </c>
      <c r="AO14">
        <v>0.31626447598682722</v>
      </c>
      <c r="AP14">
        <v>3.329058999777772</v>
      </c>
      <c r="AQ14">
        <v>0.44560159140964972</v>
      </c>
      <c r="AR14">
        <v>1.0808783571934331</v>
      </c>
      <c r="AS14">
        <v>0.33644002219662072</v>
      </c>
      <c r="AT14">
        <v>5.2431721363915127</v>
      </c>
      <c r="AU14">
        <v>0.68625467719975863</v>
      </c>
      <c r="AW14">
        <v>0.1487763877958059</v>
      </c>
      <c r="AY14">
        <v>0.23808717767835699</v>
      </c>
    </row>
    <row r="15" spans="1:51" x14ac:dyDescent="0.3">
      <c r="A15">
        <v>21</v>
      </c>
      <c r="B15" t="s">
        <v>32</v>
      </c>
      <c r="C15" t="s">
        <v>19</v>
      </c>
      <c r="D15" t="s">
        <v>20</v>
      </c>
      <c r="F15" s="7">
        <v>0</v>
      </c>
      <c r="G15" s="7">
        <v>0</v>
      </c>
      <c r="H15" s="3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10.504705405200371</v>
      </c>
      <c r="Z15">
        <v>6.8043313811882404</v>
      </c>
      <c r="AA15">
        <v>6.9200539899757132</v>
      </c>
      <c r="AB15">
        <v>11.089513875800179</v>
      </c>
      <c r="AC15">
        <v>6.0690174125775229</v>
      </c>
      <c r="AD15">
        <v>14.61799232958583</v>
      </c>
      <c r="AE15">
        <v>7.9701549204066398</v>
      </c>
      <c r="AF15">
        <v>2.1378655940294271</v>
      </c>
      <c r="AG15">
        <v>2.308709275431466</v>
      </c>
      <c r="AH15">
        <v>12.31799476800952</v>
      </c>
      <c r="AI15">
        <v>10.22149313681293</v>
      </c>
      <c r="AK15">
        <v>10.504705405200371</v>
      </c>
      <c r="AL15">
        <v>2.3568731625797228</v>
      </c>
      <c r="AM15">
        <v>2.4398899859981609</v>
      </c>
      <c r="AN15">
        <v>11.089513875800179</v>
      </c>
      <c r="AO15">
        <v>2.1246231938013809</v>
      </c>
      <c r="AP15">
        <v>14.61799232958583</v>
      </c>
      <c r="AQ15">
        <v>2.7405586694134398</v>
      </c>
      <c r="AR15">
        <v>1.168097629630938</v>
      </c>
      <c r="AS15">
        <v>0.4580335225444287</v>
      </c>
      <c r="AT15">
        <v>12.31799476800952</v>
      </c>
      <c r="AU15">
        <v>6.9923935631988572</v>
      </c>
      <c r="AW15">
        <v>0.1525018665939569</v>
      </c>
      <c r="AY15">
        <v>0.11627095377051599</v>
      </c>
    </row>
    <row r="16" spans="1:51" x14ac:dyDescent="0.3">
      <c r="A16">
        <v>21</v>
      </c>
      <c r="B16" t="s">
        <v>33</v>
      </c>
      <c r="C16" t="s">
        <v>19</v>
      </c>
      <c r="D16" t="s">
        <v>20</v>
      </c>
      <c r="F16" s="7">
        <v>0</v>
      </c>
      <c r="G16" s="7">
        <v>1</v>
      </c>
      <c r="H16" s="3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4.5074937374098223</v>
      </c>
      <c r="Z16">
        <v>6.0431604746263474</v>
      </c>
      <c r="AA16">
        <v>6.0435694867628627</v>
      </c>
      <c r="AB16">
        <v>4.1755316810042133</v>
      </c>
      <c r="AC16">
        <v>4.6450006749946624</v>
      </c>
      <c r="AD16">
        <v>5.2116906589828433</v>
      </c>
      <c r="AE16">
        <v>6.1486739722080532</v>
      </c>
      <c r="AF16">
        <v>1.51136911859503</v>
      </c>
      <c r="AG16">
        <v>3.247490506479517</v>
      </c>
      <c r="AH16">
        <v>6.954115575610194</v>
      </c>
      <c r="AI16">
        <v>10.242875082010871</v>
      </c>
      <c r="AK16">
        <v>4.5074937374098223</v>
      </c>
      <c r="AL16">
        <v>1.905918318999466</v>
      </c>
      <c r="AM16">
        <v>1.902148165379185</v>
      </c>
      <c r="AN16">
        <v>4.1755316810042133</v>
      </c>
      <c r="AO16">
        <v>1.6264826018013989</v>
      </c>
      <c r="AP16">
        <v>5.2116906589828433</v>
      </c>
      <c r="AQ16">
        <v>2.0086247964063659</v>
      </c>
      <c r="AR16">
        <v>1.017611422587652</v>
      </c>
      <c r="AS16">
        <v>0.55383166262181471</v>
      </c>
      <c r="AT16">
        <v>6.954115575610194</v>
      </c>
      <c r="AU16">
        <v>7.2697672578156922</v>
      </c>
      <c r="AW16">
        <v>0.1527227047947235</v>
      </c>
      <c r="AY16">
        <v>-0.12790195555663891</v>
      </c>
    </row>
    <row r="17" spans="1:51" x14ac:dyDescent="0.3">
      <c r="A17">
        <v>21</v>
      </c>
      <c r="B17" t="s">
        <v>34</v>
      </c>
      <c r="C17" t="s">
        <v>19</v>
      </c>
      <c r="D17" t="s">
        <v>20</v>
      </c>
      <c r="F17" s="7">
        <v>0</v>
      </c>
      <c r="G17" s="7">
        <v>1</v>
      </c>
      <c r="H17" s="3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6.0520860933931546</v>
      </c>
      <c r="Z17">
        <v>3.6214799343957571</v>
      </c>
      <c r="AA17">
        <v>3.6504734625807029</v>
      </c>
      <c r="AB17">
        <v>4.6959266285877677</v>
      </c>
      <c r="AC17">
        <v>1.5809022133878901</v>
      </c>
      <c r="AD17">
        <v>4.4824458633898754</v>
      </c>
      <c r="AE17">
        <v>2.1504320658161311</v>
      </c>
      <c r="AF17">
        <v>1.913030897045974</v>
      </c>
      <c r="AG17">
        <v>1.901620029425249</v>
      </c>
      <c r="AH17">
        <v>4.5007799746003014</v>
      </c>
      <c r="AI17">
        <v>4.1428903895430267</v>
      </c>
      <c r="AK17">
        <v>6.0520860933931546</v>
      </c>
      <c r="AL17">
        <v>0.94401900777593251</v>
      </c>
      <c r="AM17">
        <v>0.96692674179794269</v>
      </c>
      <c r="AN17">
        <v>4.6959266285877677</v>
      </c>
      <c r="AO17">
        <v>0.45703408300760201</v>
      </c>
      <c r="AP17">
        <v>4.4824458633898754</v>
      </c>
      <c r="AQ17">
        <v>0.56635720479534934</v>
      </c>
      <c r="AR17">
        <v>1.1264935518614949</v>
      </c>
      <c r="AS17">
        <v>0.39277848426718259</v>
      </c>
      <c r="AT17">
        <v>4.5007799746003014</v>
      </c>
      <c r="AU17">
        <v>2.4181291819782929</v>
      </c>
      <c r="AW17">
        <v>0.15568614959483959</v>
      </c>
      <c r="AY17">
        <v>-5.8564036138107199E-2</v>
      </c>
    </row>
    <row r="18" spans="1:51" x14ac:dyDescent="0.3">
      <c r="A18">
        <v>21</v>
      </c>
      <c r="B18" t="s">
        <v>35</v>
      </c>
      <c r="C18" t="s">
        <v>19</v>
      </c>
      <c r="D18" t="s">
        <v>20</v>
      </c>
      <c r="F18" s="7">
        <v>0</v>
      </c>
      <c r="G18" s="7">
        <v>0</v>
      </c>
      <c r="H18" s="3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0.65460875479038805</v>
      </c>
      <c r="Z18">
        <v>1.4502768296515569</v>
      </c>
      <c r="AA18">
        <v>1.4489594857674091</v>
      </c>
      <c r="AB18">
        <v>0.50944366499315952</v>
      </c>
      <c r="AC18">
        <v>0.91844933338579726</v>
      </c>
      <c r="AD18">
        <v>1.200504202814773</v>
      </c>
      <c r="AE18">
        <v>1.622178927809</v>
      </c>
      <c r="AF18">
        <v>1.2404026458039881</v>
      </c>
      <c r="AG18">
        <v>2.0508241974632262</v>
      </c>
      <c r="AH18">
        <v>3.5182309581432439E-2</v>
      </c>
      <c r="AI18">
        <v>2.1361654619802719</v>
      </c>
      <c r="AK18">
        <v>0.65460875479038805</v>
      </c>
      <c r="AL18">
        <v>0.38329281039768831</v>
      </c>
      <c r="AM18">
        <v>0.37916180617175987</v>
      </c>
      <c r="AN18">
        <v>0.50944366499315952</v>
      </c>
      <c r="AO18">
        <v>0.29640558658866212</v>
      </c>
      <c r="AP18">
        <v>1.200504202814773</v>
      </c>
      <c r="AQ18">
        <v>0.4264604628318921</v>
      </c>
      <c r="AR18">
        <v>0.80880469481926409</v>
      </c>
      <c r="AS18">
        <v>0.36721014721551909</v>
      </c>
      <c r="AT18">
        <v>3.5182309581432439E-2</v>
      </c>
      <c r="AU18">
        <v>0.90226248978869994</v>
      </c>
      <c r="AW18">
        <v>0.15480498019605871</v>
      </c>
      <c r="AY18">
        <v>-0.35233006178009058</v>
      </c>
    </row>
    <row r="19" spans="1:51" x14ac:dyDescent="0.3">
      <c r="A19">
        <v>22</v>
      </c>
      <c r="B19" t="s">
        <v>36</v>
      </c>
      <c r="C19" t="s">
        <v>37</v>
      </c>
      <c r="D19" t="s">
        <v>38</v>
      </c>
      <c r="F19" s="7">
        <v>0</v>
      </c>
      <c r="G19" s="7">
        <v>0</v>
      </c>
      <c r="H19" s="3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5.5889950709883127</v>
      </c>
      <c r="Z19">
        <v>4.1580168992397377</v>
      </c>
      <c r="AA19">
        <v>4.2115880666067822</v>
      </c>
      <c r="AB19">
        <v>14.72793162278831</v>
      </c>
      <c r="AC19">
        <v>12.312848762987411</v>
      </c>
      <c r="AD19">
        <v>11.82769113739487</v>
      </c>
      <c r="AE19">
        <v>7.1141789120156318</v>
      </c>
      <c r="AF19">
        <v>2.2780822913860899</v>
      </c>
      <c r="AG19">
        <v>2.0968402968253939</v>
      </c>
      <c r="AH19">
        <v>7.9651831269846296</v>
      </c>
      <c r="AI19">
        <v>7.8350275934091771</v>
      </c>
      <c r="AK19">
        <v>5.5889950709883127</v>
      </c>
      <c r="AL19">
        <v>1.4051445660181341</v>
      </c>
      <c r="AM19">
        <v>1.444429808412679</v>
      </c>
      <c r="AN19">
        <v>14.72793162278831</v>
      </c>
      <c r="AO19">
        <v>4.4362068374000954</v>
      </c>
      <c r="AP19">
        <v>11.82769113739487</v>
      </c>
      <c r="AQ19">
        <v>2.248913810413796</v>
      </c>
      <c r="AR19">
        <v>1.1811125459964389</v>
      </c>
      <c r="AS19">
        <v>0.49102175331208853</v>
      </c>
      <c r="AT19">
        <v>7.9651831269846296</v>
      </c>
      <c r="AU19">
        <v>4.1951703564380294</v>
      </c>
      <c r="AW19">
        <v>0.25576073420234019</v>
      </c>
      <c r="AY19">
        <v>-1.42142570495999E-2</v>
      </c>
    </row>
    <row r="20" spans="1:51" x14ac:dyDescent="0.3">
      <c r="A20">
        <v>22</v>
      </c>
      <c r="B20" t="s">
        <v>39</v>
      </c>
      <c r="C20" t="s">
        <v>37</v>
      </c>
      <c r="D20" t="s">
        <v>38</v>
      </c>
      <c r="F20" s="7">
        <v>0</v>
      </c>
      <c r="G20" s="7">
        <v>1</v>
      </c>
      <c r="H20" s="3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0.89020973159931605</v>
      </c>
      <c r="Z20">
        <v>0.71760175699600948</v>
      </c>
      <c r="AA20">
        <v>0.70875674240523945</v>
      </c>
      <c r="AB20">
        <v>0.94084328919998372</v>
      </c>
      <c r="AC20">
        <v>0.67224014120874931</v>
      </c>
      <c r="AD20">
        <v>0.57559892538702118</v>
      </c>
      <c r="AE20">
        <v>0.36582353240810328</v>
      </c>
      <c r="AF20">
        <v>2.2647269072243938</v>
      </c>
      <c r="AG20">
        <v>2.0022185326903128</v>
      </c>
      <c r="AH20">
        <v>3.4194355600047861</v>
      </c>
      <c r="AI20">
        <v>0.73573900486808275</v>
      </c>
      <c r="AK20">
        <v>0.89020973159931605</v>
      </c>
      <c r="AL20">
        <v>0.35324678140459581</v>
      </c>
      <c r="AM20">
        <v>0.34367622160352762</v>
      </c>
      <c r="AN20">
        <v>0.94084328919998372</v>
      </c>
      <c r="AO20">
        <v>0.3253171030024532</v>
      </c>
      <c r="AP20">
        <v>0.57559892538702118</v>
      </c>
      <c r="AQ20">
        <v>0.2707552859908901</v>
      </c>
      <c r="AR20">
        <v>1.1807839478133251</v>
      </c>
      <c r="AS20">
        <v>0.46746338736265902</v>
      </c>
      <c r="AT20">
        <v>3.4194355600047861</v>
      </c>
      <c r="AU20">
        <v>0.54646902165841316</v>
      </c>
      <c r="AW20">
        <v>0.25493581938790161</v>
      </c>
      <c r="AY20">
        <v>0.1343779946496001</v>
      </c>
    </row>
    <row r="21" spans="1:51" x14ac:dyDescent="0.3">
      <c r="A21">
        <v>22</v>
      </c>
      <c r="B21" t="s">
        <v>40</v>
      </c>
      <c r="C21" t="s">
        <v>37</v>
      </c>
      <c r="D21" t="s">
        <v>38</v>
      </c>
      <c r="F21" s="7">
        <v>0</v>
      </c>
      <c r="G21" s="7">
        <v>1</v>
      </c>
      <c r="H21" s="3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3.8146690099965781</v>
      </c>
      <c r="Z21">
        <v>3.7133888400159778</v>
      </c>
      <c r="AA21">
        <v>3.7274992028134881</v>
      </c>
      <c r="AB21">
        <v>3.3290618086059109</v>
      </c>
      <c r="AC21">
        <v>2.8445480611699172</v>
      </c>
      <c r="AD21">
        <v>6.5628365718061108</v>
      </c>
      <c r="AE21">
        <v>6.3237439716001971</v>
      </c>
      <c r="AF21">
        <v>2.106261884630658</v>
      </c>
      <c r="AG21">
        <v>2.6900696355965921</v>
      </c>
      <c r="AH21">
        <v>5.1372832861845383</v>
      </c>
      <c r="AI21">
        <v>5.9411928611458276</v>
      </c>
      <c r="AK21">
        <v>3.8146690099965781</v>
      </c>
      <c r="AL21">
        <v>1.1469589543994521</v>
      </c>
      <c r="AM21">
        <v>1.1618270245962781</v>
      </c>
      <c r="AN21">
        <v>3.3290618086059109</v>
      </c>
      <c r="AO21">
        <v>0.98143230759887956</v>
      </c>
      <c r="AP21">
        <v>6.5628365718061108</v>
      </c>
      <c r="AQ21">
        <v>1.957752978429198</v>
      </c>
      <c r="AR21">
        <v>1.200278752832673</v>
      </c>
      <c r="AS21">
        <v>0.53657534457743172</v>
      </c>
      <c r="AT21">
        <v>5.1372832861845383</v>
      </c>
      <c r="AU21">
        <v>3.348200253967661</v>
      </c>
      <c r="AW21">
        <v>0.25555415378184992</v>
      </c>
      <c r="AY21">
        <v>-3.4914852864000097E-2</v>
      </c>
    </row>
    <row r="22" spans="1:51" x14ac:dyDescent="0.3">
      <c r="A22">
        <v>22</v>
      </c>
      <c r="B22" t="s">
        <v>41</v>
      </c>
      <c r="C22" t="s">
        <v>37</v>
      </c>
      <c r="D22" t="s">
        <v>38</v>
      </c>
      <c r="F22" s="7">
        <v>0</v>
      </c>
      <c r="G22" s="7">
        <v>0</v>
      </c>
      <c r="H22" s="3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1.4395265910075981</v>
      </c>
      <c r="Z22">
        <v>2.279684262769297</v>
      </c>
      <c r="AA22">
        <v>2.2760761290322988</v>
      </c>
      <c r="AB22">
        <v>3.4800496205978559</v>
      </c>
      <c r="AC22">
        <v>2.1594570112065412</v>
      </c>
      <c r="AD22">
        <v>2.1673130862065588</v>
      </c>
      <c r="AE22">
        <v>2.9488249361398631</v>
      </c>
      <c r="AF22">
        <v>2.0980703911744061</v>
      </c>
      <c r="AG22">
        <v>2.6544774281443102</v>
      </c>
      <c r="AH22">
        <v>3.7527047845884232</v>
      </c>
      <c r="AI22">
        <v>4.3293794437311588</v>
      </c>
      <c r="AK22">
        <v>1.4395265910075981</v>
      </c>
      <c r="AL22">
        <v>0.68477282059611755</v>
      </c>
      <c r="AM22">
        <v>0.68211523980135103</v>
      </c>
      <c r="AN22">
        <v>3.4800496205978559</v>
      </c>
      <c r="AO22">
        <v>0.85629414640716273</v>
      </c>
      <c r="AP22">
        <v>2.1673130862065588</v>
      </c>
      <c r="AQ22">
        <v>0.91075575418071819</v>
      </c>
      <c r="AR22">
        <v>1.190871158160735</v>
      </c>
      <c r="AS22">
        <v>0.52711657537147405</v>
      </c>
      <c r="AT22">
        <v>3.7527047845884232</v>
      </c>
      <c r="AU22">
        <v>2.171721824991983</v>
      </c>
      <c r="AW22">
        <v>0.25584186878986659</v>
      </c>
      <c r="AY22">
        <v>-8.5248884735999897E-2</v>
      </c>
    </row>
    <row r="23" spans="1:51" x14ac:dyDescent="0.3">
      <c r="A23">
        <v>22</v>
      </c>
      <c r="B23" t="s">
        <v>42</v>
      </c>
      <c r="C23" t="s">
        <v>37</v>
      </c>
      <c r="D23" t="s">
        <v>38</v>
      </c>
      <c r="F23" s="7">
        <v>0</v>
      </c>
      <c r="G23" s="7">
        <v>1</v>
      </c>
      <c r="H23" s="3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1.1558645096025431</v>
      </c>
      <c r="Z23">
        <v>2.2132367288693779</v>
      </c>
      <c r="AA23">
        <v>2.2003879831288939</v>
      </c>
      <c r="AB23">
        <v>2.0845649896014948</v>
      </c>
      <c r="AC23">
        <v>1.4263919556047771</v>
      </c>
      <c r="AD23">
        <v>1.2431251265923491</v>
      </c>
      <c r="AE23">
        <v>2.47618191599613</v>
      </c>
      <c r="AF23">
        <v>2.148098510201089</v>
      </c>
      <c r="AG23">
        <v>2.8273498686263339</v>
      </c>
      <c r="AH23">
        <v>4.4215661300113416</v>
      </c>
      <c r="AI23">
        <v>5.2592865519458432</v>
      </c>
      <c r="AK23">
        <v>1.1558645096025431</v>
      </c>
      <c r="AL23">
        <v>0.6410912446095608</v>
      </c>
      <c r="AM23">
        <v>0.63848979597678412</v>
      </c>
      <c r="AN23">
        <v>2.0845649896014948</v>
      </c>
      <c r="AO23">
        <v>0.53856920860707758</v>
      </c>
      <c r="AP23">
        <v>1.2431251265923491</v>
      </c>
      <c r="AQ23">
        <v>0.74603200519923119</v>
      </c>
      <c r="AR23">
        <v>1.235417473595589</v>
      </c>
      <c r="AS23">
        <v>0.55551655053859572</v>
      </c>
      <c r="AT23">
        <v>4.4215661300113416</v>
      </c>
      <c r="AU23">
        <v>2.1854859811719511</v>
      </c>
      <c r="AW23">
        <v>0.26941724922507998</v>
      </c>
      <c r="AY23">
        <v>-8.5248884735999897E-2</v>
      </c>
    </row>
    <row r="24" spans="1:51" x14ac:dyDescent="0.3">
      <c r="A24">
        <v>22</v>
      </c>
      <c r="B24" t="s">
        <v>43</v>
      </c>
      <c r="C24" t="s">
        <v>37</v>
      </c>
      <c r="D24" t="s">
        <v>38</v>
      </c>
      <c r="F24" s="7">
        <v>0</v>
      </c>
      <c r="G24" s="7">
        <v>0</v>
      </c>
      <c r="H24" s="3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1.9229706075857389</v>
      </c>
      <c r="Z24">
        <v>1.4626096457126549</v>
      </c>
      <c r="AA24">
        <v>1.464737816597335</v>
      </c>
      <c r="AB24">
        <v>2.0794064060086379</v>
      </c>
      <c r="AC24">
        <v>1.0833691987965719</v>
      </c>
      <c r="AD24">
        <v>1.9256839380133901</v>
      </c>
      <c r="AE24">
        <v>0.92471954766660924</v>
      </c>
      <c r="AF24">
        <v>2.1373917083605192</v>
      </c>
      <c r="AG24">
        <v>2.8063453669194129</v>
      </c>
      <c r="AH24">
        <v>4.8848833257914519</v>
      </c>
      <c r="AI24">
        <v>2.6041425286093731</v>
      </c>
      <c r="AK24">
        <v>1.9229706075857389</v>
      </c>
      <c r="AL24">
        <v>0.61663976904237638</v>
      </c>
      <c r="AM24">
        <v>0.60575408079894255</v>
      </c>
      <c r="AN24">
        <v>2.0794064060086379</v>
      </c>
      <c r="AO24">
        <v>0.45839077419368551</v>
      </c>
      <c r="AP24">
        <v>1.9256839380133901</v>
      </c>
      <c r="AQ24">
        <v>0.46628215502714743</v>
      </c>
      <c r="AR24">
        <v>1.2290764639852569</v>
      </c>
      <c r="AS24">
        <v>0.554944740247447</v>
      </c>
      <c r="AT24">
        <v>4.8848833257914519</v>
      </c>
      <c r="AU24">
        <v>1.1208662937977349</v>
      </c>
      <c r="AW24">
        <v>0.26314184779766953</v>
      </c>
      <c r="AY24">
        <v>-3.4914852864000097E-2</v>
      </c>
    </row>
    <row r="25" spans="1:51" x14ac:dyDescent="0.3">
      <c r="A25">
        <v>22</v>
      </c>
      <c r="B25" t="s">
        <v>44</v>
      </c>
      <c r="C25" t="s">
        <v>37</v>
      </c>
      <c r="D25" t="s">
        <v>38</v>
      </c>
      <c r="F25" s="7">
        <v>0</v>
      </c>
      <c r="G25" s="7">
        <v>0</v>
      </c>
      <c r="H25" s="3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0.59828492818633094</v>
      </c>
      <c r="Z25">
        <v>0.74047691095620394</v>
      </c>
      <c r="AA25">
        <v>0.72988046560203657</v>
      </c>
      <c r="AB25">
        <v>0.55254255340551028</v>
      </c>
      <c r="AC25">
        <v>0.68503056300687604</v>
      </c>
      <c r="AD25">
        <v>0.1733117774128913</v>
      </c>
      <c r="AE25">
        <v>0.42310022168094291</v>
      </c>
      <c r="AF25">
        <v>2.1609752216027118</v>
      </c>
      <c r="AG25">
        <v>1.983766100648791</v>
      </c>
      <c r="AH25">
        <v>1.0427957601961679</v>
      </c>
      <c r="AI25">
        <v>0.73372422925895076</v>
      </c>
      <c r="AK25">
        <v>0.59828492818633094</v>
      </c>
      <c r="AL25">
        <v>0.36957914381055162</v>
      </c>
      <c r="AM25">
        <v>0.35989046121248969</v>
      </c>
      <c r="AN25">
        <v>0.55254255340551028</v>
      </c>
      <c r="AO25">
        <v>0.34126780540682372</v>
      </c>
      <c r="AP25">
        <v>0.1733117774128913</v>
      </c>
      <c r="AQ25">
        <v>0.30233840743312612</v>
      </c>
      <c r="AR25">
        <v>1.2429993476136589</v>
      </c>
      <c r="AS25">
        <v>0.48482191518414758</v>
      </c>
      <c r="AT25">
        <v>1.0427957601961679</v>
      </c>
      <c r="AU25">
        <v>0.48680867459624999</v>
      </c>
      <c r="AW25">
        <v>0.26108802141388882</v>
      </c>
      <c r="AY25">
        <v>0.1343779946496001</v>
      </c>
    </row>
    <row r="26" spans="1:51" x14ac:dyDescent="0.3">
      <c r="A26">
        <v>22</v>
      </c>
      <c r="B26" t="s">
        <v>45</v>
      </c>
      <c r="C26" t="s">
        <v>37</v>
      </c>
      <c r="D26" t="s">
        <v>38</v>
      </c>
      <c r="F26" s="7">
        <v>0</v>
      </c>
      <c r="G26" s="7">
        <v>1</v>
      </c>
      <c r="H26" s="3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1.934240008587949</v>
      </c>
      <c r="Z26">
        <v>1.9802389738266359</v>
      </c>
      <c r="AA26">
        <v>1.974277934711427</v>
      </c>
      <c r="AB26">
        <v>1.811879475205205</v>
      </c>
      <c r="AC26">
        <v>1.177031385200098</v>
      </c>
      <c r="AD26">
        <v>2.8660558150033468</v>
      </c>
      <c r="AE26">
        <v>2.0235946998000141</v>
      </c>
      <c r="AF26">
        <v>2.1704034527763718</v>
      </c>
      <c r="AG26">
        <v>2.0421235686750152</v>
      </c>
      <c r="AH26">
        <v>4.9003782937768836</v>
      </c>
      <c r="AI26">
        <v>3.757941311993636</v>
      </c>
      <c r="AK26">
        <v>1.934240008587949</v>
      </c>
      <c r="AL26">
        <v>0.67752121438970792</v>
      </c>
      <c r="AM26">
        <v>0.67182980842189866</v>
      </c>
      <c r="AN26">
        <v>1.811879475205205</v>
      </c>
      <c r="AO26">
        <v>0.44489151539164601</v>
      </c>
      <c r="AP26">
        <v>2.8660558150033468</v>
      </c>
      <c r="AQ26">
        <v>0.76827116499189285</v>
      </c>
      <c r="AR26">
        <v>1.269318034977186</v>
      </c>
      <c r="AS26">
        <v>0.49606498555513101</v>
      </c>
      <c r="AT26">
        <v>4.9003782937768836</v>
      </c>
      <c r="AU26">
        <v>1.7055239842040459</v>
      </c>
      <c r="AW26">
        <v>0.26980127319693559</v>
      </c>
      <c r="AY26">
        <v>-1.42142570495999E-2</v>
      </c>
    </row>
    <row r="27" spans="1:51" x14ac:dyDescent="0.3">
      <c r="A27">
        <v>23</v>
      </c>
      <c r="B27" t="s">
        <v>46</v>
      </c>
      <c r="C27" t="s">
        <v>47</v>
      </c>
      <c r="D27" t="s">
        <v>48</v>
      </c>
      <c r="F27" s="7">
        <v>0</v>
      </c>
      <c r="G27" s="7">
        <v>0</v>
      </c>
      <c r="H27" s="3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2.394523791200482</v>
      </c>
      <c r="Z27">
        <v>2.4984859365310208</v>
      </c>
      <c r="AA27">
        <v>2.4955944460506241</v>
      </c>
      <c r="AB27">
        <v>3.8469693112012471</v>
      </c>
      <c r="AC27">
        <v>2.243214730396478</v>
      </c>
      <c r="AD27">
        <v>2.6979409953928548</v>
      </c>
      <c r="AE27">
        <v>3.0159216980760299</v>
      </c>
      <c r="AF27">
        <v>3.0557383904117161</v>
      </c>
      <c r="AG27">
        <v>3.8216277754516339</v>
      </c>
      <c r="AH27">
        <v>4.3449657396064136</v>
      </c>
      <c r="AI27">
        <v>4.0464934407578159</v>
      </c>
      <c r="AK27">
        <v>2.394523791200482</v>
      </c>
      <c r="AL27">
        <v>0.78298420712429417</v>
      </c>
      <c r="AM27">
        <v>0.79393811287591232</v>
      </c>
      <c r="AN27">
        <v>3.8469693112012471</v>
      </c>
      <c r="AO27">
        <v>0.85442797193730569</v>
      </c>
      <c r="AP27">
        <v>2.6979409953928548</v>
      </c>
      <c r="AQ27">
        <v>0.97588815986722088</v>
      </c>
      <c r="AR27">
        <v>1.570949186407961</v>
      </c>
      <c r="AS27">
        <v>0.65848729106752824</v>
      </c>
      <c r="AT27">
        <v>4.3449657396064136</v>
      </c>
      <c r="AU27">
        <v>2.4127739022757551</v>
      </c>
      <c r="AW27">
        <v>0.20743063599414499</v>
      </c>
      <c r="AY27">
        <v>-0.38741759999999997</v>
      </c>
    </row>
    <row r="28" spans="1:51" x14ac:dyDescent="0.3">
      <c r="A28">
        <v>23</v>
      </c>
      <c r="B28" t="s">
        <v>49</v>
      </c>
      <c r="C28" t="s">
        <v>47</v>
      </c>
      <c r="D28" t="s">
        <v>48</v>
      </c>
      <c r="F28" s="7">
        <v>0</v>
      </c>
      <c r="G28" s="7">
        <v>1</v>
      </c>
      <c r="H28" s="3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0.89793768681120123</v>
      </c>
      <c r="Z28">
        <v>1.6350838919325421</v>
      </c>
      <c r="AA28">
        <v>1.634145535307471</v>
      </c>
      <c r="AB28">
        <v>0.894650272798026</v>
      </c>
      <c r="AC28">
        <v>1.1106332074579159</v>
      </c>
      <c r="AD28">
        <v>0.27804024020442741</v>
      </c>
      <c r="AE28">
        <v>1.730823519662954</v>
      </c>
      <c r="AF28">
        <v>3.029188693000469</v>
      </c>
      <c r="AG28">
        <v>3.7993868303174771</v>
      </c>
      <c r="AH28">
        <v>0.90919390500057484</v>
      </c>
      <c r="AI28">
        <v>2.5589585790371832</v>
      </c>
      <c r="AK28">
        <v>0.89793768681120123</v>
      </c>
      <c r="AL28">
        <v>0.54327393052711459</v>
      </c>
      <c r="AM28">
        <v>0.54145951356428357</v>
      </c>
      <c r="AN28">
        <v>0.894650272798026</v>
      </c>
      <c r="AO28">
        <v>0.41636411106446758</v>
      </c>
      <c r="AP28">
        <v>0.27804024020442741</v>
      </c>
      <c r="AQ28">
        <v>0.58113132918952037</v>
      </c>
      <c r="AR28">
        <v>1.5757317378069271</v>
      </c>
      <c r="AS28">
        <v>0.65349009586498141</v>
      </c>
      <c r="AT28">
        <v>0.90919390500057484</v>
      </c>
      <c r="AU28">
        <v>1.4835520653286951</v>
      </c>
      <c r="AW28">
        <v>0.21256733973277731</v>
      </c>
      <c r="AY28">
        <v>-0.37175039999999998</v>
      </c>
    </row>
    <row r="29" spans="1:51" x14ac:dyDescent="0.3">
      <c r="A29">
        <v>23</v>
      </c>
      <c r="B29" t="s">
        <v>50</v>
      </c>
      <c r="C29" t="s">
        <v>47</v>
      </c>
      <c r="D29" t="s">
        <v>48</v>
      </c>
      <c r="F29" s="7">
        <v>0</v>
      </c>
      <c r="G29" s="7">
        <v>1</v>
      </c>
      <c r="H29" s="3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2.1257680462091231</v>
      </c>
      <c r="Z29">
        <v>2.1151503697969019</v>
      </c>
      <c r="AA29">
        <v>2.1241430885740562</v>
      </c>
      <c r="AB29">
        <v>3.2679051615996291</v>
      </c>
      <c r="AC29">
        <v>1.6616098300728479</v>
      </c>
      <c r="AD29">
        <v>3.003722781199031</v>
      </c>
      <c r="AE29">
        <v>1.992024615942501</v>
      </c>
      <c r="AF29">
        <v>3.5133266895893032</v>
      </c>
      <c r="AG29">
        <v>3.5268823566885348</v>
      </c>
      <c r="AH29">
        <v>4.8060718195978556</v>
      </c>
      <c r="AI29">
        <v>3.087140767772993</v>
      </c>
      <c r="AK29">
        <v>2.1257680462091231</v>
      </c>
      <c r="AL29">
        <v>0.71418605007541669</v>
      </c>
      <c r="AM29">
        <v>0.72326182059089961</v>
      </c>
      <c r="AN29">
        <v>3.2679051615996291</v>
      </c>
      <c r="AO29">
        <v>0.64915919519844467</v>
      </c>
      <c r="AP29">
        <v>3.003722781199031</v>
      </c>
      <c r="AQ29">
        <v>0.75995206186780706</v>
      </c>
      <c r="AR29">
        <v>1.837582277588081</v>
      </c>
      <c r="AS29">
        <v>0.61016181598339858</v>
      </c>
      <c r="AT29">
        <v>4.8060718195978556</v>
      </c>
      <c r="AU29">
        <v>1.599172983268121</v>
      </c>
      <c r="AW29">
        <v>0.20856681653143211</v>
      </c>
      <c r="AY29">
        <v>0.36</v>
      </c>
    </row>
    <row r="30" spans="1:51" x14ac:dyDescent="0.3">
      <c r="A30">
        <v>23</v>
      </c>
      <c r="B30" t="s">
        <v>51</v>
      </c>
      <c r="C30" t="s">
        <v>47</v>
      </c>
      <c r="D30" t="s">
        <v>48</v>
      </c>
      <c r="F30" s="7">
        <v>0</v>
      </c>
      <c r="G30" s="7">
        <v>0</v>
      </c>
      <c r="H30" s="3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1.107755100994837</v>
      </c>
      <c r="Z30">
        <v>1.436987768412413</v>
      </c>
      <c r="AA30">
        <v>1.429381437165042</v>
      </c>
      <c r="AB30">
        <v>0.72753683039918537</v>
      </c>
      <c r="AC30">
        <v>0.85017136159197748</v>
      </c>
      <c r="AD30">
        <v>0.92788259719964117</v>
      </c>
      <c r="AE30">
        <v>1.2366811902456289</v>
      </c>
      <c r="AF30">
        <v>3.4471514430129901</v>
      </c>
      <c r="AG30">
        <v>3.4754440447199162</v>
      </c>
      <c r="AH30">
        <v>0.24908551099942999</v>
      </c>
      <c r="AI30">
        <v>1.465256934248222</v>
      </c>
      <c r="AK30">
        <v>1.107755100994837</v>
      </c>
      <c r="AL30">
        <v>0.54508202599827205</v>
      </c>
      <c r="AM30">
        <v>0.53940503253446281</v>
      </c>
      <c r="AN30">
        <v>0.72753683039918537</v>
      </c>
      <c r="AO30">
        <v>0.35689856866956687</v>
      </c>
      <c r="AP30">
        <v>0.92788259719964117</v>
      </c>
      <c r="AQ30">
        <v>0.5228601246684168</v>
      </c>
      <c r="AR30">
        <v>1.803055020817556</v>
      </c>
      <c r="AS30">
        <v>0.60147440368697669</v>
      </c>
      <c r="AT30">
        <v>0.24908551099942999</v>
      </c>
      <c r="AU30">
        <v>0.79042374452886488</v>
      </c>
      <c r="AW30">
        <v>0.21027544559134789</v>
      </c>
      <c r="AY30">
        <v>0.36</v>
      </c>
    </row>
    <row r="31" spans="1:51" x14ac:dyDescent="0.3">
      <c r="A31">
        <v>23</v>
      </c>
      <c r="B31" t="s">
        <v>52</v>
      </c>
      <c r="C31" t="s">
        <v>47</v>
      </c>
      <c r="D31" t="s">
        <v>48</v>
      </c>
      <c r="F31" s="7">
        <v>0</v>
      </c>
      <c r="G31" s="7">
        <v>1</v>
      </c>
      <c r="H31" s="3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2.4244357363902962</v>
      </c>
      <c r="Z31">
        <v>2.049262263408552</v>
      </c>
      <c r="AA31">
        <v>2.0523741088031482</v>
      </c>
      <c r="AB31">
        <v>1.6278640292002819</v>
      </c>
      <c r="AC31">
        <v>1.3238248451263639</v>
      </c>
      <c r="AD31">
        <v>2.12040552739054</v>
      </c>
      <c r="AE31">
        <v>2.0601064164152678</v>
      </c>
      <c r="AF31">
        <v>2.7790167954633942</v>
      </c>
      <c r="AG31">
        <v>3.0894428522714099</v>
      </c>
      <c r="AH31">
        <v>3.7769304535933772</v>
      </c>
      <c r="AI31">
        <v>2.8128486974591702</v>
      </c>
      <c r="AK31">
        <v>2.4244357363902962</v>
      </c>
      <c r="AL31">
        <v>0.64661764085758477</v>
      </c>
      <c r="AM31">
        <v>0.65226220074497787</v>
      </c>
      <c r="AN31">
        <v>1.6278640292002819</v>
      </c>
      <c r="AO31">
        <v>0.52319397779647259</v>
      </c>
      <c r="AP31">
        <v>2.12040552739054</v>
      </c>
      <c r="AQ31">
        <v>0.72388135521517438</v>
      </c>
      <c r="AR31">
        <v>1.438905514474027</v>
      </c>
      <c r="AS31">
        <v>0.56124525659251956</v>
      </c>
      <c r="AT31">
        <v>3.7769304535933772</v>
      </c>
      <c r="AU31">
        <v>1.5454933544543259</v>
      </c>
      <c r="AW31">
        <v>0.2062583882672091</v>
      </c>
      <c r="AY31">
        <v>0.36</v>
      </c>
    </row>
    <row r="32" spans="1:51" x14ac:dyDescent="0.3">
      <c r="A32">
        <v>23</v>
      </c>
      <c r="B32" t="s">
        <v>53</v>
      </c>
      <c r="C32" t="s">
        <v>47</v>
      </c>
      <c r="D32" t="s">
        <v>48</v>
      </c>
      <c r="F32" s="7">
        <v>0</v>
      </c>
      <c r="G32" s="7">
        <v>0</v>
      </c>
      <c r="H32" s="3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1.148140886810143</v>
      </c>
      <c r="Z32">
        <v>1.4074398657268219</v>
      </c>
      <c r="AA32">
        <v>1.407501759566367</v>
      </c>
      <c r="AB32">
        <v>0.82528053441783411</v>
      </c>
      <c r="AC32">
        <v>0.85808459858720509</v>
      </c>
      <c r="AD32">
        <v>1.367724247183651</v>
      </c>
      <c r="AE32">
        <v>1.5762042942806149</v>
      </c>
      <c r="AF32">
        <v>2.7687044983846141</v>
      </c>
      <c r="AG32">
        <v>3.0714199679282799</v>
      </c>
      <c r="AH32">
        <v>0.89986339100869372</v>
      </c>
      <c r="AI32">
        <v>1.648448762542102</v>
      </c>
      <c r="AK32">
        <v>1.148140886810143</v>
      </c>
      <c r="AL32">
        <v>0.49799145160165298</v>
      </c>
      <c r="AM32">
        <v>0.49900919093439972</v>
      </c>
      <c r="AN32">
        <v>0.82528053441783411</v>
      </c>
      <c r="AO32">
        <v>0.34602850386484829</v>
      </c>
      <c r="AP32">
        <v>1.367724247183651</v>
      </c>
      <c r="AQ32">
        <v>0.53646015712680906</v>
      </c>
      <c r="AR32">
        <v>1.4299813337856899</v>
      </c>
      <c r="AS32">
        <v>0.55269152115797626</v>
      </c>
      <c r="AT32">
        <v>0.89986339100869372</v>
      </c>
      <c r="AU32">
        <v>0.90159826502203944</v>
      </c>
      <c r="AW32">
        <v>0.20542295679139591</v>
      </c>
      <c r="AY32">
        <v>0.36</v>
      </c>
    </row>
    <row r="33" spans="1:51" x14ac:dyDescent="0.3">
      <c r="A33">
        <v>23</v>
      </c>
      <c r="B33" t="s">
        <v>54</v>
      </c>
      <c r="C33" t="s">
        <v>47</v>
      </c>
      <c r="D33" t="s">
        <v>48</v>
      </c>
      <c r="F33" s="7">
        <v>0</v>
      </c>
      <c r="G33" s="7">
        <v>0</v>
      </c>
      <c r="H33" s="3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2.8190078565967269</v>
      </c>
      <c r="Z33">
        <v>2.035054625613459</v>
      </c>
      <c r="AA33">
        <v>2.0351077901936758</v>
      </c>
      <c r="AB33">
        <v>1.053774399595568</v>
      </c>
      <c r="AC33">
        <v>0.82104595475442088</v>
      </c>
      <c r="AD33">
        <v>1.7692972150165589</v>
      </c>
      <c r="AE33">
        <v>1.609809581566757</v>
      </c>
      <c r="AF33">
        <v>3.4017364847706628</v>
      </c>
      <c r="AG33">
        <v>3.0590077880575941</v>
      </c>
      <c r="AH33">
        <v>3.518118800222874</v>
      </c>
      <c r="AI33">
        <v>1.867639821744524</v>
      </c>
      <c r="AK33">
        <v>2.8190078565967269</v>
      </c>
      <c r="AL33">
        <v>0.68699018566791581</v>
      </c>
      <c r="AM33">
        <v>0.68891787693137307</v>
      </c>
      <c r="AN33">
        <v>1.053774399595568</v>
      </c>
      <c r="AO33">
        <v>0.33688118447704862</v>
      </c>
      <c r="AP33">
        <v>1.7692972150165589</v>
      </c>
      <c r="AQ33">
        <v>0.54950806280054776</v>
      </c>
      <c r="AR33">
        <v>1.763412201951724</v>
      </c>
      <c r="AS33">
        <v>0.53278998531944433</v>
      </c>
      <c r="AT33">
        <v>3.518118800222874</v>
      </c>
      <c r="AU33">
        <v>1.0097627124477491</v>
      </c>
      <c r="AW33">
        <v>0.20675593773291129</v>
      </c>
      <c r="AY33">
        <v>-0.33258239999999989</v>
      </c>
    </row>
    <row r="34" spans="1:51" x14ac:dyDescent="0.3">
      <c r="A34">
        <v>23</v>
      </c>
      <c r="B34" t="s">
        <v>55</v>
      </c>
      <c r="C34" t="s">
        <v>47</v>
      </c>
      <c r="D34" t="s">
        <v>48</v>
      </c>
      <c r="F34" s="7">
        <v>0</v>
      </c>
      <c r="G34" s="7">
        <v>1</v>
      </c>
      <c r="H34" s="3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1.981944674195256</v>
      </c>
      <c r="Z34">
        <v>1.5624784947722219</v>
      </c>
      <c r="AA34">
        <v>1.5594056133956959</v>
      </c>
      <c r="AB34">
        <v>0.59981989359948784</v>
      </c>
      <c r="AC34">
        <v>0.75227816527476532</v>
      </c>
      <c r="AD34">
        <v>1.2414881571894509</v>
      </c>
      <c r="AE34">
        <v>1.513742624576359</v>
      </c>
      <c r="AF34">
        <v>3.376028915378265</v>
      </c>
      <c r="AG34">
        <v>3.074779384028322</v>
      </c>
      <c r="AH34">
        <v>0.22996726379496979</v>
      </c>
      <c r="AI34">
        <v>1.1693439077469521</v>
      </c>
      <c r="AK34">
        <v>1.981944674195256</v>
      </c>
      <c r="AL34">
        <v>0.5955352999153547</v>
      </c>
      <c r="AM34">
        <v>0.59322272339292481</v>
      </c>
      <c r="AN34">
        <v>0.59981989359948784</v>
      </c>
      <c r="AO34">
        <v>0.33304011360160068</v>
      </c>
      <c r="AP34">
        <v>1.2414881571894509</v>
      </c>
      <c r="AQ34">
        <v>0.53987050719248741</v>
      </c>
      <c r="AR34">
        <v>1.734788404381834</v>
      </c>
      <c r="AS34">
        <v>0.53399587776511903</v>
      </c>
      <c r="AT34">
        <v>0.22996726379496979</v>
      </c>
      <c r="AU34">
        <v>0.64466910905903207</v>
      </c>
      <c r="AW34">
        <v>0.20688282991759471</v>
      </c>
      <c r="AY34">
        <v>-0.34824959999999988</v>
      </c>
    </row>
    <row r="35" spans="1:51" x14ac:dyDescent="0.3">
      <c r="A35">
        <v>23</v>
      </c>
      <c r="B35" t="s">
        <v>56</v>
      </c>
      <c r="C35" t="s">
        <v>47</v>
      </c>
      <c r="D35" t="s">
        <v>48</v>
      </c>
      <c r="F35" s="7">
        <v>0</v>
      </c>
      <c r="G35" s="7">
        <v>1</v>
      </c>
      <c r="H35" s="3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7.785596277809236</v>
      </c>
      <c r="Z35">
        <v>5.3420677341326757</v>
      </c>
      <c r="AA35">
        <v>5.3777222970384173</v>
      </c>
      <c r="AB35">
        <v>39.918929240590657</v>
      </c>
      <c r="AC35">
        <v>7.9819087779382247</v>
      </c>
      <c r="AD35">
        <v>10.47838429522235</v>
      </c>
      <c r="AE35">
        <v>5.4502194435180478</v>
      </c>
      <c r="AF35">
        <v>7.2003158954204993</v>
      </c>
      <c r="AG35">
        <v>5.9357338882517068</v>
      </c>
      <c r="AH35">
        <v>34.682288339792287</v>
      </c>
      <c r="AI35">
        <v>11.72518063650544</v>
      </c>
      <c r="AK35">
        <v>7.785596277809236</v>
      </c>
      <c r="AL35">
        <v>1.8835078497300859</v>
      </c>
      <c r="AM35">
        <v>1.9234549329926569</v>
      </c>
      <c r="AN35">
        <v>39.918929240590657</v>
      </c>
      <c r="AO35">
        <v>2.7996442475356158</v>
      </c>
      <c r="AP35">
        <v>10.47838429522235</v>
      </c>
      <c r="AQ35">
        <v>1.795933831615063</v>
      </c>
      <c r="AR35">
        <v>3.7874333680025298</v>
      </c>
      <c r="AS35">
        <v>0.96322213852933292</v>
      </c>
      <c r="AT35">
        <v>34.682288339792287</v>
      </c>
      <c r="AU35">
        <v>6.8761125843816746</v>
      </c>
      <c r="AW35">
        <v>0.20881934547020739</v>
      </c>
      <c r="AY35">
        <v>-0.34824959999999988</v>
      </c>
    </row>
    <row r="36" spans="1:51" x14ac:dyDescent="0.3">
      <c r="A36">
        <v>23</v>
      </c>
      <c r="B36" t="s">
        <v>57</v>
      </c>
      <c r="C36" t="s">
        <v>47</v>
      </c>
      <c r="D36" t="s">
        <v>48</v>
      </c>
      <c r="F36" s="7">
        <v>0</v>
      </c>
      <c r="G36" s="7">
        <v>0</v>
      </c>
      <c r="H36" s="3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10.331943650403989</v>
      </c>
      <c r="Z36">
        <v>6.6851964797941026</v>
      </c>
      <c r="AA36">
        <v>6.7710633432026954</v>
      </c>
      <c r="AB36">
        <v>58.153846679604612</v>
      </c>
      <c r="AC36">
        <v>11.698787677804161</v>
      </c>
      <c r="AD36">
        <v>11.594236287614329</v>
      </c>
      <c r="AE36">
        <v>6.3846585517865604</v>
      </c>
      <c r="AF36">
        <v>7.1352036078111274</v>
      </c>
      <c r="AG36">
        <v>5.9527773184119734</v>
      </c>
      <c r="AH36">
        <v>46.246525770996229</v>
      </c>
      <c r="AI36">
        <v>15.07089648943705</v>
      </c>
      <c r="AK36">
        <v>10.331943650403989</v>
      </c>
      <c r="AL36">
        <v>2.3438264936169921</v>
      </c>
      <c r="AM36">
        <v>2.4345328340811339</v>
      </c>
      <c r="AN36">
        <v>58.153846679604612</v>
      </c>
      <c r="AO36">
        <v>4.1328337131960629</v>
      </c>
      <c r="AP36">
        <v>11.594236287614329</v>
      </c>
      <c r="AQ36">
        <v>2.078181469071811</v>
      </c>
      <c r="AR36">
        <v>3.7746010923990978</v>
      </c>
      <c r="AS36">
        <v>0.99410433555021882</v>
      </c>
      <c r="AT36">
        <v>46.246525770996229</v>
      </c>
      <c r="AU36">
        <v>9.0095622434707661</v>
      </c>
      <c r="AW36">
        <v>0.20821627093634251</v>
      </c>
      <c r="AY36">
        <v>-0.33258239999999989</v>
      </c>
    </row>
    <row r="37" spans="1:51" x14ac:dyDescent="0.3">
      <c r="A37">
        <v>23</v>
      </c>
      <c r="B37" t="s">
        <v>58</v>
      </c>
      <c r="C37" t="s">
        <v>47</v>
      </c>
      <c r="D37" t="s">
        <v>48</v>
      </c>
      <c r="F37" s="7">
        <v>0</v>
      </c>
      <c r="G37" s="7">
        <v>0</v>
      </c>
      <c r="H37" s="3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2.337211308011319</v>
      </c>
      <c r="Z37">
        <v>1.8987298190128059</v>
      </c>
      <c r="AA37">
        <v>1.892368204876159</v>
      </c>
      <c r="AB37">
        <v>3.329543798603118</v>
      </c>
      <c r="AC37">
        <v>1.4131875510657359</v>
      </c>
      <c r="AD37">
        <v>3.9417910171905528</v>
      </c>
      <c r="AE37">
        <v>2.0243533485375029</v>
      </c>
      <c r="AF37">
        <v>3.433763969212305</v>
      </c>
      <c r="AG37">
        <v>3.480240273809371</v>
      </c>
      <c r="AH37">
        <v>8.4033793128095571</v>
      </c>
      <c r="AI37">
        <v>3.716108248871751</v>
      </c>
      <c r="AK37">
        <v>2.337211308011319</v>
      </c>
      <c r="AL37">
        <v>0.67694717747314526</v>
      </c>
      <c r="AM37">
        <v>0.67961973187436042</v>
      </c>
      <c r="AN37">
        <v>3.329543798603118</v>
      </c>
      <c r="AO37">
        <v>0.53120142527623104</v>
      </c>
      <c r="AP37">
        <v>3.9417910171905528</v>
      </c>
      <c r="AQ37">
        <v>0.69766030532773582</v>
      </c>
      <c r="AR37">
        <v>1.743447887012735</v>
      </c>
      <c r="AS37">
        <v>0.59549994965782393</v>
      </c>
      <c r="AT37">
        <v>8.4033793128095571</v>
      </c>
      <c r="AU37">
        <v>1.7123109344625851</v>
      </c>
      <c r="AW37">
        <v>0.2076334117989366</v>
      </c>
      <c r="AY37">
        <v>0.36</v>
      </c>
    </row>
    <row r="38" spans="1:51" x14ac:dyDescent="0.3">
      <c r="A38">
        <v>23</v>
      </c>
      <c r="B38" t="s">
        <v>59</v>
      </c>
      <c r="C38" t="s">
        <v>47</v>
      </c>
      <c r="D38" t="s">
        <v>48</v>
      </c>
      <c r="F38" s="7">
        <v>0</v>
      </c>
      <c r="G38" s="7">
        <v>1</v>
      </c>
      <c r="H38" s="3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3.194077780994121</v>
      </c>
      <c r="Z38">
        <v>2.4562985238774369</v>
      </c>
      <c r="AA38">
        <v>2.4509079641041658</v>
      </c>
      <c r="AB38">
        <v>8.0537363686016761</v>
      </c>
      <c r="AC38">
        <v>2.2888628398669728</v>
      </c>
      <c r="AD38">
        <v>7.6725868819979954</v>
      </c>
      <c r="AE38">
        <v>2.7479495565251759</v>
      </c>
      <c r="AF38">
        <v>3.4508040105924009</v>
      </c>
      <c r="AG38">
        <v>3.5267891113297081</v>
      </c>
      <c r="AH38">
        <v>11.70551412159111</v>
      </c>
      <c r="AI38">
        <v>4.7555267130529204</v>
      </c>
      <c r="AK38">
        <v>3.194077780994121</v>
      </c>
      <c r="AL38">
        <v>0.7879604467346023</v>
      </c>
      <c r="AM38">
        <v>0.79184833652107045</v>
      </c>
      <c r="AN38">
        <v>8.0537363686016761</v>
      </c>
      <c r="AO38">
        <v>0.84942632026892773</v>
      </c>
      <c r="AP38">
        <v>7.6725868819979954</v>
      </c>
      <c r="AQ38">
        <v>0.944729084870778</v>
      </c>
      <c r="AR38">
        <v>1.753847721382044</v>
      </c>
      <c r="AS38">
        <v>0.60885607761253291</v>
      </c>
      <c r="AT38">
        <v>11.70551412159111</v>
      </c>
      <c r="AU38">
        <v>2.3946571441988151</v>
      </c>
      <c r="AW38">
        <v>0.20773366686577599</v>
      </c>
      <c r="AY38">
        <v>0.36</v>
      </c>
    </row>
    <row r="39" spans="1:51" x14ac:dyDescent="0.3">
      <c r="A39">
        <v>23</v>
      </c>
      <c r="B39" t="s">
        <v>60</v>
      </c>
      <c r="C39" t="s">
        <v>47</v>
      </c>
      <c r="D39" t="s">
        <v>48</v>
      </c>
      <c r="F39" s="7">
        <v>0</v>
      </c>
      <c r="G39" s="7">
        <v>0</v>
      </c>
      <c r="H39" s="3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2.6544545801938511</v>
      </c>
      <c r="Z39">
        <v>2.4438378403079701</v>
      </c>
      <c r="AA39">
        <v>2.43450104915537</v>
      </c>
      <c r="AB39">
        <v>7.3451577381987594</v>
      </c>
      <c r="AC39">
        <v>2.917805901598574</v>
      </c>
      <c r="AD39">
        <v>7.0847189374035224</v>
      </c>
      <c r="AE39">
        <v>3.4839763201850782</v>
      </c>
      <c r="AF39">
        <v>4.3719904132070946</v>
      </c>
      <c r="AG39">
        <v>3.8769197802563822</v>
      </c>
      <c r="AH39">
        <v>5.8914341922034508</v>
      </c>
      <c r="AI39">
        <v>3.7224111430036522</v>
      </c>
      <c r="AK39">
        <v>2.6544545801938511</v>
      </c>
      <c r="AL39">
        <v>0.83099581319450722</v>
      </c>
      <c r="AM39">
        <v>0.82845040019989624</v>
      </c>
      <c r="AN39">
        <v>7.3451577381987594</v>
      </c>
      <c r="AO39">
        <v>1.0102684011935099</v>
      </c>
      <c r="AP39">
        <v>7.0847189374035224</v>
      </c>
      <c r="AQ39">
        <v>1.1467823619372211</v>
      </c>
      <c r="AR39">
        <v>2.249073165992741</v>
      </c>
      <c r="AS39">
        <v>0.64842433652762943</v>
      </c>
      <c r="AT39">
        <v>5.8914341922034508</v>
      </c>
      <c r="AU39">
        <v>1.8174162332705841</v>
      </c>
      <c r="AW39">
        <v>0.207964473667865</v>
      </c>
      <c r="AY39">
        <v>0.36</v>
      </c>
    </row>
    <row r="40" spans="1:51" x14ac:dyDescent="0.3">
      <c r="A40">
        <v>23</v>
      </c>
      <c r="B40" t="s">
        <v>61</v>
      </c>
      <c r="C40" t="s">
        <v>47</v>
      </c>
      <c r="D40" t="s">
        <v>48</v>
      </c>
      <c r="F40" s="7">
        <v>0</v>
      </c>
      <c r="G40" s="7">
        <v>1</v>
      </c>
      <c r="H40" s="3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3.0191141293849801</v>
      </c>
      <c r="Z40">
        <v>2.7246831895899959</v>
      </c>
      <c r="AA40">
        <v>2.731854094347606</v>
      </c>
      <c r="AB40">
        <v>10.70611148940516</v>
      </c>
      <c r="AC40">
        <v>3.7818645113283611</v>
      </c>
      <c r="AD40">
        <v>10.08807045901194</v>
      </c>
      <c r="AE40">
        <v>4.3386422692565247</v>
      </c>
      <c r="AF40">
        <v>4.4363958996022124</v>
      </c>
      <c r="AG40">
        <v>3.9142557256777462</v>
      </c>
      <c r="AH40">
        <v>7.211518423201051</v>
      </c>
      <c r="AI40">
        <v>4.536867592134513</v>
      </c>
      <c r="AK40">
        <v>3.0191141293849801</v>
      </c>
      <c r="AL40">
        <v>0.81704890206844227</v>
      </c>
      <c r="AM40">
        <v>0.82357022284995762</v>
      </c>
      <c r="AN40">
        <v>10.70611148940516</v>
      </c>
      <c r="AO40">
        <v>1.2925344794717</v>
      </c>
      <c r="AP40">
        <v>10.08807045901194</v>
      </c>
      <c r="AQ40">
        <v>1.4770274922678559</v>
      </c>
      <c r="AR40">
        <v>2.2831962124095302</v>
      </c>
      <c r="AS40">
        <v>0.65491232229008645</v>
      </c>
      <c r="AT40">
        <v>7.211518423201051</v>
      </c>
      <c r="AU40">
        <v>2.31841283107254</v>
      </c>
      <c r="AW40">
        <v>0.20703789414061849</v>
      </c>
      <c r="AY40">
        <v>0.36</v>
      </c>
    </row>
    <row r="41" spans="1:51" x14ac:dyDescent="0.3">
      <c r="A41">
        <v>23</v>
      </c>
      <c r="B41" t="s">
        <v>62</v>
      </c>
      <c r="C41" t="s">
        <v>47</v>
      </c>
      <c r="D41" t="s">
        <v>48</v>
      </c>
      <c r="F41" s="7">
        <v>0</v>
      </c>
      <c r="G41" s="7">
        <v>1</v>
      </c>
      <c r="H41" s="3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125118.26666666671</v>
      </c>
      <c r="Y41">
        <v>0.8020219836034812</v>
      </c>
      <c r="Z41">
        <v>1.137137912097387</v>
      </c>
      <c r="AA41">
        <v>1.133855677070096</v>
      </c>
      <c r="AB41">
        <v>0.54772133580991067</v>
      </c>
      <c r="AC41">
        <v>0.70285297741453789</v>
      </c>
      <c r="AD41">
        <v>1.295925949409138</v>
      </c>
      <c r="AE41">
        <v>1.471027565095574</v>
      </c>
      <c r="AF41">
        <v>1.9412167368456721</v>
      </c>
      <c r="AG41">
        <v>2.423124765864729</v>
      </c>
      <c r="AH41">
        <v>0.20785856161965061</v>
      </c>
      <c r="AI41">
        <v>0.83117258646137393</v>
      </c>
      <c r="AK41">
        <v>0.8020219836034812</v>
      </c>
      <c r="AL41">
        <v>0.47355219717137509</v>
      </c>
      <c r="AM41">
        <v>0.47141808592714368</v>
      </c>
      <c r="AN41">
        <v>0.54772133580991067</v>
      </c>
      <c r="AO41">
        <v>0.31300959847091381</v>
      </c>
      <c r="AP41">
        <v>1.295925949409138</v>
      </c>
      <c r="AQ41">
        <v>0.52443679679029931</v>
      </c>
      <c r="AR41">
        <v>1.0419406462344341</v>
      </c>
      <c r="AS41">
        <v>0.46602182284696031</v>
      </c>
      <c r="AT41">
        <v>0.20785856161965061</v>
      </c>
      <c r="AU41">
        <v>0.45503740048346419</v>
      </c>
      <c r="AW41">
        <v>0.2090613623304913</v>
      </c>
      <c r="AY41">
        <v>-0.37175039999999998</v>
      </c>
    </row>
    <row r="42" spans="1:51" x14ac:dyDescent="0.3">
      <c r="A42">
        <v>23</v>
      </c>
      <c r="B42" t="s">
        <v>63</v>
      </c>
      <c r="C42" t="s">
        <v>47</v>
      </c>
      <c r="D42" t="s">
        <v>48</v>
      </c>
      <c r="F42" s="7">
        <v>0</v>
      </c>
      <c r="G42" s="7">
        <v>0</v>
      </c>
      <c r="H42" s="3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909447.53333333321</v>
      </c>
      <c r="O42">
        <v>911439.53333333321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0.86401736079715197</v>
      </c>
      <c r="Z42">
        <v>1.257464252532615</v>
      </c>
      <c r="AA42">
        <v>1.251618894434068</v>
      </c>
      <c r="AB42">
        <v>0.50118759880424479</v>
      </c>
      <c r="AC42">
        <v>0.73474411800658956</v>
      </c>
      <c r="AD42">
        <v>1.257258346979506</v>
      </c>
      <c r="AE42">
        <v>1.5141892500765</v>
      </c>
      <c r="AF42">
        <v>1.9882627362268981</v>
      </c>
      <c r="AG42">
        <v>2.4273290697291179</v>
      </c>
      <c r="AH42">
        <v>0.31281343080336221</v>
      </c>
      <c r="AI42">
        <v>1.150512656123222</v>
      </c>
      <c r="AK42">
        <v>0.86401736079715197</v>
      </c>
      <c r="AL42">
        <v>0.45270100786195461</v>
      </c>
      <c r="AM42">
        <v>0.45176890126507108</v>
      </c>
      <c r="AN42">
        <v>0.50118759880424479</v>
      </c>
      <c r="AO42">
        <v>0.30779596219654187</v>
      </c>
      <c r="AP42">
        <v>1.257258346979506</v>
      </c>
      <c r="AQ42">
        <v>0.51887952953499439</v>
      </c>
      <c r="AR42">
        <v>1.0771515618194829</v>
      </c>
      <c r="AS42">
        <v>0.47000282880617311</v>
      </c>
      <c r="AT42">
        <v>0.31281343080336221</v>
      </c>
      <c r="AU42">
        <v>0.59879913141097263</v>
      </c>
      <c r="AW42">
        <v>0.20691585545816149</v>
      </c>
      <c r="AY42">
        <v>-0.38741759999999997</v>
      </c>
    </row>
    <row r="43" spans="1:51" x14ac:dyDescent="0.3">
      <c r="A43">
        <v>24</v>
      </c>
      <c r="B43" t="s">
        <v>64</v>
      </c>
      <c r="C43" t="s">
        <v>65</v>
      </c>
      <c r="D43" t="s">
        <v>66</v>
      </c>
      <c r="F43" s="7">
        <v>0</v>
      </c>
      <c r="G43" s="7">
        <v>0</v>
      </c>
      <c r="H43" s="3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1.993932632205542</v>
      </c>
      <c r="Z43">
        <v>1.101522349216975</v>
      </c>
      <c r="AA43">
        <v>1.106228302395903</v>
      </c>
      <c r="AB43">
        <v>2.927257356990594</v>
      </c>
      <c r="AC43">
        <v>0.98788317163125616</v>
      </c>
      <c r="AD43">
        <v>1.5636783546069639</v>
      </c>
      <c r="AE43">
        <v>0.67415859655011445</v>
      </c>
      <c r="AF43">
        <v>1.395617138175294</v>
      </c>
      <c r="AG43">
        <v>1.7574865670176221</v>
      </c>
      <c r="AH43">
        <v>5.5637546359910628</v>
      </c>
      <c r="AI43">
        <v>1.971700047084596</v>
      </c>
      <c r="AK43">
        <v>1.993932632205542</v>
      </c>
      <c r="AL43">
        <v>0.39187783238012341</v>
      </c>
      <c r="AM43">
        <v>0.40153535377467048</v>
      </c>
      <c r="AN43">
        <v>2.927257356990594</v>
      </c>
      <c r="AO43">
        <v>0.33282475761370728</v>
      </c>
      <c r="AP43">
        <v>1.5636783546069639</v>
      </c>
      <c r="AQ43">
        <v>0.30347504140809167</v>
      </c>
      <c r="AR43">
        <v>0.72692858797963711</v>
      </c>
      <c r="AS43">
        <v>0.33793209304567429</v>
      </c>
      <c r="AT43">
        <v>5.5637546359910628</v>
      </c>
      <c r="AU43">
        <v>0.96907205103198069</v>
      </c>
      <c r="AW43">
        <v>0.1846582912025041</v>
      </c>
      <c r="AY43">
        <v>2.4191999999999998E-3</v>
      </c>
    </row>
    <row r="44" spans="1:51" x14ac:dyDescent="0.3">
      <c r="A44">
        <v>24</v>
      </c>
      <c r="B44" t="s">
        <v>67</v>
      </c>
      <c r="C44" t="s">
        <v>65</v>
      </c>
      <c r="D44" t="s">
        <v>66</v>
      </c>
      <c r="F44" s="7">
        <v>0</v>
      </c>
      <c r="G44" s="7">
        <v>1</v>
      </c>
      <c r="H44" s="3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5.6572891714051368</v>
      </c>
      <c r="Z44">
        <v>4.0618646310409527</v>
      </c>
      <c r="AA44">
        <v>4.0861980960005893</v>
      </c>
      <c r="AB44">
        <v>5.8895154875994198</v>
      </c>
      <c r="AC44">
        <v>2.4281693752156568</v>
      </c>
      <c r="AD44">
        <v>11.34680224619806</v>
      </c>
      <c r="AE44">
        <v>4.6809942373656668</v>
      </c>
      <c r="AF44">
        <v>4.7114479851676148</v>
      </c>
      <c r="AG44">
        <v>3.5477944058831778</v>
      </c>
      <c r="AH44">
        <v>9.1245954948011789</v>
      </c>
      <c r="AI44">
        <v>6.7965789539623076</v>
      </c>
      <c r="AK44">
        <v>5.6572891714051368</v>
      </c>
      <c r="AL44">
        <v>1.119451984635089</v>
      </c>
      <c r="AM44">
        <v>1.1282435575732961</v>
      </c>
      <c r="AN44">
        <v>5.8895154875994198</v>
      </c>
      <c r="AO44">
        <v>0.79814853399875574</v>
      </c>
      <c r="AP44">
        <v>11.34680224619806</v>
      </c>
      <c r="AQ44">
        <v>1.3361777297919619</v>
      </c>
      <c r="AR44">
        <v>2.5629186803591439</v>
      </c>
      <c r="AS44">
        <v>0.57031164584914218</v>
      </c>
      <c r="AT44">
        <v>9.1245954948011789</v>
      </c>
      <c r="AU44">
        <v>3.7386994906119071</v>
      </c>
      <c r="AW44">
        <v>0.18384341641794891</v>
      </c>
      <c r="AY44">
        <v>-0.17567999999999989</v>
      </c>
    </row>
    <row r="45" spans="1:51" x14ac:dyDescent="0.3">
      <c r="A45">
        <v>24</v>
      </c>
      <c r="B45" t="s">
        <v>68</v>
      </c>
      <c r="C45" t="s">
        <v>65</v>
      </c>
      <c r="D45" t="s">
        <v>66</v>
      </c>
      <c r="F45" s="7">
        <v>0</v>
      </c>
      <c r="G45" s="7">
        <v>1</v>
      </c>
      <c r="H45" s="3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2.651245873398147</v>
      </c>
      <c r="Z45">
        <v>1.740568924252875</v>
      </c>
      <c r="AA45">
        <v>1.731810330203734</v>
      </c>
      <c r="AB45">
        <v>3.0370804679987491</v>
      </c>
      <c r="AC45">
        <v>1.5317678962368519</v>
      </c>
      <c r="AD45">
        <v>3.5512992342002692</v>
      </c>
      <c r="AE45">
        <v>1.5787274721777069</v>
      </c>
      <c r="AF45">
        <v>4.6116574038518596</v>
      </c>
      <c r="AG45">
        <v>3.4761124201351778</v>
      </c>
      <c r="AH45">
        <v>6.6623960903962143</v>
      </c>
      <c r="AI45">
        <v>3.6015741382376292</v>
      </c>
      <c r="AK45">
        <v>2.651245873398147</v>
      </c>
      <c r="AL45">
        <v>0.57053980840137231</v>
      </c>
      <c r="AM45">
        <v>0.56643786379136141</v>
      </c>
      <c r="AN45">
        <v>3.0370804679987491</v>
      </c>
      <c r="AO45">
        <v>0.60058669220888983</v>
      </c>
      <c r="AP45">
        <v>3.5512992342002692</v>
      </c>
      <c r="AQ45">
        <v>0.4992854341864586</v>
      </c>
      <c r="AR45">
        <v>2.483960891037714</v>
      </c>
      <c r="AS45">
        <v>0.5479368843603879</v>
      </c>
      <c r="AT45">
        <v>6.6623960903962143</v>
      </c>
      <c r="AU45">
        <v>1.5879567714175209</v>
      </c>
      <c r="AW45">
        <v>0.1882029310218058</v>
      </c>
      <c r="AY45">
        <v>0.16646399999999989</v>
      </c>
    </row>
    <row r="46" spans="1:51" x14ac:dyDescent="0.3">
      <c r="A46">
        <v>24</v>
      </c>
      <c r="B46" t="s">
        <v>69</v>
      </c>
      <c r="C46" t="s">
        <v>65</v>
      </c>
      <c r="D46" t="s">
        <v>66</v>
      </c>
      <c r="F46" s="7">
        <v>0</v>
      </c>
      <c r="G46" s="7">
        <v>0</v>
      </c>
      <c r="H46" s="3">
        <v>0</v>
      </c>
      <c r="I46">
        <f t="shared" si="0"/>
        <v>0</v>
      </c>
      <c r="J46">
        <f t="shared" si="1"/>
        <v>1</v>
      </c>
      <c r="K46">
        <v>3</v>
      </c>
      <c r="L46"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0.81888158580986781</v>
      </c>
      <c r="Z46">
        <v>1.333356885181274</v>
      </c>
      <c r="AA46">
        <v>1.3253619270864869</v>
      </c>
      <c r="AB46">
        <v>0.81972908879397433</v>
      </c>
      <c r="AC46">
        <v>0.89857502157683489</v>
      </c>
      <c r="AD46">
        <v>0.34481120220152661</v>
      </c>
      <c r="AE46">
        <v>0.87333169918274511</v>
      </c>
      <c r="AF46">
        <v>1.548924137197901</v>
      </c>
      <c r="AG46">
        <v>1.8456679657800119</v>
      </c>
      <c r="AH46">
        <v>2.0538622566149569</v>
      </c>
      <c r="AI46">
        <v>2.3352883703773841</v>
      </c>
      <c r="AK46">
        <v>0.81888158580986781</v>
      </c>
      <c r="AL46">
        <v>0.45689406961901108</v>
      </c>
      <c r="AM46">
        <v>0.44730825461447238</v>
      </c>
      <c r="AN46">
        <v>0.81972908879397433</v>
      </c>
      <c r="AO46">
        <v>0.33047392200096498</v>
      </c>
      <c r="AP46">
        <v>0.34481120220152661</v>
      </c>
      <c r="AQ46">
        <v>0.35502608498791233</v>
      </c>
      <c r="AR46">
        <v>0.80266901738941665</v>
      </c>
      <c r="AS46">
        <v>0.36880235356511548</v>
      </c>
      <c r="AT46">
        <v>2.0538622566149569</v>
      </c>
      <c r="AU46">
        <v>0.98502917977748439</v>
      </c>
      <c r="AW46">
        <v>0.18814999521709971</v>
      </c>
      <c r="AY46">
        <v>6.7968000000000004E-3</v>
      </c>
    </row>
    <row r="47" spans="1:51" x14ac:dyDescent="0.3">
      <c r="A47">
        <v>24</v>
      </c>
      <c r="B47" t="s">
        <v>70</v>
      </c>
      <c r="C47" t="s">
        <v>65</v>
      </c>
      <c r="D47" t="s">
        <v>66</v>
      </c>
      <c r="F47" s="7">
        <v>0</v>
      </c>
      <c r="G47" s="7">
        <v>1</v>
      </c>
      <c r="H47" s="3">
        <v>0</v>
      </c>
      <c r="I47">
        <f t="shared" si="0"/>
        <v>0</v>
      </c>
      <c r="J47">
        <f t="shared" si="1"/>
        <v>1</v>
      </c>
      <c r="K47">
        <v>3</v>
      </c>
      <c r="L47"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0.67592614277964458</v>
      </c>
      <c r="Z47">
        <v>1.3606341554201209</v>
      </c>
      <c r="AA47">
        <v>1.3607725221663709</v>
      </c>
      <c r="AB47">
        <v>0.67817177440156229</v>
      </c>
      <c r="AC47">
        <v>1.393723107397091</v>
      </c>
      <c r="AD47">
        <v>0.17417316260980439</v>
      </c>
      <c r="AE47">
        <v>0.87885791165754201</v>
      </c>
      <c r="AF47">
        <v>1.382228320639115</v>
      </c>
      <c r="AG47">
        <v>1.71938895159401</v>
      </c>
      <c r="AH47">
        <v>1.262440713786054</v>
      </c>
      <c r="AI47">
        <v>3.0443942256504668</v>
      </c>
      <c r="AK47">
        <v>0.67592614277964458</v>
      </c>
      <c r="AL47">
        <v>0.43140674220630898</v>
      </c>
      <c r="AM47">
        <v>0.43305608360096809</v>
      </c>
      <c r="AN47">
        <v>0.67817177440156229</v>
      </c>
      <c r="AO47">
        <v>0.49052942179841919</v>
      </c>
      <c r="AP47">
        <v>0.17417316260980439</v>
      </c>
      <c r="AQ47">
        <v>0.36684595539700238</v>
      </c>
      <c r="AR47">
        <v>0.70942860742798075</v>
      </c>
      <c r="AS47">
        <v>0.32715992185985671</v>
      </c>
      <c r="AT47">
        <v>1.262440713786054</v>
      </c>
      <c r="AU47">
        <v>1.29708393100882</v>
      </c>
      <c r="AW47">
        <v>0.17869007660774511</v>
      </c>
      <c r="AY47">
        <v>6.7968000000000004E-3</v>
      </c>
    </row>
    <row r="48" spans="1:51" x14ac:dyDescent="0.3">
      <c r="A48">
        <v>24</v>
      </c>
      <c r="B48" t="s">
        <v>71</v>
      </c>
      <c r="C48" t="s">
        <v>65</v>
      </c>
      <c r="D48" t="s">
        <v>66</v>
      </c>
      <c r="F48" s="7">
        <v>0</v>
      </c>
      <c r="G48" s="7">
        <v>0</v>
      </c>
      <c r="H48" s="3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2.1243860448012128</v>
      </c>
      <c r="Z48">
        <v>1.743260803609155</v>
      </c>
      <c r="AA48">
        <v>1.740648745384533</v>
      </c>
      <c r="AB48">
        <v>3.4562769946001941</v>
      </c>
      <c r="AC48">
        <v>1.1471088014019191</v>
      </c>
      <c r="AD48">
        <v>3.3294381968094968</v>
      </c>
      <c r="AE48">
        <v>1.615628989262041</v>
      </c>
      <c r="AF48">
        <v>4.5381545206066223</v>
      </c>
      <c r="AG48">
        <v>3.402908249478787</v>
      </c>
      <c r="AH48">
        <v>5.3003358413930979</v>
      </c>
      <c r="AI48">
        <v>3.192229383147787</v>
      </c>
      <c r="AK48">
        <v>2.1243860448012128</v>
      </c>
      <c r="AL48">
        <v>0.57940426821587609</v>
      </c>
      <c r="AM48">
        <v>0.57728583537973466</v>
      </c>
      <c r="AN48">
        <v>3.4562769946001941</v>
      </c>
      <c r="AO48">
        <v>0.39367007880937299</v>
      </c>
      <c r="AP48">
        <v>3.3294381968094968</v>
      </c>
      <c r="AQ48">
        <v>0.60989527961937706</v>
      </c>
      <c r="AR48">
        <v>2.4574788372032339</v>
      </c>
      <c r="AS48">
        <v>0.54783794217510151</v>
      </c>
      <c r="AT48">
        <v>5.3003358413930979</v>
      </c>
      <c r="AU48">
        <v>1.44229346618522</v>
      </c>
      <c r="AW48">
        <v>0.17283493638969949</v>
      </c>
      <c r="AY48">
        <v>0.16646399999999989</v>
      </c>
    </row>
    <row r="49" spans="1:51" x14ac:dyDescent="0.3">
      <c r="A49">
        <v>24</v>
      </c>
      <c r="B49" t="s">
        <v>72</v>
      </c>
      <c r="C49" t="s">
        <v>65</v>
      </c>
      <c r="D49" t="s">
        <v>66</v>
      </c>
      <c r="F49" s="7">
        <v>0</v>
      </c>
      <c r="G49" s="7">
        <v>0</v>
      </c>
      <c r="H49" s="3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5.7168354118242863</v>
      </c>
      <c r="Z49">
        <v>4.3272922285832456</v>
      </c>
      <c r="AA49">
        <v>4.3777113419375384</v>
      </c>
      <c r="AB49">
        <v>4.2012629465840288</v>
      </c>
      <c r="AC49">
        <v>2.4070393615926151</v>
      </c>
      <c r="AD49">
        <v>7.9933730095974171</v>
      </c>
      <c r="AE49">
        <v>4.4090755723882467</v>
      </c>
      <c r="AF49">
        <v>4.3847708093933759</v>
      </c>
      <c r="AG49">
        <v>3.396585251414217</v>
      </c>
      <c r="AH49">
        <v>16.255055263999381</v>
      </c>
      <c r="AI49">
        <v>8.5291605634032752</v>
      </c>
      <c r="AK49">
        <v>5.7168354118242863</v>
      </c>
      <c r="AL49">
        <v>1.280647131998558</v>
      </c>
      <c r="AM49">
        <v>1.3136691381689161</v>
      </c>
      <c r="AN49">
        <v>4.2012629465840288</v>
      </c>
      <c r="AO49">
        <v>0.69850079499883577</v>
      </c>
      <c r="AP49">
        <v>7.9933730095974171</v>
      </c>
      <c r="AQ49">
        <v>1.1011535866069611</v>
      </c>
      <c r="AR49">
        <v>2.3681915852008388</v>
      </c>
      <c r="AS49">
        <v>0.54919435959309337</v>
      </c>
      <c r="AT49">
        <v>16.255055263999381</v>
      </c>
      <c r="AU49">
        <v>4.5485912026022559</v>
      </c>
      <c r="AW49">
        <v>0.17613240499049429</v>
      </c>
      <c r="AY49">
        <v>-0.17567999999999989</v>
      </c>
    </row>
    <row r="50" spans="1:51" x14ac:dyDescent="0.3">
      <c r="A50">
        <v>24</v>
      </c>
      <c r="B50" t="s">
        <v>73</v>
      </c>
      <c r="C50" t="s">
        <v>65</v>
      </c>
      <c r="D50" t="s">
        <v>66</v>
      </c>
      <c r="F50" s="7">
        <v>0</v>
      </c>
      <c r="G50" s="7">
        <v>1</v>
      </c>
      <c r="H50" s="3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1.588220607989933</v>
      </c>
      <c r="Z50">
        <v>1.116460578038823</v>
      </c>
      <c r="AA50">
        <v>1.1165336190140811</v>
      </c>
      <c r="AB50">
        <v>1.61790086220135</v>
      </c>
      <c r="AC50">
        <v>0.92927987502189358</v>
      </c>
      <c r="AD50">
        <v>1.1860468541970479</v>
      </c>
      <c r="AE50">
        <v>0.57624550721375267</v>
      </c>
      <c r="AF50">
        <v>1.492975046613719</v>
      </c>
      <c r="AG50">
        <v>1.7756409366033039</v>
      </c>
      <c r="AH50">
        <v>3.67967465921538</v>
      </c>
      <c r="AI50">
        <v>2.0157048238092101</v>
      </c>
      <c r="AK50">
        <v>1.588220607989933</v>
      </c>
      <c r="AL50">
        <v>0.41318312822841108</v>
      </c>
      <c r="AM50">
        <v>0.4103837706032209</v>
      </c>
      <c r="AN50">
        <v>1.61790086220135</v>
      </c>
      <c r="AO50">
        <v>0.32964318240410639</v>
      </c>
      <c r="AP50">
        <v>1.1860468541970479</v>
      </c>
      <c r="AQ50">
        <v>0.26147350044921042</v>
      </c>
      <c r="AR50">
        <v>0.77335708541795611</v>
      </c>
      <c r="AS50">
        <v>0.35394911116454753</v>
      </c>
      <c r="AT50">
        <v>3.67967465921538</v>
      </c>
      <c r="AU50">
        <v>0.96391443759202955</v>
      </c>
      <c r="AW50">
        <v>0.18089473020518201</v>
      </c>
      <c r="AY50">
        <v>2.4191999999999998E-3</v>
      </c>
    </row>
    <row r="51" spans="1:51" x14ac:dyDescent="0.3">
      <c r="A51">
        <v>24</v>
      </c>
      <c r="B51" t="s">
        <v>74</v>
      </c>
      <c r="C51" t="s">
        <v>75</v>
      </c>
      <c r="D51" t="s">
        <v>66</v>
      </c>
      <c r="F51" s="7">
        <v>0</v>
      </c>
      <c r="G51" s="7">
        <v>0</v>
      </c>
      <c r="H51" s="3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1.918850635411218</v>
      </c>
      <c r="Z51">
        <v>1.382668153801933</v>
      </c>
      <c r="AA51">
        <v>1.3763504413771439</v>
      </c>
      <c r="AB51">
        <v>2.9079386274039281</v>
      </c>
      <c r="AC51">
        <v>1.2534447896236089</v>
      </c>
      <c r="AD51">
        <v>1.5204563011997381</v>
      </c>
      <c r="AE51">
        <v>1.1345921751926651</v>
      </c>
      <c r="AF51">
        <v>1.370284883386921</v>
      </c>
      <c r="AG51">
        <v>1.9565920642460699</v>
      </c>
      <c r="AH51">
        <v>5.2738582712016067</v>
      </c>
      <c r="AI51">
        <v>2.200168941810261</v>
      </c>
      <c r="AK51">
        <v>1.918850635411218</v>
      </c>
      <c r="AL51">
        <v>0.64416149320313709</v>
      </c>
      <c r="AM51">
        <v>0.6387592301820405</v>
      </c>
      <c r="AN51">
        <v>2.9079386274039281</v>
      </c>
      <c r="AO51">
        <v>0.59197500780574042</v>
      </c>
      <c r="AP51">
        <v>1.5204563011997381</v>
      </c>
      <c r="AQ51">
        <v>0.68202636197675015</v>
      </c>
      <c r="AR51">
        <v>0.70979358819313343</v>
      </c>
      <c r="AS51">
        <v>0.42706670921761541</v>
      </c>
      <c r="AT51">
        <v>5.2738582712016067</v>
      </c>
      <c r="AU51">
        <v>1.1596587865846231</v>
      </c>
      <c r="AW51">
        <v>0.26596487682545561</v>
      </c>
      <c r="AY51">
        <v>-0.1629849599999999</v>
      </c>
    </row>
    <row r="52" spans="1:51" x14ac:dyDescent="0.3">
      <c r="A52">
        <v>24</v>
      </c>
      <c r="B52" t="s">
        <v>76</v>
      </c>
      <c r="C52" t="s">
        <v>75</v>
      </c>
      <c r="D52" t="s">
        <v>66</v>
      </c>
      <c r="F52" s="7">
        <v>0</v>
      </c>
      <c r="G52" s="7">
        <v>1</v>
      </c>
      <c r="H52" s="3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5.6409331251867112</v>
      </c>
      <c r="Z52">
        <v>3.5467164172208872</v>
      </c>
      <c r="AA52">
        <v>3.540693389857188</v>
      </c>
      <c r="AB52">
        <v>5.9272057194029912</v>
      </c>
      <c r="AC52">
        <v>2.997677304595709</v>
      </c>
      <c r="AD52">
        <v>11.511960138601721</v>
      </c>
      <c r="AE52">
        <v>4.0073239000164902</v>
      </c>
      <c r="AF52">
        <v>4.6488622856093569</v>
      </c>
      <c r="AG52">
        <v>3.2832798922783701</v>
      </c>
      <c r="AH52">
        <v>8.9784730004146702</v>
      </c>
      <c r="AI52">
        <v>5.6282829893520114</v>
      </c>
      <c r="AK52">
        <v>5.6409331251867112</v>
      </c>
      <c r="AL52">
        <v>1.399990898824762</v>
      </c>
      <c r="AM52">
        <v>1.4096784475725139</v>
      </c>
      <c r="AN52">
        <v>5.9272057194029912</v>
      </c>
      <c r="AO52">
        <v>1.492191837809514</v>
      </c>
      <c r="AP52">
        <v>11.511960138601721</v>
      </c>
      <c r="AQ52">
        <v>1.6589445885852909</v>
      </c>
      <c r="AR52">
        <v>2.5225373466033489</v>
      </c>
      <c r="AS52">
        <v>0.63232968596275896</v>
      </c>
      <c r="AT52">
        <v>8.9784730004146702</v>
      </c>
      <c r="AU52">
        <v>3.251726053585299</v>
      </c>
      <c r="AW52">
        <v>0.27396118619944898</v>
      </c>
      <c r="AY52">
        <v>-5.1839999999999997E-2</v>
      </c>
    </row>
    <row r="53" spans="1:51" x14ac:dyDescent="0.3">
      <c r="A53">
        <v>24</v>
      </c>
      <c r="B53" t="s">
        <v>77</v>
      </c>
      <c r="C53" t="s">
        <v>75</v>
      </c>
      <c r="D53" t="s">
        <v>66</v>
      </c>
      <c r="F53" s="7">
        <v>0</v>
      </c>
      <c r="G53" s="7">
        <v>1</v>
      </c>
      <c r="H53" s="3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2.6564867034088819</v>
      </c>
      <c r="Z53">
        <v>1.618412725196686</v>
      </c>
      <c r="AA53">
        <v>1.5962196041480641</v>
      </c>
      <c r="AB53">
        <v>3.0329234963923231</v>
      </c>
      <c r="AC53">
        <v>1.3745451684051659</v>
      </c>
      <c r="AD53">
        <v>3.5340914125903509</v>
      </c>
      <c r="AE53">
        <v>1.2198617112357171</v>
      </c>
      <c r="AF53">
        <v>4.4905014236457648</v>
      </c>
      <c r="AG53">
        <v>3.1318158169393429</v>
      </c>
      <c r="AH53">
        <v>6.3614005369949158</v>
      </c>
      <c r="AI53">
        <v>2.9119166313903411</v>
      </c>
      <c r="AK53">
        <v>2.6564867034088819</v>
      </c>
      <c r="AL53">
        <v>0.59165258837165313</v>
      </c>
      <c r="AM53">
        <v>0.58193712900392713</v>
      </c>
      <c r="AN53">
        <v>3.0329234963923231</v>
      </c>
      <c r="AO53">
        <v>0.56612599299405697</v>
      </c>
      <c r="AP53">
        <v>3.5340914125903509</v>
      </c>
      <c r="AQ53">
        <v>0.5334870920167305</v>
      </c>
      <c r="AR53">
        <v>2.4198196116369219</v>
      </c>
      <c r="AS53">
        <v>0.59449780998984347</v>
      </c>
      <c r="AT53">
        <v>6.3614005369949158</v>
      </c>
      <c r="AU53">
        <v>1.379817806801293</v>
      </c>
      <c r="AW53">
        <v>0.27055831259349361</v>
      </c>
      <c r="AY53">
        <v>0.79487999999999981</v>
      </c>
    </row>
    <row r="54" spans="1:51" x14ac:dyDescent="0.3">
      <c r="A54">
        <v>24</v>
      </c>
      <c r="B54" t="s">
        <v>78</v>
      </c>
      <c r="C54" t="s">
        <v>75</v>
      </c>
      <c r="D54" t="s">
        <v>66</v>
      </c>
      <c r="F54" s="7">
        <v>0</v>
      </c>
      <c r="G54" s="7">
        <v>0</v>
      </c>
      <c r="H54" s="3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0.86007079039700329</v>
      </c>
      <c r="Z54">
        <v>1.201923778792843</v>
      </c>
      <c r="AA54">
        <v>1.193269603804219</v>
      </c>
      <c r="AB54">
        <v>0.8570439752016682</v>
      </c>
      <c r="AC54">
        <v>0.92608525740215553</v>
      </c>
      <c r="AD54">
        <v>0.34934872440062459</v>
      </c>
      <c r="AE54">
        <v>0.66411074842326345</v>
      </c>
      <c r="AF54">
        <v>1.5616022404050449</v>
      </c>
      <c r="AG54">
        <v>2.012353110860567</v>
      </c>
      <c r="AH54">
        <v>1.9083906523883341</v>
      </c>
      <c r="AI54">
        <v>1.8589935550116929</v>
      </c>
      <c r="AK54">
        <v>0.86007079039700329</v>
      </c>
      <c r="AL54">
        <v>0.48026987701887258</v>
      </c>
      <c r="AM54">
        <v>0.46796961079817267</v>
      </c>
      <c r="AN54">
        <v>0.8570439752016682</v>
      </c>
      <c r="AO54">
        <v>0.4152863057970535</v>
      </c>
      <c r="AP54">
        <v>0.34934872440062459</v>
      </c>
      <c r="AQ54">
        <v>0.35688294438878071</v>
      </c>
      <c r="AR54">
        <v>0.81735321619780732</v>
      </c>
      <c r="AS54">
        <v>0.44247067202813922</v>
      </c>
      <c r="AT54">
        <v>1.9083906523883341</v>
      </c>
      <c r="AU54">
        <v>0.938465189607814</v>
      </c>
      <c r="AW54">
        <v>0.27119113060180089</v>
      </c>
      <c r="AY54">
        <v>-0.58005503999999974</v>
      </c>
    </row>
    <row r="55" spans="1:51" x14ac:dyDescent="0.3">
      <c r="A55">
        <v>24</v>
      </c>
      <c r="B55" t="s">
        <v>79</v>
      </c>
      <c r="C55" t="s">
        <v>75</v>
      </c>
      <c r="D55" t="s">
        <v>66</v>
      </c>
      <c r="F55" s="7">
        <v>0</v>
      </c>
      <c r="G55" s="7">
        <v>1</v>
      </c>
      <c r="H55" s="3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0.68047908279113467</v>
      </c>
      <c r="Z55">
        <v>1.447477073583286</v>
      </c>
      <c r="AA55">
        <v>1.421818863996305</v>
      </c>
      <c r="AB55">
        <v>0.6714671196008567</v>
      </c>
      <c r="AC55">
        <v>1.0797958874143661</v>
      </c>
      <c r="AD55">
        <v>0.1787083590170368</v>
      </c>
      <c r="AE55">
        <v>0.90300011846702544</v>
      </c>
      <c r="AF55">
        <v>1.385708540002816</v>
      </c>
      <c r="AG55">
        <v>1.9657180687179789</v>
      </c>
      <c r="AH55">
        <v>1.257478219992481</v>
      </c>
      <c r="AI55">
        <v>2.5773318087682129</v>
      </c>
      <c r="AK55">
        <v>0.68047908279113467</v>
      </c>
      <c r="AL55">
        <v>0.52054623500443997</v>
      </c>
      <c r="AM55">
        <v>0.50176936101634051</v>
      </c>
      <c r="AN55">
        <v>0.6714671196008567</v>
      </c>
      <c r="AO55">
        <v>0.42363733259844588</v>
      </c>
      <c r="AP55">
        <v>0.1787083590170368</v>
      </c>
      <c r="AQ55">
        <v>0.42330923641566193</v>
      </c>
      <c r="AR55">
        <v>0.7220061018015258</v>
      </c>
      <c r="AS55">
        <v>0.42910451237112279</v>
      </c>
      <c r="AT55">
        <v>1.257478219992481</v>
      </c>
      <c r="AU55">
        <v>1.1504934216034599</v>
      </c>
      <c r="AW55">
        <v>0.27143523800186808</v>
      </c>
      <c r="AY55">
        <v>-0.58005503999999974</v>
      </c>
    </row>
    <row r="56" spans="1:51" x14ac:dyDescent="0.3">
      <c r="A56">
        <v>24</v>
      </c>
      <c r="B56" t="s">
        <v>80</v>
      </c>
      <c r="C56" t="s">
        <v>75</v>
      </c>
      <c r="D56" t="s">
        <v>66</v>
      </c>
      <c r="F56" s="7">
        <v>0</v>
      </c>
      <c r="G56" s="7">
        <v>0</v>
      </c>
      <c r="H56" s="3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2.201085966615937</v>
      </c>
      <c r="Z56">
        <v>1.5400462601450271</v>
      </c>
      <c r="AA56">
        <v>1.5126566993654711</v>
      </c>
      <c r="AB56">
        <v>3.4981983134057368</v>
      </c>
      <c r="AC56">
        <v>1.05383034501574</v>
      </c>
      <c r="AD56">
        <v>3.44698818140896</v>
      </c>
      <c r="AE56">
        <v>1.3292308015632439</v>
      </c>
      <c r="AF56">
        <v>4.6299106023972856</v>
      </c>
      <c r="AG56">
        <v>3.2033557045739141</v>
      </c>
      <c r="AH56">
        <v>5.2428343464038338</v>
      </c>
      <c r="AI56">
        <v>2.637211021804251</v>
      </c>
      <c r="AK56">
        <v>2.201085966615937</v>
      </c>
      <c r="AL56">
        <v>0.55321438940009104</v>
      </c>
      <c r="AM56">
        <v>0.53765421379357581</v>
      </c>
      <c r="AN56">
        <v>3.4981983134057368</v>
      </c>
      <c r="AO56">
        <v>0.42956119038281032</v>
      </c>
      <c r="AP56">
        <v>3.44698818140896</v>
      </c>
      <c r="AQ56">
        <v>0.56617074820678681</v>
      </c>
      <c r="AR56">
        <v>2.50488229180919</v>
      </c>
      <c r="AS56">
        <v>0.60231137812370439</v>
      </c>
      <c r="AT56">
        <v>5.2428343464038338</v>
      </c>
      <c r="AU56">
        <v>1.1948239153833129</v>
      </c>
      <c r="AW56">
        <v>0.27383713480085131</v>
      </c>
      <c r="AY56">
        <v>0.79487999999999981</v>
      </c>
    </row>
    <row r="57" spans="1:51" x14ac:dyDescent="0.3">
      <c r="A57">
        <v>24</v>
      </c>
      <c r="B57" t="s">
        <v>81</v>
      </c>
      <c r="C57" t="s">
        <v>75</v>
      </c>
      <c r="D57" t="s">
        <v>66</v>
      </c>
      <c r="F57" s="7">
        <v>0</v>
      </c>
      <c r="G57" s="7">
        <v>0</v>
      </c>
      <c r="H57" s="3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5.6394079314079137</v>
      </c>
      <c r="Z57">
        <v>3.6997599229682239</v>
      </c>
      <c r="AA57">
        <v>3.6590478854137469</v>
      </c>
      <c r="AB57">
        <v>4.2357134791905988</v>
      </c>
      <c r="AC57">
        <v>2.2897945707838518</v>
      </c>
      <c r="AD57">
        <v>7.9148535917862306</v>
      </c>
      <c r="AE57">
        <v>3.5930615797755312</v>
      </c>
      <c r="AF57">
        <v>4.3384990540216677</v>
      </c>
      <c r="AG57">
        <v>3.1112114816554821</v>
      </c>
      <c r="AH57">
        <v>15.96682547939708</v>
      </c>
      <c r="AI57">
        <v>5.7543473268393424</v>
      </c>
      <c r="AK57">
        <v>5.6394079314079137</v>
      </c>
      <c r="AL57">
        <v>1.454866405786015</v>
      </c>
      <c r="AM57">
        <v>1.4490129626123229</v>
      </c>
      <c r="AN57">
        <v>4.2357134791905988</v>
      </c>
      <c r="AO57">
        <v>0.99887248779414217</v>
      </c>
      <c r="AP57">
        <v>7.9148535917862306</v>
      </c>
      <c r="AQ57">
        <v>1.2596526740235281</v>
      </c>
      <c r="AR57">
        <v>2.3407935678143992</v>
      </c>
      <c r="AS57">
        <v>0.59693452259525659</v>
      </c>
      <c r="AT57">
        <v>15.96682547939708</v>
      </c>
      <c r="AU57">
        <v>3.0117377056158152</v>
      </c>
      <c r="AW57">
        <v>0.26700998239684848</v>
      </c>
      <c r="AY57">
        <v>-5.1839999999999997E-2</v>
      </c>
    </row>
    <row r="58" spans="1:51" x14ac:dyDescent="0.3">
      <c r="A58">
        <v>24</v>
      </c>
      <c r="B58" t="s">
        <v>82</v>
      </c>
      <c r="C58" t="s">
        <v>75</v>
      </c>
      <c r="D58" t="s">
        <v>66</v>
      </c>
      <c r="F58" s="7">
        <v>0</v>
      </c>
      <c r="G58" s="7">
        <v>1</v>
      </c>
      <c r="H58" s="3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1.5941969590028751</v>
      </c>
      <c r="Z58">
        <v>1.3454490254516711</v>
      </c>
      <c r="AA58">
        <v>1.326440163387451</v>
      </c>
      <c r="AB58">
        <v>1.6168305369967131</v>
      </c>
      <c r="AC58">
        <v>1.1230372715916019</v>
      </c>
      <c r="AD58">
        <v>1.164485089783557</v>
      </c>
      <c r="AE58">
        <v>0.7997415696387179</v>
      </c>
      <c r="AF58">
        <v>1.4887326450552789</v>
      </c>
      <c r="AG58">
        <v>1.9286938558798279</v>
      </c>
      <c r="AH58">
        <v>3.6520125315873879</v>
      </c>
      <c r="AI58">
        <v>2.3078962457831951</v>
      </c>
      <c r="AK58">
        <v>1.5941969590028751</v>
      </c>
      <c r="AL58">
        <v>0.51281306500313806</v>
      </c>
      <c r="AM58">
        <v>0.49964375200215733</v>
      </c>
      <c r="AN58">
        <v>1.6168305369967131</v>
      </c>
      <c r="AO58">
        <v>0.47830656479927708</v>
      </c>
      <c r="AP58">
        <v>1.164485089783557</v>
      </c>
      <c r="AQ58">
        <v>0.40859645562013608</v>
      </c>
      <c r="AR58">
        <v>0.77594867325387895</v>
      </c>
      <c r="AS58">
        <v>0.41951968884095547</v>
      </c>
      <c r="AT58">
        <v>3.6520125315873879</v>
      </c>
      <c r="AU58">
        <v>1.0664442575769499</v>
      </c>
      <c r="AW58">
        <v>0.26724398221122098</v>
      </c>
      <c r="AY58">
        <v>-0.1629849599999999</v>
      </c>
    </row>
    <row r="59" spans="1:51" x14ac:dyDescent="0.3">
      <c r="A59">
        <v>4</v>
      </c>
      <c r="B59" t="s">
        <v>83</v>
      </c>
      <c r="C59" t="s">
        <v>84</v>
      </c>
      <c r="D59" t="s">
        <v>66</v>
      </c>
      <c r="F59" s="7">
        <v>0</v>
      </c>
      <c r="G59" s="7">
        <v>0</v>
      </c>
      <c r="H59" s="3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887089.6</v>
      </c>
      <c r="O59">
        <v>889375.6</v>
      </c>
      <c r="P59">
        <v>2004888.8</v>
      </c>
      <c r="Q59">
        <v>508672.6</v>
      </c>
      <c r="R59">
        <v>1414445.2</v>
      </c>
      <c r="S59">
        <v>368852.8</v>
      </c>
      <c r="T59">
        <v>3393315.6</v>
      </c>
      <c r="U59">
        <v>3175317.4</v>
      </c>
      <c r="V59">
        <v>7725292.4000000004</v>
      </c>
      <c r="W59">
        <v>934462.6</v>
      </c>
      <c r="Y59">
        <v>1.8319369789795019</v>
      </c>
      <c r="Z59">
        <v>1.24757970556384</v>
      </c>
      <c r="AA59">
        <v>1.294891549937893</v>
      </c>
      <c r="AB59">
        <v>2.879401221801527</v>
      </c>
      <c r="AC59">
        <v>1.1696486042143079</v>
      </c>
      <c r="AD59">
        <v>1.8170170724042689</v>
      </c>
      <c r="AE59">
        <v>1.0335130170336919</v>
      </c>
      <c r="AF59">
        <v>1.787585763807874</v>
      </c>
      <c r="AG59">
        <v>3.0165177783346731</v>
      </c>
      <c r="AH59">
        <v>5.6934166578110306</v>
      </c>
      <c r="AI59">
        <v>2.2886058992240579</v>
      </c>
      <c r="AK59">
        <v>1.8319369789795019</v>
      </c>
      <c r="AL59">
        <v>0.5360372133785859</v>
      </c>
      <c r="AM59">
        <v>0.59086241297191011</v>
      </c>
      <c r="AN59">
        <v>2.879401221801527</v>
      </c>
      <c r="AO59">
        <v>0.54373359700548463</v>
      </c>
      <c r="AP59">
        <v>1.8170170724042689</v>
      </c>
      <c r="AQ59">
        <v>0.56892738819587974</v>
      </c>
      <c r="AR59">
        <v>0.91555266600335017</v>
      </c>
      <c r="AS59">
        <v>0.72293658554553986</v>
      </c>
      <c r="AT59">
        <v>5.6934166578110306</v>
      </c>
      <c r="AU59">
        <v>1.161561317800079</v>
      </c>
      <c r="AW59">
        <v>0.35729725039564081</v>
      </c>
      <c r="AY59">
        <v>-0.1579775999999998</v>
      </c>
    </row>
    <row r="60" spans="1:51" x14ac:dyDescent="0.3">
      <c r="A60">
        <v>4</v>
      </c>
      <c r="B60" t="s">
        <v>85</v>
      </c>
      <c r="C60" t="s">
        <v>84</v>
      </c>
      <c r="D60" t="s">
        <v>66</v>
      </c>
      <c r="F60" s="7">
        <v>0</v>
      </c>
      <c r="G60" s="7">
        <v>1</v>
      </c>
      <c r="H60" s="3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3744377</v>
      </c>
      <c r="O60">
        <v>3750497.4</v>
      </c>
      <c r="P60">
        <v>6888278.7999999998</v>
      </c>
      <c r="Q60">
        <v>1331899.3999999999</v>
      </c>
      <c r="R60">
        <v>15975768.6</v>
      </c>
      <c r="S60">
        <v>3155924.8</v>
      </c>
      <c r="T60">
        <v>7598860.4000000004</v>
      </c>
      <c r="U60">
        <v>4898645</v>
      </c>
      <c r="V60">
        <v>20961509</v>
      </c>
      <c r="W60">
        <v>5362622.2</v>
      </c>
      <c r="Y60">
        <v>5.4246386677841656</v>
      </c>
      <c r="Z60">
        <v>3.076770922611467</v>
      </c>
      <c r="AA60">
        <v>3.1453847383731039</v>
      </c>
      <c r="AB60">
        <v>5.9460993902059274</v>
      </c>
      <c r="AC60">
        <v>1.9213261922064699</v>
      </c>
      <c r="AD60">
        <v>12.080234304978511</v>
      </c>
      <c r="AE60">
        <v>3.0287840822013101</v>
      </c>
      <c r="AF60">
        <v>4.5396290069911629</v>
      </c>
      <c r="AG60">
        <v>3.2943671333021478</v>
      </c>
      <c r="AH60">
        <v>9.5278087861952372</v>
      </c>
      <c r="AI60">
        <v>5.0988575343973936</v>
      </c>
      <c r="AK60">
        <v>5.4246386677841656</v>
      </c>
      <c r="AL60">
        <v>1.1042302692076189</v>
      </c>
      <c r="AM60">
        <v>1.1133658957900481</v>
      </c>
      <c r="AN60">
        <v>5.9460993902059274</v>
      </c>
      <c r="AO60">
        <v>0.72895557120209564</v>
      </c>
      <c r="AP60">
        <v>12.080234304978511</v>
      </c>
      <c r="AQ60">
        <v>1.0187711918028071</v>
      </c>
      <c r="AR60">
        <v>2.469795611000154</v>
      </c>
      <c r="AS60">
        <v>0.62796316279564057</v>
      </c>
      <c r="AT60">
        <v>9.5278087861952372</v>
      </c>
      <c r="AU60">
        <v>2.6778158509870988</v>
      </c>
      <c r="AW60">
        <v>0.39312661500880491</v>
      </c>
      <c r="AY60">
        <v>0.55603199999999975</v>
      </c>
    </row>
    <row r="61" spans="1:51" x14ac:dyDescent="0.3">
      <c r="A61">
        <v>4</v>
      </c>
      <c r="B61" t="s">
        <v>86</v>
      </c>
      <c r="C61" t="s">
        <v>84</v>
      </c>
      <c r="D61" t="s">
        <v>66</v>
      </c>
      <c r="F61" s="7">
        <v>0</v>
      </c>
      <c r="G61" s="7">
        <v>1</v>
      </c>
      <c r="H61" s="3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1611209</v>
      </c>
      <c r="O61">
        <v>1620610.8</v>
      </c>
      <c r="P61">
        <v>4808313.4000000004</v>
      </c>
      <c r="Q61">
        <v>833888.8</v>
      </c>
      <c r="R61">
        <v>4566077.4000000004</v>
      </c>
      <c r="S61">
        <v>938282.6</v>
      </c>
      <c r="T61">
        <v>7454517.4000000004</v>
      </c>
      <c r="U61">
        <v>4793049.5999999996</v>
      </c>
      <c r="V61">
        <v>13585854.4</v>
      </c>
      <c r="W61">
        <v>2689908</v>
      </c>
      <c r="Y61">
        <v>2.4825949474237858</v>
      </c>
      <c r="Z61">
        <v>1.707712889194954</v>
      </c>
      <c r="AA61">
        <v>1.659215439984109</v>
      </c>
      <c r="AB61">
        <v>3.0443546005961251</v>
      </c>
      <c r="AC61">
        <v>1.417926531808916</v>
      </c>
      <c r="AD61">
        <v>3.7240467675728719</v>
      </c>
      <c r="AE61">
        <v>1.496491809992585</v>
      </c>
      <c r="AF61">
        <v>4.7188595777843148</v>
      </c>
      <c r="AG61">
        <v>3.387318742217031</v>
      </c>
      <c r="AH61">
        <v>6.7606154303997759</v>
      </c>
      <c r="AI61">
        <v>3.241419165418483</v>
      </c>
      <c r="AK61">
        <v>2.4825949474237858</v>
      </c>
      <c r="AL61">
        <v>0.69488530280068517</v>
      </c>
      <c r="AM61">
        <v>0.63988174239639195</v>
      </c>
      <c r="AN61">
        <v>3.0443546005961251</v>
      </c>
      <c r="AO61">
        <v>0.60333306360698769</v>
      </c>
      <c r="AP61">
        <v>3.7240467675728719</v>
      </c>
      <c r="AQ61">
        <v>0.61459654001519082</v>
      </c>
      <c r="AR61">
        <v>2.5442501764046028</v>
      </c>
      <c r="AS61">
        <v>0.63902516502421347</v>
      </c>
      <c r="AT61">
        <v>6.7606154303997759</v>
      </c>
      <c r="AU61">
        <v>1.5043787976144809</v>
      </c>
      <c r="AW61">
        <v>0.42623436980647972</v>
      </c>
      <c r="AY61">
        <v>0.65356799999999982</v>
      </c>
    </row>
    <row r="62" spans="1:51" x14ac:dyDescent="0.3">
      <c r="A62">
        <v>4</v>
      </c>
      <c r="B62" t="s">
        <v>87</v>
      </c>
      <c r="C62" t="s">
        <v>84</v>
      </c>
      <c r="D62" t="s">
        <v>66</v>
      </c>
      <c r="F62" s="7">
        <v>0</v>
      </c>
      <c r="G62" s="7">
        <v>0</v>
      </c>
      <c r="H62" s="3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967951.2</v>
      </c>
      <c r="O62">
        <v>972252</v>
      </c>
      <c r="P62">
        <v>355969</v>
      </c>
      <c r="Q62">
        <v>441001</v>
      </c>
      <c r="R62">
        <v>185834.8</v>
      </c>
      <c r="S62">
        <v>339266.6</v>
      </c>
      <c r="T62">
        <v>3528815.8</v>
      </c>
      <c r="U62">
        <v>3198862.6</v>
      </c>
      <c r="V62">
        <v>708200.2</v>
      </c>
      <c r="W62">
        <v>1152037.8</v>
      </c>
      <c r="Y62">
        <v>0.75114673021016642</v>
      </c>
      <c r="Z62">
        <v>1.3016441728221251</v>
      </c>
      <c r="AA62">
        <v>1.331068572204094</v>
      </c>
      <c r="AB62">
        <v>0.82831672560423608</v>
      </c>
      <c r="AC62">
        <v>1.0578261613962241</v>
      </c>
      <c r="AD62">
        <v>0.32699116140138351</v>
      </c>
      <c r="AE62">
        <v>0.83349567682016645</v>
      </c>
      <c r="AF62">
        <v>1.505616507807281</v>
      </c>
      <c r="AG62">
        <v>2.0769242857000791</v>
      </c>
      <c r="AH62">
        <v>2.047339380381163</v>
      </c>
      <c r="AI62">
        <v>2.4467899393872359</v>
      </c>
      <c r="AK62">
        <v>0.75114673021016642</v>
      </c>
      <c r="AL62">
        <v>0.54039763502078131</v>
      </c>
      <c r="AM62">
        <v>0.57450589620275427</v>
      </c>
      <c r="AN62">
        <v>0.82831672560423608</v>
      </c>
      <c r="AO62">
        <v>0.46796757679258011</v>
      </c>
      <c r="AP62">
        <v>0.32699116140138351</v>
      </c>
      <c r="AQ62">
        <v>0.46696782923536367</v>
      </c>
      <c r="AR62">
        <v>0.78256184720667077</v>
      </c>
      <c r="AS62">
        <v>0.51810533239040524</v>
      </c>
      <c r="AT62">
        <v>2.047339380381163</v>
      </c>
      <c r="AU62">
        <v>1.1198097983840849</v>
      </c>
      <c r="AW62">
        <v>0.36284242479596279</v>
      </c>
      <c r="AY62">
        <v>-1.0516224000000001</v>
      </c>
    </row>
    <row r="63" spans="1:51" x14ac:dyDescent="0.3">
      <c r="A63">
        <v>4</v>
      </c>
      <c r="B63" t="s">
        <v>88</v>
      </c>
      <c r="C63" t="s">
        <v>84</v>
      </c>
      <c r="D63" t="s">
        <v>66</v>
      </c>
      <c r="F63" s="7">
        <v>0</v>
      </c>
      <c r="G63" s="7">
        <v>1</v>
      </c>
      <c r="H63" s="3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1217380.6000000001</v>
      </c>
      <c r="O63">
        <v>1226037.8</v>
      </c>
      <c r="P63">
        <v>235216.4</v>
      </c>
      <c r="Q63">
        <v>591424.4</v>
      </c>
      <c r="R63">
        <v>67910.8</v>
      </c>
      <c r="S63">
        <v>524521.19999999995</v>
      </c>
      <c r="T63">
        <v>3395854.4</v>
      </c>
      <c r="U63">
        <v>3166172</v>
      </c>
      <c r="V63">
        <v>335678.2</v>
      </c>
      <c r="W63">
        <v>1499774</v>
      </c>
      <c r="Y63">
        <v>0.63159066501539196</v>
      </c>
      <c r="Z63">
        <v>1.4731702638673601</v>
      </c>
      <c r="AA63">
        <v>1.5290168337756771</v>
      </c>
      <c r="AB63">
        <v>0.68709605880139857</v>
      </c>
      <c r="AC63">
        <v>1.2730367460055281</v>
      </c>
      <c r="AD63">
        <v>0.18201360160019239</v>
      </c>
      <c r="AE63">
        <v>1.098454178415704</v>
      </c>
      <c r="AF63">
        <v>1.35665100698825</v>
      </c>
      <c r="AG63">
        <v>2.0535339660709719</v>
      </c>
      <c r="AH63">
        <v>1.3754220396047461</v>
      </c>
      <c r="AI63">
        <v>2.6608382829930628</v>
      </c>
      <c r="AK63">
        <v>0.63159066501539196</v>
      </c>
      <c r="AL63">
        <v>0.6045818718033843</v>
      </c>
      <c r="AM63">
        <v>0.66453906262759121</v>
      </c>
      <c r="AN63">
        <v>0.68709605880139857</v>
      </c>
      <c r="AO63">
        <v>0.53845433441165369</v>
      </c>
      <c r="AP63">
        <v>0.18201360160019239</v>
      </c>
      <c r="AQ63">
        <v>0.54780828378861768</v>
      </c>
      <c r="AR63">
        <v>0.71233651718357582</v>
      </c>
      <c r="AS63">
        <v>0.53761660719756033</v>
      </c>
      <c r="AT63">
        <v>1.3754220396047461</v>
      </c>
      <c r="AU63">
        <v>1.237078063993249</v>
      </c>
      <c r="AW63">
        <v>0.35623643500730401</v>
      </c>
      <c r="AY63">
        <v>-1.0516224000000001</v>
      </c>
    </row>
    <row r="64" spans="1:51" x14ac:dyDescent="0.3">
      <c r="A64">
        <v>4</v>
      </c>
      <c r="B64" t="s">
        <v>89</v>
      </c>
      <c r="C64" t="s">
        <v>84</v>
      </c>
      <c r="D64" t="s">
        <v>66</v>
      </c>
      <c r="F64" s="7">
        <v>0</v>
      </c>
      <c r="G64" s="7">
        <v>0</v>
      </c>
      <c r="H64" s="3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1732037</v>
      </c>
      <c r="O64">
        <v>1744123.4</v>
      </c>
      <c r="P64">
        <v>7568929</v>
      </c>
      <c r="Q64">
        <v>682360.2</v>
      </c>
      <c r="R64">
        <v>5117375.4000000004</v>
      </c>
      <c r="S64">
        <v>1270455.8</v>
      </c>
      <c r="T64">
        <v>7570115.2000000002</v>
      </c>
      <c r="U64">
        <v>4855978.4000000004</v>
      </c>
      <c r="V64">
        <v>9604938.1999999993</v>
      </c>
      <c r="W64">
        <v>2634093</v>
      </c>
      <c r="Y64">
        <v>2.0070523833855991</v>
      </c>
      <c r="Z64">
        <v>1.76563309840858</v>
      </c>
      <c r="AA64">
        <v>1.738692578976043</v>
      </c>
      <c r="AB64">
        <v>3.482785092797712</v>
      </c>
      <c r="AC64">
        <v>1.3389948796073441</v>
      </c>
      <c r="AD64">
        <v>4.0838837365852667</v>
      </c>
      <c r="AE64">
        <v>2.1112484967801719</v>
      </c>
      <c r="AF64">
        <v>5.0014964488102116</v>
      </c>
      <c r="AG64">
        <v>3.393962668080349</v>
      </c>
      <c r="AH64">
        <v>5.7257035910035494</v>
      </c>
      <c r="AI64">
        <v>3.333868774643634</v>
      </c>
      <c r="AK64">
        <v>2.0070523833855991</v>
      </c>
      <c r="AL64">
        <v>0.70272875940427182</v>
      </c>
      <c r="AM64">
        <v>0.67770485199289399</v>
      </c>
      <c r="AN64">
        <v>3.482785092797712</v>
      </c>
      <c r="AO64">
        <v>0.57597316879837313</v>
      </c>
      <c r="AP64">
        <v>4.0838837365852667</v>
      </c>
      <c r="AQ64">
        <v>0.78970951559022073</v>
      </c>
      <c r="AR64">
        <v>2.7437955626053729</v>
      </c>
      <c r="AS64">
        <v>0.64633446679217743</v>
      </c>
      <c r="AT64">
        <v>5.7257035910035494</v>
      </c>
      <c r="AU64">
        <v>1.520401987805962</v>
      </c>
      <c r="AW64">
        <v>0.40693681380944319</v>
      </c>
      <c r="AY64">
        <v>0.65356799999999982</v>
      </c>
    </row>
    <row r="65" spans="1:51" x14ac:dyDescent="0.3">
      <c r="A65">
        <v>4</v>
      </c>
      <c r="B65" t="s">
        <v>90</v>
      </c>
      <c r="C65" t="s">
        <v>84</v>
      </c>
      <c r="D65" t="s">
        <v>66</v>
      </c>
      <c r="F65" s="7">
        <v>0</v>
      </c>
      <c r="G65" s="7">
        <v>0</v>
      </c>
      <c r="H65" s="3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3979294.6</v>
      </c>
      <c r="O65">
        <v>3975158.8</v>
      </c>
      <c r="P65">
        <v>4053004.4</v>
      </c>
      <c r="Q65">
        <v>1631806.4</v>
      </c>
      <c r="R65">
        <v>10738918.4</v>
      </c>
      <c r="S65">
        <v>3310792.2</v>
      </c>
      <c r="T65">
        <v>7483609.4000000004</v>
      </c>
      <c r="U65">
        <v>4874259.2</v>
      </c>
      <c r="V65">
        <v>43890192.200000003</v>
      </c>
      <c r="W65">
        <v>6719510</v>
      </c>
      <c r="Y65">
        <v>5.5821704014088027</v>
      </c>
      <c r="Z65">
        <v>3.178428005194291</v>
      </c>
      <c r="AA65">
        <v>3.3224988357396801</v>
      </c>
      <c r="AB65">
        <v>4.3036712372006152</v>
      </c>
      <c r="AC65">
        <v>1.9599567972036309</v>
      </c>
      <c r="AD65">
        <v>8.175055266206618</v>
      </c>
      <c r="AE65">
        <v>2.9628377436427402</v>
      </c>
      <c r="AF65">
        <v>4.392097077611834</v>
      </c>
      <c r="AG65">
        <v>3.2506876940838989</v>
      </c>
      <c r="AH65">
        <v>16.792428884201222</v>
      </c>
      <c r="AI65">
        <v>5.589643276156858</v>
      </c>
      <c r="AK65">
        <v>5.5821704014088027</v>
      </c>
      <c r="AL65">
        <v>1.146858335635625</v>
      </c>
      <c r="AM65">
        <v>1.2023673264076931</v>
      </c>
      <c r="AN65">
        <v>4.3036712372006152</v>
      </c>
      <c r="AO65">
        <v>0.78811763780249744</v>
      </c>
      <c r="AP65">
        <v>8.175055266206618</v>
      </c>
      <c r="AQ65">
        <v>1.1269108460517601</v>
      </c>
      <c r="AR65">
        <v>2.3723823831882331</v>
      </c>
      <c r="AS65">
        <v>0.63113038622541351</v>
      </c>
      <c r="AT65">
        <v>16.792428884201222</v>
      </c>
      <c r="AU65">
        <v>2.8364643328124659</v>
      </c>
      <c r="AW65">
        <v>0.34302258280804382</v>
      </c>
      <c r="AY65">
        <v>0.55603199999999975</v>
      </c>
    </row>
    <row r="66" spans="1:51" x14ac:dyDescent="0.3">
      <c r="A66">
        <v>4</v>
      </c>
      <c r="B66" t="s">
        <v>91</v>
      </c>
      <c r="C66" t="s">
        <v>84</v>
      </c>
      <c r="D66" t="s">
        <v>66</v>
      </c>
      <c r="F66" s="7">
        <v>0</v>
      </c>
      <c r="G66" s="7">
        <v>1</v>
      </c>
      <c r="H66" s="3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851722.4</v>
      </c>
      <c r="O66">
        <v>861014</v>
      </c>
      <c r="P66">
        <v>962221.8</v>
      </c>
      <c r="Q66">
        <v>338639.8</v>
      </c>
      <c r="R66">
        <v>840370</v>
      </c>
      <c r="S66">
        <v>277995.2</v>
      </c>
      <c r="T66">
        <v>3530230</v>
      </c>
      <c r="U66">
        <v>3185443.8</v>
      </c>
      <c r="V66">
        <v>3234570.4</v>
      </c>
      <c r="W66">
        <v>1015507.8</v>
      </c>
      <c r="Y66">
        <v>1.527379470004234</v>
      </c>
      <c r="Z66">
        <v>1.3334277759888209</v>
      </c>
      <c r="AA66">
        <v>1.245471266983077</v>
      </c>
      <c r="AB66">
        <v>1.616807395996875</v>
      </c>
      <c r="AC66">
        <v>1.0366457498108499</v>
      </c>
      <c r="AD66">
        <v>1.197000631201081</v>
      </c>
      <c r="AE66">
        <v>0.81656780518824235</v>
      </c>
      <c r="AF66">
        <v>1.6330416677519679</v>
      </c>
      <c r="AG66">
        <v>2.247156875743531</v>
      </c>
      <c r="AH66">
        <v>3.9768212680006401</v>
      </c>
      <c r="AI66">
        <v>2.1570235977647831</v>
      </c>
      <c r="AK66">
        <v>1.527379470004234</v>
      </c>
      <c r="AL66">
        <v>0.66441587818553671</v>
      </c>
      <c r="AM66">
        <v>0.5781739323982038</v>
      </c>
      <c r="AN66">
        <v>1.616807395996875</v>
      </c>
      <c r="AO66">
        <v>0.51875010580406522</v>
      </c>
      <c r="AP66">
        <v>1.197000631201081</v>
      </c>
      <c r="AQ66">
        <v>0.49099609139375389</v>
      </c>
      <c r="AR66">
        <v>0.8525599175482057</v>
      </c>
      <c r="AS66">
        <v>0.55327293381560594</v>
      </c>
      <c r="AT66">
        <v>3.9768212680006401</v>
      </c>
      <c r="AU66">
        <v>0.9998773026047274</v>
      </c>
      <c r="AW66">
        <v>0.47240814280230548</v>
      </c>
      <c r="AY66">
        <v>-0.1579775999999998</v>
      </c>
    </row>
    <row r="67" spans="1:51" x14ac:dyDescent="0.3">
      <c r="A67">
        <v>5</v>
      </c>
      <c r="B67" t="s">
        <v>92</v>
      </c>
      <c r="C67" t="s">
        <v>93</v>
      </c>
      <c r="D67" t="s">
        <v>94</v>
      </c>
      <c r="F67" s="7">
        <v>0</v>
      </c>
      <c r="G67" s="7">
        <v>0</v>
      </c>
      <c r="H67" s="3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0.41856699479976672</v>
      </c>
      <c r="Z67">
        <v>0.83205010740784924</v>
      </c>
      <c r="AA67">
        <v>0.80191787005169313</v>
      </c>
      <c r="AB67">
        <v>0.4407388918014476</v>
      </c>
      <c r="AC67">
        <v>0.76682316321239341</v>
      </c>
      <c r="AD67">
        <v>9.4976705592125593E-2</v>
      </c>
      <c r="AE67">
        <v>0.46728702201507988</v>
      </c>
      <c r="AF67">
        <v>1.646577964792959</v>
      </c>
      <c r="AG67">
        <v>2.215597043966409</v>
      </c>
      <c r="AH67">
        <v>4.1595999000128323E-2</v>
      </c>
      <c r="AI67">
        <v>0.9403518288279884</v>
      </c>
      <c r="AK67">
        <v>0.41856699479976672</v>
      </c>
      <c r="AL67">
        <v>0.43958640319760889</v>
      </c>
      <c r="AM67">
        <v>0.41061438402393841</v>
      </c>
      <c r="AN67">
        <v>0.4407388918014476</v>
      </c>
      <c r="AO67">
        <v>0.40124495820491568</v>
      </c>
      <c r="AP67">
        <v>9.4976705592125593E-2</v>
      </c>
      <c r="AQ67">
        <v>0.35628909380175172</v>
      </c>
      <c r="AR67">
        <v>0.91609004139900208</v>
      </c>
      <c r="AS67">
        <v>0.50211339483503248</v>
      </c>
      <c r="AT67">
        <v>4.1595999000128323E-2</v>
      </c>
      <c r="AU67">
        <v>0.5929826978128403</v>
      </c>
      <c r="AW67">
        <v>0.34289780019316818</v>
      </c>
      <c r="AY67">
        <v>-0.43199999999999977</v>
      </c>
    </row>
    <row r="68" spans="1:51" x14ac:dyDescent="0.3">
      <c r="A68">
        <v>5</v>
      </c>
      <c r="B68" t="s">
        <v>95</v>
      </c>
      <c r="C68" t="s">
        <v>93</v>
      </c>
      <c r="D68" t="s">
        <v>94</v>
      </c>
      <c r="F68" s="7">
        <v>0</v>
      </c>
      <c r="G68" s="7">
        <v>1</v>
      </c>
      <c r="H68" s="3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2.668016420002095</v>
      </c>
      <c r="Z68">
        <v>1.285997580969706</v>
      </c>
      <c r="AA68">
        <v>1.282702801830601</v>
      </c>
      <c r="AB68">
        <v>7.9405648606043542</v>
      </c>
      <c r="AC68">
        <v>0.99667373819393101</v>
      </c>
      <c r="AD68">
        <v>4.7423962837900033</v>
      </c>
      <c r="AE68">
        <v>0.83695553219877183</v>
      </c>
      <c r="AF68">
        <v>2.7727254663710479</v>
      </c>
      <c r="AG68">
        <v>2.5761346061131918</v>
      </c>
      <c r="AH68">
        <v>4.9178539480082692</v>
      </c>
      <c r="AI68">
        <v>2.1600462925853212</v>
      </c>
      <c r="AK68">
        <v>2.668016420002095</v>
      </c>
      <c r="AL68">
        <v>0.54629383538849652</v>
      </c>
      <c r="AM68">
        <v>0.54692938340594988</v>
      </c>
      <c r="AN68">
        <v>7.9405648606043542</v>
      </c>
      <c r="AO68">
        <v>0.48611025559657722</v>
      </c>
      <c r="AP68">
        <v>4.7423962837900033</v>
      </c>
      <c r="AQ68">
        <v>0.53331447781529273</v>
      </c>
      <c r="AR68">
        <v>1.6036747433710841</v>
      </c>
      <c r="AS68">
        <v>0.54106246335431929</v>
      </c>
      <c r="AT68">
        <v>4.9178539480082692</v>
      </c>
      <c r="AU68">
        <v>1.0326490909792481</v>
      </c>
      <c r="AW68">
        <v>0.31869872559327628</v>
      </c>
      <c r="AY68">
        <v>0.43199999999999977</v>
      </c>
    </row>
    <row r="69" spans="1:51" x14ac:dyDescent="0.3">
      <c r="A69">
        <v>5</v>
      </c>
      <c r="B69" t="s">
        <v>96</v>
      </c>
      <c r="C69" t="s">
        <v>93</v>
      </c>
      <c r="D69" t="s">
        <v>94</v>
      </c>
      <c r="F69" s="7">
        <v>0</v>
      </c>
      <c r="G69" s="7">
        <v>1</v>
      </c>
      <c r="H69" s="3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3.6374063410097728</v>
      </c>
      <c r="Z69">
        <v>2.679815966635942</v>
      </c>
      <c r="AA69">
        <v>2.7391118771978649</v>
      </c>
      <c r="AB69">
        <v>6.3262260437972149</v>
      </c>
      <c r="AC69">
        <v>1.603478515983443</v>
      </c>
      <c r="AD69">
        <v>11.317124271602371</v>
      </c>
      <c r="AE69">
        <v>2.2022771153249781</v>
      </c>
      <c r="AF69">
        <v>3.004522519640159</v>
      </c>
      <c r="AG69">
        <v>2.80448799446458</v>
      </c>
      <c r="AH69">
        <v>7.5217238067882137</v>
      </c>
      <c r="AI69">
        <v>3.4552686691982668</v>
      </c>
      <c r="AK69">
        <v>3.6374063410097728</v>
      </c>
      <c r="AL69">
        <v>1.0800517728086561</v>
      </c>
      <c r="AM69">
        <v>1.110649377200752</v>
      </c>
      <c r="AN69">
        <v>6.3262260437972149</v>
      </c>
      <c r="AO69">
        <v>0.73167452539491928</v>
      </c>
      <c r="AP69">
        <v>11.317124271602371</v>
      </c>
      <c r="AQ69">
        <v>1.0447955737705339</v>
      </c>
      <c r="AR69">
        <v>1.7212041230406609</v>
      </c>
      <c r="AS69">
        <v>0.58393883096287025</v>
      </c>
      <c r="AT69">
        <v>7.5217238067882137</v>
      </c>
      <c r="AU69">
        <v>1.931358870619442</v>
      </c>
      <c r="AW69">
        <v>0.36708486239658672</v>
      </c>
      <c r="AY69">
        <v>0</v>
      </c>
    </row>
    <row r="70" spans="1:51" x14ac:dyDescent="0.3">
      <c r="A70">
        <v>5</v>
      </c>
      <c r="B70" t="s">
        <v>97</v>
      </c>
      <c r="C70" t="s">
        <v>93</v>
      </c>
      <c r="D70" t="s">
        <v>94</v>
      </c>
      <c r="F70" s="7">
        <v>0</v>
      </c>
      <c r="G70" s="7">
        <v>0</v>
      </c>
      <c r="H70" s="3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6.9092961585964066</v>
      </c>
      <c r="Z70">
        <v>3.2234387187869289</v>
      </c>
      <c r="AA70">
        <v>3.3436744564096439</v>
      </c>
      <c r="AB70">
        <v>16.935563538200221</v>
      </c>
      <c r="AC70">
        <v>2.7965987571864388</v>
      </c>
      <c r="AD70">
        <v>31.756336658995131</v>
      </c>
      <c r="AE70">
        <v>2.8481493758736178</v>
      </c>
      <c r="AF70">
        <v>1.683252871606965</v>
      </c>
      <c r="AG70">
        <v>2.260975653736387</v>
      </c>
      <c r="AH70">
        <v>15.57725984961726</v>
      </c>
      <c r="AI70">
        <v>3.9924410734442062</v>
      </c>
      <c r="AK70">
        <v>6.9092961585964066</v>
      </c>
      <c r="AL70">
        <v>1.25046593719162</v>
      </c>
      <c r="AM70">
        <v>1.363139552425128</v>
      </c>
      <c r="AN70">
        <v>16.935563538200221</v>
      </c>
      <c r="AO70">
        <v>1.8155048213986451</v>
      </c>
      <c r="AP70">
        <v>31.756336658995131</v>
      </c>
      <c r="AQ70">
        <v>1.663241679221392</v>
      </c>
      <c r="AR70">
        <v>0.91306361479219045</v>
      </c>
      <c r="AS70">
        <v>0.52551249627722429</v>
      </c>
      <c r="AT70">
        <v>15.57725984961726</v>
      </c>
      <c r="AU70">
        <v>2.3157776440028099</v>
      </c>
      <c r="AW70">
        <v>0.41139636579900979</v>
      </c>
      <c r="AY70">
        <v>0</v>
      </c>
    </row>
    <row r="71" spans="1:51" x14ac:dyDescent="0.3">
      <c r="A71">
        <v>5</v>
      </c>
      <c r="B71" t="s">
        <v>98</v>
      </c>
      <c r="C71" t="s">
        <v>93</v>
      </c>
      <c r="D71" t="s">
        <v>94</v>
      </c>
      <c r="F71" s="7">
        <v>0</v>
      </c>
      <c r="G71" s="7">
        <v>1</v>
      </c>
      <c r="H71" s="3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5.3784904750064024</v>
      </c>
      <c r="Z71">
        <v>2.797236241807695</v>
      </c>
      <c r="AA71">
        <v>2.7843960202997549</v>
      </c>
      <c r="AB71">
        <v>21.504374363401439</v>
      </c>
      <c r="AC71">
        <v>1.9091228953911921</v>
      </c>
      <c r="AD71">
        <v>23.77764393440448</v>
      </c>
      <c r="AE71">
        <v>2.5797848666086791</v>
      </c>
      <c r="AF71">
        <v>1.641063837206457</v>
      </c>
      <c r="AG71">
        <v>2.2416582744219342</v>
      </c>
      <c r="AH71">
        <v>11.86531723120715</v>
      </c>
      <c r="AI71">
        <v>3.6958824688335881</v>
      </c>
      <c r="AK71">
        <v>5.3784904750064024</v>
      </c>
      <c r="AL71">
        <v>1.0716364793595861</v>
      </c>
      <c r="AM71">
        <v>1.082348923978862</v>
      </c>
      <c r="AN71">
        <v>21.504374363401439</v>
      </c>
      <c r="AO71">
        <v>0.86976151339767971</v>
      </c>
      <c r="AP71">
        <v>23.77764393440448</v>
      </c>
      <c r="AQ71">
        <v>1.1443161794100889</v>
      </c>
      <c r="AR71">
        <v>0.91600611620815475</v>
      </c>
      <c r="AS71">
        <v>0.51366739561781283</v>
      </c>
      <c r="AT71">
        <v>11.86531723120715</v>
      </c>
      <c r="AU71">
        <v>1.9871619107900189</v>
      </c>
      <c r="AW71">
        <v>0.35921222359174859</v>
      </c>
      <c r="AY71">
        <v>0</v>
      </c>
    </row>
    <row r="72" spans="1:51" x14ac:dyDescent="0.3">
      <c r="A72">
        <v>5</v>
      </c>
      <c r="B72" t="s">
        <v>99</v>
      </c>
      <c r="C72" t="s">
        <v>93</v>
      </c>
      <c r="D72" t="s">
        <v>94</v>
      </c>
      <c r="F72" s="7">
        <v>0</v>
      </c>
      <c r="G72" s="7">
        <v>0</v>
      </c>
      <c r="H72" s="3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6.9352278764126822</v>
      </c>
      <c r="Z72">
        <v>3.1700550804031078</v>
      </c>
      <c r="AA72">
        <v>3.4630611542030239</v>
      </c>
      <c r="AB72">
        <v>12.33031893200241</v>
      </c>
      <c r="AC72">
        <v>1.905005239596357</v>
      </c>
      <c r="AD72">
        <v>18.376205014786681</v>
      </c>
      <c r="AE72">
        <v>2.7439602913917041</v>
      </c>
      <c r="AF72">
        <v>2.8269699348253199</v>
      </c>
      <c r="AG72">
        <v>2.6854362143669279</v>
      </c>
      <c r="AH72">
        <v>11.107779621402729</v>
      </c>
      <c r="AI72">
        <v>3.7840622415766121</v>
      </c>
      <c r="AK72">
        <v>6.9352278764126822</v>
      </c>
      <c r="AL72">
        <v>1.218867043987848</v>
      </c>
      <c r="AM72">
        <v>1.293887178786099</v>
      </c>
      <c r="AN72">
        <v>12.33031893200241</v>
      </c>
      <c r="AO72">
        <v>0.84682109359127933</v>
      </c>
      <c r="AP72">
        <v>18.376205014786681</v>
      </c>
      <c r="AQ72">
        <v>1.172440384002402</v>
      </c>
      <c r="AR72">
        <v>1.6432638768223109</v>
      </c>
      <c r="AS72">
        <v>0.5659793326398358</v>
      </c>
      <c r="AT72">
        <v>11.107779621402729</v>
      </c>
      <c r="AU72">
        <v>2.148112275579479</v>
      </c>
      <c r="AW72">
        <v>0.40183129140641538</v>
      </c>
      <c r="AY72">
        <v>0</v>
      </c>
    </row>
    <row r="73" spans="1:51" x14ac:dyDescent="0.3">
      <c r="A73">
        <v>5</v>
      </c>
      <c r="B73" t="s">
        <v>100</v>
      </c>
      <c r="C73" t="s">
        <v>93</v>
      </c>
      <c r="D73" t="s">
        <v>94</v>
      </c>
      <c r="F73" s="7">
        <v>0</v>
      </c>
      <c r="G73" s="7">
        <v>0</v>
      </c>
      <c r="H73" s="3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2.7125033588032239</v>
      </c>
      <c r="Z73">
        <v>1.352666908805259</v>
      </c>
      <c r="AA73">
        <v>1.236525413987692</v>
      </c>
      <c r="AB73">
        <v>7.3698888460028682</v>
      </c>
      <c r="AC73">
        <v>1.089093529392267</v>
      </c>
      <c r="AD73">
        <v>4.1630303664016539</v>
      </c>
      <c r="AE73">
        <v>0.80558994938619433</v>
      </c>
      <c r="AF73">
        <v>2.901137110975105</v>
      </c>
      <c r="AG73">
        <v>2.6809782932046802</v>
      </c>
      <c r="AH73">
        <v>5.5117093734093938</v>
      </c>
      <c r="AI73">
        <v>1.8343155828537421</v>
      </c>
      <c r="AK73">
        <v>2.7125033588032239</v>
      </c>
      <c r="AL73">
        <v>0.63898564662085844</v>
      </c>
      <c r="AM73">
        <v>0.57092514839023356</v>
      </c>
      <c r="AN73">
        <v>7.3698888460028682</v>
      </c>
      <c r="AO73">
        <v>0.55922946280043107</v>
      </c>
      <c r="AP73">
        <v>4.1630303664016539</v>
      </c>
      <c r="AQ73">
        <v>0.54548208141932264</v>
      </c>
      <c r="AR73">
        <v>1.6771323809865859</v>
      </c>
      <c r="AS73">
        <v>0.5631084362161346</v>
      </c>
      <c r="AT73">
        <v>5.5117093734093938</v>
      </c>
      <c r="AU73">
        <v>0.90825555581832307</v>
      </c>
      <c r="AW73">
        <v>0.42271864400245251</v>
      </c>
      <c r="AY73">
        <v>0.43199999999999977</v>
      </c>
    </row>
    <row r="74" spans="1:51" x14ac:dyDescent="0.3">
      <c r="A74">
        <v>5</v>
      </c>
      <c r="B74" t="s">
        <v>101</v>
      </c>
      <c r="C74" t="s">
        <v>93</v>
      </c>
      <c r="D74" t="s">
        <v>94</v>
      </c>
      <c r="F74" s="7">
        <v>0</v>
      </c>
      <c r="G74" s="7">
        <v>1</v>
      </c>
      <c r="H74" s="3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0.60182535820640626</v>
      </c>
      <c r="Z74">
        <v>1.1479290714487429</v>
      </c>
      <c r="AA74">
        <v>1.157896132592577</v>
      </c>
      <c r="AB74">
        <v>0.40466177060443442</v>
      </c>
      <c r="AC74">
        <v>0.78764346480893432</v>
      </c>
      <c r="AD74">
        <v>0.11424688680563121</v>
      </c>
      <c r="AE74">
        <v>0.55591666598338629</v>
      </c>
      <c r="AF74">
        <v>2.2921102093765509</v>
      </c>
      <c r="AG74">
        <v>2.6442680518142878</v>
      </c>
      <c r="AH74">
        <v>2.5365964800584999E-2</v>
      </c>
      <c r="AI74">
        <v>0.83949508516816418</v>
      </c>
      <c r="AK74">
        <v>0.60182535820640626</v>
      </c>
      <c r="AL74">
        <v>0.56615151203004643</v>
      </c>
      <c r="AM74">
        <v>0.58169747897190971</v>
      </c>
      <c r="AN74">
        <v>0.40466177060443442</v>
      </c>
      <c r="AO74">
        <v>0.41633034320548179</v>
      </c>
      <c r="AP74">
        <v>0.11424688680563121</v>
      </c>
      <c r="AQ74">
        <v>0.4396349562215619</v>
      </c>
      <c r="AR74">
        <v>1.28906591857085</v>
      </c>
      <c r="AS74">
        <v>0.58570073639275511</v>
      </c>
      <c r="AT74">
        <v>2.5365964800584999E-2</v>
      </c>
      <c r="AU74">
        <v>0.57406690679490568</v>
      </c>
      <c r="AW74">
        <v>0.43628627281868831</v>
      </c>
      <c r="AY74">
        <v>-0.43199999999999977</v>
      </c>
    </row>
    <row r="75" spans="1:51" x14ac:dyDescent="0.3">
      <c r="A75">
        <v>5</v>
      </c>
      <c r="B75" t="s">
        <v>102</v>
      </c>
      <c r="C75" t="s">
        <v>103</v>
      </c>
      <c r="D75" t="s">
        <v>104</v>
      </c>
      <c r="F75" s="7">
        <v>0</v>
      </c>
      <c r="G75" s="7">
        <v>0</v>
      </c>
      <c r="H75" s="3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0.97129812901839618</v>
      </c>
      <c r="Z75">
        <v>1.6252256182022391</v>
      </c>
      <c r="AA75">
        <v>1.519945567636751</v>
      </c>
      <c r="AB75">
        <v>0.55058995079889428</v>
      </c>
      <c r="AC75">
        <v>1.019258453595103</v>
      </c>
      <c r="AD75">
        <v>1.492756499012466</v>
      </c>
      <c r="AE75">
        <v>1.243031427788083</v>
      </c>
      <c r="AF75">
        <v>1.9145702155656179</v>
      </c>
      <c r="AG75">
        <v>2.8685604419209989</v>
      </c>
      <c r="AH75">
        <v>7.0754042803309825E-2</v>
      </c>
      <c r="AI75">
        <v>1.767972276569344</v>
      </c>
      <c r="AK75">
        <v>0.97129812901839618</v>
      </c>
      <c r="AL75">
        <v>0.7145243985927664</v>
      </c>
      <c r="AM75">
        <v>0.63137321021640669</v>
      </c>
      <c r="AN75">
        <v>0.55058995079889428</v>
      </c>
      <c r="AO75">
        <v>0.51350518019462466</v>
      </c>
      <c r="AP75">
        <v>1.492756499012466</v>
      </c>
      <c r="AQ75">
        <v>0.75288477661088105</v>
      </c>
      <c r="AR75">
        <v>1.0276082167634739</v>
      </c>
      <c r="AS75">
        <v>0.62316009124042471</v>
      </c>
      <c r="AT75">
        <v>7.0754042803309825E-2</v>
      </c>
      <c r="AU75">
        <v>0.92539721520151941</v>
      </c>
      <c r="AW75">
        <v>0.47509410501224919</v>
      </c>
      <c r="AY75">
        <v>-0.43199999999999977</v>
      </c>
    </row>
    <row r="76" spans="1:51" x14ac:dyDescent="0.3">
      <c r="A76">
        <v>5</v>
      </c>
      <c r="B76" t="s">
        <v>105</v>
      </c>
      <c r="C76" t="s">
        <v>103</v>
      </c>
      <c r="D76" t="s">
        <v>104</v>
      </c>
      <c r="F76" s="7">
        <v>0</v>
      </c>
      <c r="G76" s="7">
        <v>1</v>
      </c>
      <c r="H76" s="3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5.9712851037969816</v>
      </c>
      <c r="Z76">
        <v>2.1378627985832281</v>
      </c>
      <c r="AA76">
        <v>1.9066251026000831</v>
      </c>
      <c r="AB76">
        <v>4.7992585237981986</v>
      </c>
      <c r="AC76">
        <v>1.3743267218174879</v>
      </c>
      <c r="AD76">
        <v>13.18773740559118</v>
      </c>
      <c r="AE76">
        <v>1.829880622134078</v>
      </c>
      <c r="AF76">
        <v>3.7904017699765968</v>
      </c>
      <c r="AG76">
        <v>2.8474143798463052</v>
      </c>
      <c r="AH76">
        <v>7.2977159723872322</v>
      </c>
      <c r="AI76">
        <v>2.955209520133212</v>
      </c>
      <c r="AK76">
        <v>5.9712851037969816</v>
      </c>
      <c r="AL76">
        <v>0.86775680960854518</v>
      </c>
      <c r="AM76">
        <v>0.78867815998382862</v>
      </c>
      <c r="AN76">
        <v>4.7992585237981986</v>
      </c>
      <c r="AO76">
        <v>0.67181894260575059</v>
      </c>
      <c r="AP76">
        <v>13.18773740559118</v>
      </c>
      <c r="AQ76">
        <v>0.97748329800087963</v>
      </c>
      <c r="AR76">
        <v>2.0971595259732561</v>
      </c>
      <c r="AS76">
        <v>0.59516835077665742</v>
      </c>
      <c r="AT76">
        <v>7.2977159723872322</v>
      </c>
      <c r="AU76">
        <v>1.520987359376158</v>
      </c>
      <c r="AW76">
        <v>0.39467424558242781</v>
      </c>
      <c r="AY76">
        <v>0.43199999999999977</v>
      </c>
    </row>
    <row r="77" spans="1:51" x14ac:dyDescent="0.3">
      <c r="A77">
        <v>5</v>
      </c>
      <c r="B77" t="s">
        <v>106</v>
      </c>
      <c r="C77" t="s">
        <v>103</v>
      </c>
      <c r="D77" t="s">
        <v>104</v>
      </c>
      <c r="F77" s="7">
        <v>0</v>
      </c>
      <c r="G77" s="7">
        <v>1</v>
      </c>
      <c r="H77" s="3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4.0599897386040542</v>
      </c>
      <c r="Z77">
        <v>1.9107123019406571</v>
      </c>
      <c r="AA77">
        <v>2.1327031135791912</v>
      </c>
      <c r="AB77">
        <v>4.0268297230009917</v>
      </c>
      <c r="AC77">
        <v>1.3450389514007841</v>
      </c>
      <c r="AD77">
        <v>8.8071241236058988</v>
      </c>
      <c r="AE77">
        <v>1.610238377854694</v>
      </c>
      <c r="AF77">
        <v>3.660162860434502</v>
      </c>
      <c r="AG77">
        <v>2.820793737878557</v>
      </c>
      <c r="AH77">
        <v>6.1747161843930369</v>
      </c>
      <c r="AI77">
        <v>2.9284463834366758</v>
      </c>
      <c r="AK77">
        <v>4.0599897386040542</v>
      </c>
      <c r="AL77">
        <v>0.84686901296954598</v>
      </c>
      <c r="AM77">
        <v>0.94866242639254783</v>
      </c>
      <c r="AN77">
        <v>4.0268297230009917</v>
      </c>
      <c r="AO77">
        <v>0.63416076360445006</v>
      </c>
      <c r="AP77">
        <v>8.8071241236058988</v>
      </c>
      <c r="AQ77">
        <v>0.81247667561983694</v>
      </c>
      <c r="AR77">
        <v>1.989499011216685</v>
      </c>
      <c r="AS77">
        <v>0.58933253398863594</v>
      </c>
      <c r="AT77">
        <v>6.1747161843930369</v>
      </c>
      <c r="AU77">
        <v>1.4949574819882401</v>
      </c>
      <c r="AW77">
        <v>0.3706285649910569</v>
      </c>
      <c r="AY77">
        <v>0</v>
      </c>
    </row>
    <row r="78" spans="1:51" x14ac:dyDescent="0.3">
      <c r="A78">
        <v>5</v>
      </c>
      <c r="B78" t="s">
        <v>107</v>
      </c>
      <c r="C78" t="s">
        <v>103</v>
      </c>
      <c r="D78" t="s">
        <v>104</v>
      </c>
      <c r="F78" s="7">
        <v>0</v>
      </c>
      <c r="G78" s="7">
        <v>0</v>
      </c>
      <c r="H78" s="3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2.4673442615894601</v>
      </c>
      <c r="Z78">
        <v>1.52690367748728</v>
      </c>
      <c r="AA78">
        <v>1.522522958379704</v>
      </c>
      <c r="AB78">
        <v>2.4088434169971151</v>
      </c>
      <c r="AC78">
        <v>1.316052420204505</v>
      </c>
      <c r="AD78">
        <v>2.9782574131968431</v>
      </c>
      <c r="AE78">
        <v>1.1742502132197841</v>
      </c>
      <c r="AF78">
        <v>1.369509532814845</v>
      </c>
      <c r="AG78">
        <v>2.0951901047257708</v>
      </c>
      <c r="AH78">
        <v>3.663871310604736</v>
      </c>
      <c r="AI78">
        <v>2.6930817906046292</v>
      </c>
      <c r="AK78">
        <v>2.4673442615894601</v>
      </c>
      <c r="AL78">
        <v>0.63953246602322911</v>
      </c>
      <c r="AM78">
        <v>0.6420085032004863</v>
      </c>
      <c r="AN78">
        <v>2.4088434169971151</v>
      </c>
      <c r="AO78">
        <v>0.59009301300393413</v>
      </c>
      <c r="AP78">
        <v>2.9782574131968431</v>
      </c>
      <c r="AQ78">
        <v>0.60551402359269557</v>
      </c>
      <c r="AR78">
        <v>0.69234777741366993</v>
      </c>
      <c r="AS78">
        <v>0.49560130340978498</v>
      </c>
      <c r="AT78">
        <v>3.663871310604736</v>
      </c>
      <c r="AU78">
        <v>1.266999495006166</v>
      </c>
      <c r="AW78">
        <v>0.32883114960277449</v>
      </c>
      <c r="AY78">
        <v>0</v>
      </c>
    </row>
    <row r="79" spans="1:51" x14ac:dyDescent="0.3">
      <c r="A79">
        <v>5</v>
      </c>
      <c r="B79" t="s">
        <v>108</v>
      </c>
      <c r="C79" t="s">
        <v>103</v>
      </c>
      <c r="D79" t="s">
        <v>104</v>
      </c>
      <c r="F79" s="7">
        <v>0</v>
      </c>
      <c r="G79" s="7">
        <v>1</v>
      </c>
      <c r="H79" s="3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1.533416957804002</v>
      </c>
      <c r="Z79">
        <v>1.352565506228711</v>
      </c>
      <c r="AA79">
        <v>1.3575650251936171</v>
      </c>
      <c r="AB79">
        <v>12.96201972580166</v>
      </c>
      <c r="AC79">
        <v>1.215022358990973</v>
      </c>
      <c r="AD79">
        <v>2.2104759256006221</v>
      </c>
      <c r="AE79">
        <v>1.3101783018559221</v>
      </c>
      <c r="AF79">
        <v>1.334503777371719</v>
      </c>
      <c r="AG79">
        <v>2.0941569281509151</v>
      </c>
      <c r="AH79">
        <v>7.942505699198227</v>
      </c>
      <c r="AI79">
        <v>2.257502388209105</v>
      </c>
      <c r="AK79">
        <v>1.533416957804002</v>
      </c>
      <c r="AL79">
        <v>0.61358276461251082</v>
      </c>
      <c r="AM79">
        <v>0.6089550306089222</v>
      </c>
      <c r="AN79">
        <v>12.96201972580166</v>
      </c>
      <c r="AO79">
        <v>0.63913396960415414</v>
      </c>
      <c r="AP79">
        <v>2.2104759256006221</v>
      </c>
      <c r="AQ79">
        <v>0.70002398341894145</v>
      </c>
      <c r="AR79">
        <v>0.71668010817375039</v>
      </c>
      <c r="AS79">
        <v>0.50126595400506635</v>
      </c>
      <c r="AT79">
        <v>7.942505699198227</v>
      </c>
      <c r="AU79">
        <v>1.1693222600035369</v>
      </c>
      <c r="AW79">
        <v>0.34484840260120098</v>
      </c>
      <c r="AY79">
        <v>0</v>
      </c>
    </row>
    <row r="80" spans="1:51" x14ac:dyDescent="0.3">
      <c r="A80">
        <v>5</v>
      </c>
      <c r="B80" t="s">
        <v>109</v>
      </c>
      <c r="C80" t="s">
        <v>103</v>
      </c>
      <c r="D80" t="s">
        <v>104</v>
      </c>
      <c r="F80" s="7">
        <v>0</v>
      </c>
      <c r="G80" s="7">
        <v>0</v>
      </c>
      <c r="H80" s="3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4.4082528381957671</v>
      </c>
      <c r="Z80">
        <v>1.9955656758160329</v>
      </c>
      <c r="AA80">
        <v>2.0055668772663919</v>
      </c>
      <c r="AB80">
        <v>3.325845542000025</v>
      </c>
      <c r="AC80">
        <v>1.3896206350007561</v>
      </c>
      <c r="AD80">
        <v>7.6996036657947116</v>
      </c>
      <c r="AE80">
        <v>1.875141294067725</v>
      </c>
      <c r="AF80">
        <v>3.7321050664060751</v>
      </c>
      <c r="AG80">
        <v>2.8128681479138322</v>
      </c>
      <c r="AH80">
        <v>7.8034711951971989</v>
      </c>
      <c r="AI80">
        <v>2.9477795841754419</v>
      </c>
      <c r="AK80">
        <v>4.4082528381957671</v>
      </c>
      <c r="AL80">
        <v>0.83220830340869723</v>
      </c>
      <c r="AM80">
        <v>0.848818206996657</v>
      </c>
      <c r="AN80">
        <v>3.325845542000025</v>
      </c>
      <c r="AO80">
        <v>0.59700278379896188</v>
      </c>
      <c r="AP80">
        <v>7.6996036657947116</v>
      </c>
      <c r="AQ80">
        <v>0.85330646942602473</v>
      </c>
      <c r="AR80">
        <v>2.0663252084166741</v>
      </c>
      <c r="AS80">
        <v>0.58345685121603308</v>
      </c>
      <c r="AT80">
        <v>7.8034711951971989</v>
      </c>
      <c r="AU80">
        <v>1.499268681195099</v>
      </c>
      <c r="AW80">
        <v>0.33520512899849558</v>
      </c>
      <c r="AY80">
        <v>0</v>
      </c>
    </row>
    <row r="81" spans="1:51" x14ac:dyDescent="0.3">
      <c r="A81">
        <v>5</v>
      </c>
      <c r="B81" t="s">
        <v>110</v>
      </c>
      <c r="C81" t="s">
        <v>103</v>
      </c>
      <c r="D81" t="s">
        <v>104</v>
      </c>
      <c r="F81" s="7">
        <v>0</v>
      </c>
      <c r="G81" s="7">
        <v>0</v>
      </c>
      <c r="H81" s="3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3.899511646002066</v>
      </c>
      <c r="Z81">
        <v>1.6782085536280651</v>
      </c>
      <c r="AA81">
        <v>1.6621175957378</v>
      </c>
      <c r="AB81">
        <v>7.5887748091976386</v>
      </c>
      <c r="AC81">
        <v>1.4265826841932721</v>
      </c>
      <c r="AD81">
        <v>9.9201272750040523</v>
      </c>
      <c r="AE81">
        <v>1.5923525512334891</v>
      </c>
      <c r="AF81">
        <v>3.6064764451584779</v>
      </c>
      <c r="AG81">
        <v>2.7791196586098521</v>
      </c>
      <c r="AH81">
        <v>9.6456571971997622</v>
      </c>
      <c r="AI81">
        <v>2.6357583305565639</v>
      </c>
      <c r="AK81">
        <v>3.899511646002066</v>
      </c>
      <c r="AL81">
        <v>0.68927206660155205</v>
      </c>
      <c r="AM81">
        <v>0.6810483334120363</v>
      </c>
      <c r="AN81">
        <v>7.5887748091976386</v>
      </c>
      <c r="AO81">
        <v>0.68150815940171017</v>
      </c>
      <c r="AP81">
        <v>9.9201272750040523</v>
      </c>
      <c r="AQ81">
        <v>0.76829415740212426</v>
      </c>
      <c r="AR81">
        <v>1.9682907431619241</v>
      </c>
      <c r="AS81">
        <v>0.58472637180238962</v>
      </c>
      <c r="AT81">
        <v>9.6456571971997622</v>
      </c>
      <c r="AU81">
        <v>1.3755808935733509</v>
      </c>
      <c r="AW81">
        <v>0.33662314419634642</v>
      </c>
      <c r="AY81">
        <v>0.43199999999999977</v>
      </c>
    </row>
    <row r="82" spans="1:51" x14ac:dyDescent="0.3">
      <c r="A82">
        <v>5</v>
      </c>
      <c r="B82" t="s">
        <v>111</v>
      </c>
      <c r="C82" t="s">
        <v>103</v>
      </c>
      <c r="D82" t="s">
        <v>104</v>
      </c>
      <c r="F82" s="7">
        <v>0</v>
      </c>
      <c r="G82" s="7">
        <v>1</v>
      </c>
      <c r="H82" s="3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0.37476335241226483</v>
      </c>
      <c r="Z82">
        <v>1.013616984838154</v>
      </c>
      <c r="AA82">
        <v>1.0084454032010399</v>
      </c>
      <c r="AB82">
        <v>0.40361771019815929</v>
      </c>
      <c r="AC82">
        <v>0.88915281580411831</v>
      </c>
      <c r="AD82">
        <v>0.1101486682076938</v>
      </c>
      <c r="AE82">
        <v>1.0164858493255451</v>
      </c>
      <c r="AF82">
        <v>1.3771273477701469</v>
      </c>
      <c r="AG82">
        <v>2.0911411228007641</v>
      </c>
      <c r="AH82">
        <v>3.4523569396696957E-2</v>
      </c>
      <c r="AI82">
        <v>1.4318827911862171</v>
      </c>
      <c r="AK82">
        <v>0.37476335241226483</v>
      </c>
      <c r="AL82">
        <v>0.48479794441955171</v>
      </c>
      <c r="AM82">
        <v>0.47958405762910838</v>
      </c>
      <c r="AN82">
        <v>0.40361771019815929</v>
      </c>
      <c r="AO82">
        <v>0.43857731020252688</v>
      </c>
      <c r="AP82">
        <v>0.1101486682076938</v>
      </c>
      <c r="AQ82">
        <v>0.54742873117793356</v>
      </c>
      <c r="AR82">
        <v>0.69293114218162377</v>
      </c>
      <c r="AS82">
        <v>0.4936854195315391</v>
      </c>
      <c r="AT82">
        <v>3.4523569396696957E-2</v>
      </c>
      <c r="AU82">
        <v>0.82515777982771399</v>
      </c>
      <c r="AW82">
        <v>0.33839143640361719</v>
      </c>
      <c r="AY82">
        <v>-0.43199999999999977</v>
      </c>
    </row>
    <row r="83" spans="1:51" x14ac:dyDescent="0.3">
      <c r="A83">
        <v>5</v>
      </c>
      <c r="B83" t="s">
        <v>112</v>
      </c>
      <c r="C83" t="s">
        <v>113</v>
      </c>
      <c r="D83" t="s">
        <v>114</v>
      </c>
      <c r="F83" s="7">
        <v>0</v>
      </c>
      <c r="G83" s="7">
        <v>0</v>
      </c>
      <c r="H83" s="3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921981.8</v>
      </c>
      <c r="O83">
        <v>923930.2</v>
      </c>
      <c r="P83">
        <v>239957</v>
      </c>
      <c r="Q83">
        <v>476762.2</v>
      </c>
      <c r="R83">
        <v>125583.6</v>
      </c>
      <c r="S83">
        <v>572161.80000000005</v>
      </c>
      <c r="T83">
        <v>4306558</v>
      </c>
      <c r="U83">
        <v>3758359.2</v>
      </c>
      <c r="V83">
        <v>228518.39999999999</v>
      </c>
      <c r="W83">
        <v>1151090</v>
      </c>
      <c r="Y83">
        <v>0.54758718700613829</v>
      </c>
      <c r="Z83">
        <v>1.150256822968367</v>
      </c>
      <c r="AA83">
        <v>1.142222245561425</v>
      </c>
      <c r="AB83">
        <v>0.59756048420385921</v>
      </c>
      <c r="AC83">
        <v>0.99637897481152327</v>
      </c>
      <c r="AD83">
        <v>0.54850426400080321</v>
      </c>
      <c r="AE83">
        <v>1.097246500686742</v>
      </c>
      <c r="AF83">
        <v>2.1176284813904198</v>
      </c>
      <c r="AG83">
        <v>2.3494765091571019</v>
      </c>
      <c r="AH83">
        <v>1.0953159445780329</v>
      </c>
      <c r="AI83">
        <v>2.3030462728114802</v>
      </c>
      <c r="AK83">
        <v>0.54758718700613829</v>
      </c>
      <c r="AL83">
        <v>0.4438938655774109</v>
      </c>
      <c r="AM83">
        <v>0.44308538538170977</v>
      </c>
      <c r="AN83">
        <v>0.59756048420385921</v>
      </c>
      <c r="AO83">
        <v>0.40642716520815159</v>
      </c>
      <c r="AP83">
        <v>0.54850426400080321</v>
      </c>
      <c r="AQ83">
        <v>0.46249444200657308</v>
      </c>
      <c r="AR83">
        <v>1.242595476179849</v>
      </c>
      <c r="AS83">
        <v>0.4392871544114314</v>
      </c>
      <c r="AT83">
        <v>1.0953159445780329</v>
      </c>
      <c r="AU83">
        <v>1.0027351515716869</v>
      </c>
      <c r="AW83">
        <v>0.25498067538719621</v>
      </c>
      <c r="AY83">
        <v>-0.36403199999999991</v>
      </c>
    </row>
    <row r="84" spans="1:51" x14ac:dyDescent="0.3">
      <c r="A84">
        <v>5</v>
      </c>
      <c r="B84" t="s">
        <v>115</v>
      </c>
      <c r="C84" t="s">
        <v>113</v>
      </c>
      <c r="D84" t="s">
        <v>114</v>
      </c>
      <c r="F84" s="7">
        <v>0</v>
      </c>
      <c r="G84" s="7">
        <v>1</v>
      </c>
      <c r="H84" s="3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778420.6</v>
      </c>
      <c r="O84">
        <v>778126.2</v>
      </c>
      <c r="P84">
        <v>4663570.4000000004</v>
      </c>
      <c r="Q84">
        <v>374529.6</v>
      </c>
      <c r="R84">
        <v>4324974.2</v>
      </c>
      <c r="S84">
        <v>237742.2</v>
      </c>
      <c r="T84">
        <v>3928340</v>
      </c>
      <c r="U84">
        <v>3194266.8</v>
      </c>
      <c r="V84">
        <v>4677741</v>
      </c>
      <c r="W84">
        <v>533901.6</v>
      </c>
      <c r="Y84">
        <v>2.3059753273846582</v>
      </c>
      <c r="Z84">
        <v>1.0240924333455039</v>
      </c>
      <c r="AA84">
        <v>1.0130081106093709</v>
      </c>
      <c r="AB84">
        <v>3.9479292587959209</v>
      </c>
      <c r="AC84">
        <v>0.89802263920719272</v>
      </c>
      <c r="AD84">
        <v>3.5572187287965789</v>
      </c>
      <c r="AE84">
        <v>0.66294584599090745</v>
      </c>
      <c r="AF84">
        <v>1.7620014909771271</v>
      </c>
      <c r="AG84">
        <v>1.8659153776941819</v>
      </c>
      <c r="AH84">
        <v>4.2442178020020949</v>
      </c>
      <c r="AI84">
        <v>1.8263552692020311</v>
      </c>
      <c r="AK84">
        <v>2.3059753273846582</v>
      </c>
      <c r="AL84">
        <v>0.43488055858761071</v>
      </c>
      <c r="AM84">
        <v>0.42602074060123413</v>
      </c>
      <c r="AN84">
        <v>3.9479292587959209</v>
      </c>
      <c r="AO84">
        <v>0.40962101180048188</v>
      </c>
      <c r="AP84">
        <v>3.5572187287965789</v>
      </c>
      <c r="AQ84">
        <v>0.3680073579773307</v>
      </c>
      <c r="AR84">
        <v>0.96847633818397294</v>
      </c>
      <c r="AS84">
        <v>0.39781564655713741</v>
      </c>
      <c r="AT84">
        <v>4.2442178020020949</v>
      </c>
      <c r="AU84">
        <v>0.79173724742140617</v>
      </c>
      <c r="AW84">
        <v>0.25214108261279761</v>
      </c>
      <c r="AY84">
        <v>0.36403199999999991</v>
      </c>
    </row>
    <row r="85" spans="1:51" x14ac:dyDescent="0.3">
      <c r="A85">
        <v>5</v>
      </c>
      <c r="B85" t="s">
        <v>116</v>
      </c>
      <c r="C85" t="s">
        <v>113</v>
      </c>
      <c r="D85" t="s">
        <v>114</v>
      </c>
      <c r="F85" s="7">
        <v>0</v>
      </c>
      <c r="G85" s="7">
        <v>1</v>
      </c>
      <c r="H85" s="3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968647</v>
      </c>
      <c r="O85">
        <v>969986.8</v>
      </c>
      <c r="P85">
        <v>1547781.6</v>
      </c>
      <c r="Q85">
        <v>382261.8</v>
      </c>
      <c r="R85">
        <v>1990193</v>
      </c>
      <c r="S85">
        <v>611589</v>
      </c>
      <c r="T85">
        <v>3853685</v>
      </c>
      <c r="U85">
        <v>3130889.8</v>
      </c>
      <c r="V85">
        <v>3464936</v>
      </c>
      <c r="W85">
        <v>1193405.8</v>
      </c>
      <c r="Y85">
        <v>0.77920337180839849</v>
      </c>
      <c r="Z85">
        <v>1.162899797072168</v>
      </c>
      <c r="AA85">
        <v>1.159473038162105</v>
      </c>
      <c r="AB85">
        <v>0.91077540660044176</v>
      </c>
      <c r="AC85">
        <v>0.83154700760205746</v>
      </c>
      <c r="AD85">
        <v>1.6339201156049969</v>
      </c>
      <c r="AE85">
        <v>1.2249745587934739</v>
      </c>
      <c r="AF85">
        <v>1.711790356796701</v>
      </c>
      <c r="AG85">
        <v>1.8182492143707349</v>
      </c>
      <c r="AH85">
        <v>3.818644510407466</v>
      </c>
      <c r="AI85">
        <v>2.1221493649645709</v>
      </c>
      <c r="AK85">
        <v>0.77920337180839849</v>
      </c>
      <c r="AL85">
        <v>0.44347505723126229</v>
      </c>
      <c r="AM85">
        <v>0.44092161437729371</v>
      </c>
      <c r="AN85">
        <v>0.91077540660044176</v>
      </c>
      <c r="AO85">
        <v>0.37739389520429539</v>
      </c>
      <c r="AP85">
        <v>1.6339201156049969</v>
      </c>
      <c r="AQ85">
        <v>0.50362652401672681</v>
      </c>
      <c r="AR85">
        <v>0.96050870139151812</v>
      </c>
      <c r="AS85">
        <v>0.38629899499937892</v>
      </c>
      <c r="AT85">
        <v>3.818644510407466</v>
      </c>
      <c r="AU85">
        <v>0.84393344017444183</v>
      </c>
      <c r="AW85">
        <v>0.26128628700971601</v>
      </c>
      <c r="AY85">
        <v>-2.8799999999999899E-2</v>
      </c>
    </row>
    <row r="86" spans="1:51" x14ac:dyDescent="0.3">
      <c r="A86">
        <v>5</v>
      </c>
      <c r="B86" t="s">
        <v>117</v>
      </c>
      <c r="C86" t="s">
        <v>113</v>
      </c>
      <c r="D86" t="s">
        <v>114</v>
      </c>
      <c r="F86" s="7">
        <v>0</v>
      </c>
      <c r="G86" s="7">
        <v>0</v>
      </c>
      <c r="H86" s="3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1588037.4</v>
      </c>
      <c r="O86">
        <v>1594317.2</v>
      </c>
      <c r="P86">
        <v>2025758.4</v>
      </c>
      <c r="Q86">
        <v>524304.80000000005</v>
      </c>
      <c r="R86">
        <v>9883125.4000000004</v>
      </c>
      <c r="S86">
        <v>1188137.8</v>
      </c>
      <c r="T86">
        <v>4039682.4</v>
      </c>
      <c r="U86">
        <v>3536701.8</v>
      </c>
      <c r="V86">
        <v>11459876.6</v>
      </c>
      <c r="W86">
        <v>1589606.3999999999</v>
      </c>
      <c r="Y86">
        <v>3.7662576538044958</v>
      </c>
      <c r="Z86">
        <v>1.601066559390165</v>
      </c>
      <c r="AA86">
        <v>1.587507805798668</v>
      </c>
      <c r="AB86">
        <v>2.4398844659997851</v>
      </c>
      <c r="AC86">
        <v>1.0489683648047501</v>
      </c>
      <c r="AD86">
        <v>8.550539125583601</v>
      </c>
      <c r="AE86">
        <v>1.6154521336313341</v>
      </c>
      <c r="AF86">
        <v>1.8303220385801979</v>
      </c>
      <c r="AG86">
        <v>2.122045124985743</v>
      </c>
      <c r="AH86">
        <v>6.7592846623971123</v>
      </c>
      <c r="AI86">
        <v>2.639585906441789</v>
      </c>
      <c r="AK86">
        <v>3.7662576538044958</v>
      </c>
      <c r="AL86">
        <v>0.60062264781445263</v>
      </c>
      <c r="AM86">
        <v>0.58590521899750458</v>
      </c>
      <c r="AN86">
        <v>2.4398844659997851</v>
      </c>
      <c r="AO86">
        <v>0.47430833540274758</v>
      </c>
      <c r="AP86">
        <v>8.550539125583601</v>
      </c>
      <c r="AQ86">
        <v>0.67703805421479046</v>
      </c>
      <c r="AR86">
        <v>1.0608029655646529</v>
      </c>
      <c r="AS86">
        <v>0.41441233179066328</v>
      </c>
      <c r="AT86">
        <v>6.7592846623971123</v>
      </c>
      <c r="AU86">
        <v>1.1771107485867101</v>
      </c>
      <c r="AW86">
        <v>0.2674545548041351</v>
      </c>
      <c r="AY86">
        <v>2.8799999999999899E-2</v>
      </c>
    </row>
    <row r="87" spans="1:51" x14ac:dyDescent="0.3">
      <c r="A87">
        <v>5</v>
      </c>
      <c r="B87" t="s">
        <v>118</v>
      </c>
      <c r="C87" t="s">
        <v>113</v>
      </c>
      <c r="D87" t="s">
        <v>114</v>
      </c>
      <c r="F87" s="7">
        <v>0</v>
      </c>
      <c r="G87" s="7">
        <v>1</v>
      </c>
      <c r="H87" s="3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2233540</v>
      </c>
      <c r="O87">
        <v>2236833.7999999998</v>
      </c>
      <c r="P87">
        <v>15647339</v>
      </c>
      <c r="Q87">
        <v>1333995.3999999999</v>
      </c>
      <c r="R87">
        <v>12464840.6</v>
      </c>
      <c r="S87">
        <v>1721124</v>
      </c>
      <c r="T87">
        <v>4336350.8</v>
      </c>
      <c r="U87">
        <v>3803577.4</v>
      </c>
      <c r="V87">
        <v>15843471.800000001</v>
      </c>
      <c r="W87">
        <v>3203163.8</v>
      </c>
      <c r="Y87">
        <v>4.8897437687963254</v>
      </c>
      <c r="Z87">
        <v>2.066637902415823</v>
      </c>
      <c r="AA87">
        <v>2.0473173238104212</v>
      </c>
      <c r="AB87">
        <v>15.66485434299975</v>
      </c>
      <c r="AC87">
        <v>1.694019587806542</v>
      </c>
      <c r="AD87">
        <v>10.31572710959008</v>
      </c>
      <c r="AE87">
        <v>1.88288024624344</v>
      </c>
      <c r="AF87">
        <v>2.1198640975635499</v>
      </c>
      <c r="AG87">
        <v>2.3782383580226449</v>
      </c>
      <c r="AH87">
        <v>8.7430702635785558</v>
      </c>
      <c r="AI87">
        <v>3.51608766738791</v>
      </c>
      <c r="AK87">
        <v>4.8897437687963254</v>
      </c>
      <c r="AL87">
        <v>0.76209803803358223</v>
      </c>
      <c r="AM87">
        <v>0.74936618759529661</v>
      </c>
      <c r="AN87">
        <v>15.66485434299975</v>
      </c>
      <c r="AO87">
        <v>0.68626982719870289</v>
      </c>
      <c r="AP87">
        <v>10.31572710959008</v>
      </c>
      <c r="AQ87">
        <v>0.7293819398037158</v>
      </c>
      <c r="AR87">
        <v>1.2418619621661491</v>
      </c>
      <c r="AS87">
        <v>0.44805068359710282</v>
      </c>
      <c r="AT87">
        <v>8.7430702635785558</v>
      </c>
      <c r="AU87">
        <v>1.557387943589128</v>
      </c>
      <c r="AW87">
        <v>0.26028324479702858</v>
      </c>
      <c r="AY87">
        <v>2.8799999999999899E-2</v>
      </c>
    </row>
    <row r="88" spans="1:51" x14ac:dyDescent="0.3">
      <c r="A88">
        <v>5</v>
      </c>
      <c r="B88" t="s">
        <v>119</v>
      </c>
      <c r="C88" t="s">
        <v>113</v>
      </c>
      <c r="D88" t="s">
        <v>114</v>
      </c>
      <c r="F88" s="7">
        <v>0</v>
      </c>
      <c r="G88" s="7">
        <v>0</v>
      </c>
      <c r="H88" s="3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1048030.2</v>
      </c>
      <c r="O88">
        <v>1048048.2</v>
      </c>
      <c r="P88">
        <v>569045.4</v>
      </c>
      <c r="Q88">
        <v>565401</v>
      </c>
      <c r="R88">
        <v>3558555.6</v>
      </c>
      <c r="S88">
        <v>673594.8</v>
      </c>
      <c r="T88">
        <v>3929436.4</v>
      </c>
      <c r="U88">
        <v>3180461.4</v>
      </c>
      <c r="V88">
        <v>3126287.2</v>
      </c>
      <c r="W88">
        <v>1482469.2</v>
      </c>
      <c r="Y88">
        <v>1.1009908011998051</v>
      </c>
      <c r="Z88">
        <v>1.216618440218735</v>
      </c>
      <c r="AA88">
        <v>1.2146542006172241</v>
      </c>
      <c r="AB88">
        <v>1.0189425385993669</v>
      </c>
      <c r="AC88">
        <v>1.038461602994357</v>
      </c>
      <c r="AD88">
        <v>2.382736363599542</v>
      </c>
      <c r="AE88">
        <v>1.214956118224654</v>
      </c>
      <c r="AF88">
        <v>1.7720265401527291</v>
      </c>
      <c r="AG88">
        <v>1.8565119013655931</v>
      </c>
      <c r="AH88">
        <v>3.8307866927934811</v>
      </c>
      <c r="AI88">
        <v>2.4707139782025478</v>
      </c>
      <c r="AK88">
        <v>1.1009908011998051</v>
      </c>
      <c r="AL88">
        <v>0.45884314842987811</v>
      </c>
      <c r="AM88">
        <v>0.45714089102111749</v>
      </c>
      <c r="AN88">
        <v>1.0189425385993669</v>
      </c>
      <c r="AO88">
        <v>0.45690339060092811</v>
      </c>
      <c r="AP88">
        <v>2.382736363599542</v>
      </c>
      <c r="AQ88">
        <v>0.51726039735367524</v>
      </c>
      <c r="AR88">
        <v>0.97361723736394201</v>
      </c>
      <c r="AS88">
        <v>0.39931375226005911</v>
      </c>
      <c r="AT88">
        <v>3.8307866927934811</v>
      </c>
      <c r="AU88">
        <v>1.0858720579999499</v>
      </c>
      <c r="AW88">
        <v>0.25193202361697331</v>
      </c>
      <c r="AY88">
        <v>-2.8799999999999899E-2</v>
      </c>
    </row>
    <row r="89" spans="1:51" x14ac:dyDescent="0.3">
      <c r="A89">
        <v>5</v>
      </c>
      <c r="B89" t="s">
        <v>120</v>
      </c>
      <c r="C89" t="s">
        <v>113</v>
      </c>
      <c r="D89" t="s">
        <v>114</v>
      </c>
      <c r="F89" s="7">
        <v>0</v>
      </c>
      <c r="G89" s="7">
        <v>0</v>
      </c>
      <c r="H89" s="3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567025</v>
      </c>
      <c r="O89">
        <v>567190.6</v>
      </c>
      <c r="P89">
        <v>2397875.6</v>
      </c>
      <c r="Q89">
        <v>346414.8</v>
      </c>
      <c r="R89">
        <v>5850146.2000000002</v>
      </c>
      <c r="S89">
        <v>253571.4</v>
      </c>
      <c r="T89">
        <v>3855495.2</v>
      </c>
      <c r="U89">
        <v>3115020.2</v>
      </c>
      <c r="V89">
        <v>3518969</v>
      </c>
      <c r="W89">
        <v>417167.6</v>
      </c>
      <c r="Y89">
        <v>1.87867099060677</v>
      </c>
      <c r="Z89">
        <v>0.84651493778219444</v>
      </c>
      <c r="AA89">
        <v>0.83413403304293754</v>
      </c>
      <c r="AB89">
        <v>2.170405660200049</v>
      </c>
      <c r="AC89">
        <v>0.76726831900014081</v>
      </c>
      <c r="AD89">
        <v>4.8201144638005644</v>
      </c>
      <c r="AE89">
        <v>0.76601679099258035</v>
      </c>
      <c r="AF89">
        <v>1.7463345461757851</v>
      </c>
      <c r="AG89">
        <v>1.843483061273582</v>
      </c>
      <c r="AH89">
        <v>3.791603276005481</v>
      </c>
      <c r="AI89">
        <v>1.185207435477059</v>
      </c>
      <c r="AK89">
        <v>1.87867099060677</v>
      </c>
      <c r="AL89">
        <v>0.40874894999433309</v>
      </c>
      <c r="AM89">
        <v>0.40151679742848501</v>
      </c>
      <c r="AN89">
        <v>2.170405660200049</v>
      </c>
      <c r="AO89">
        <v>0.40263067380583378</v>
      </c>
      <c r="AP89">
        <v>4.8201144638005644</v>
      </c>
      <c r="AQ89">
        <v>0.40898984719533471</v>
      </c>
      <c r="AR89">
        <v>0.98482506757136434</v>
      </c>
      <c r="AS89">
        <v>0.39915955219184979</v>
      </c>
      <c r="AT89">
        <v>3.791603276005481</v>
      </c>
      <c r="AU89">
        <v>0.68678469281876464</v>
      </c>
      <c r="AW89">
        <v>0.2565408460097387</v>
      </c>
      <c r="AY89">
        <v>0.36403199999999991</v>
      </c>
    </row>
    <row r="90" spans="1:51" x14ac:dyDescent="0.3">
      <c r="A90">
        <v>5</v>
      </c>
      <c r="B90" t="s">
        <v>121</v>
      </c>
      <c r="C90" t="s">
        <v>113</v>
      </c>
      <c r="D90" t="s">
        <v>114</v>
      </c>
      <c r="F90" s="7">
        <v>0</v>
      </c>
      <c r="G90" s="7">
        <v>1</v>
      </c>
      <c r="H90" s="3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710900.2</v>
      </c>
      <c r="O90">
        <v>711698</v>
      </c>
      <c r="P90">
        <v>202026.4</v>
      </c>
      <c r="Q90">
        <v>279340.2</v>
      </c>
      <c r="R90">
        <v>1063.5999999999999</v>
      </c>
      <c r="S90">
        <v>350726</v>
      </c>
      <c r="T90">
        <v>4030484.4</v>
      </c>
      <c r="U90">
        <v>3504042.2</v>
      </c>
      <c r="V90">
        <v>4608.6000000000004</v>
      </c>
      <c r="W90">
        <v>450520</v>
      </c>
      <c r="Y90">
        <v>0.35735868159681561</v>
      </c>
      <c r="Z90">
        <v>0.9516661602538079</v>
      </c>
      <c r="AA90">
        <v>0.94482553863199426</v>
      </c>
      <c r="AB90">
        <v>0.38753829339984802</v>
      </c>
      <c r="AC90">
        <v>0.75682715519506016</v>
      </c>
      <c r="AD90">
        <v>9.3374433822464159E-2</v>
      </c>
      <c r="AE90">
        <v>0.91476736960466953</v>
      </c>
      <c r="AF90">
        <v>1.835939384985249</v>
      </c>
      <c r="AG90">
        <v>2.1201224425225522</v>
      </c>
      <c r="AH90">
        <v>2.554555179085578E-2</v>
      </c>
      <c r="AI90">
        <v>1.5609583665616811</v>
      </c>
      <c r="AK90">
        <v>0.35735868159681561</v>
      </c>
      <c r="AL90">
        <v>0.39149191139731548</v>
      </c>
      <c r="AM90">
        <v>0.38606914581032459</v>
      </c>
      <c r="AN90">
        <v>0.38753829339984802</v>
      </c>
      <c r="AO90">
        <v>0.33728613019629838</v>
      </c>
      <c r="AP90">
        <v>9.3374433822464159E-2</v>
      </c>
      <c r="AQ90">
        <v>0.4132862798171118</v>
      </c>
      <c r="AR90">
        <v>1.074295002582949</v>
      </c>
      <c r="AS90">
        <v>0.41191756577463817</v>
      </c>
      <c r="AT90">
        <v>2.554555179085578E-2</v>
      </c>
      <c r="AU90">
        <v>0.72260918639367444</v>
      </c>
      <c r="AW90">
        <v>0.251797997194808</v>
      </c>
      <c r="AY90">
        <v>-0.36403199999999991</v>
      </c>
    </row>
    <row r="91" spans="1:51" x14ac:dyDescent="0.3">
      <c r="A91">
        <v>6</v>
      </c>
      <c r="B91" t="s">
        <v>122</v>
      </c>
      <c r="C91" t="s">
        <v>123</v>
      </c>
      <c r="D91" t="s">
        <v>124</v>
      </c>
      <c r="F91" s="7">
        <v>0</v>
      </c>
      <c r="G91" s="7">
        <v>0</v>
      </c>
      <c r="H91" s="3">
        <v>0</v>
      </c>
      <c r="I91">
        <f t="shared" si="2"/>
        <v>0</v>
      </c>
      <c r="J91">
        <f t="shared" si="3"/>
        <v>1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0.86270050180610269</v>
      </c>
      <c r="Z91">
        <v>0.89674655018607152</v>
      </c>
      <c r="AA91">
        <v>0.88872815726790577</v>
      </c>
      <c r="AB91">
        <v>0.89567438020312695</v>
      </c>
      <c r="AC91">
        <v>0.74143804900231769</v>
      </c>
      <c r="AD91">
        <v>1.596458129794337</v>
      </c>
      <c r="AE91">
        <v>0.73115419995738196</v>
      </c>
      <c r="AF91">
        <v>0.46348044704645869</v>
      </c>
      <c r="AG91">
        <v>0.6864408583613113</v>
      </c>
      <c r="AH91">
        <v>3.1006992058013561</v>
      </c>
      <c r="AI91">
        <v>1.484803776466288</v>
      </c>
      <c r="AK91">
        <v>0.86270050180610269</v>
      </c>
      <c r="AL91">
        <v>0.5384464429924265</v>
      </c>
      <c r="AM91">
        <v>0.5298051914200187</v>
      </c>
      <c r="AN91">
        <v>0.89567438020312695</v>
      </c>
      <c r="AO91">
        <v>0.46924157220346391</v>
      </c>
      <c r="AP91">
        <v>1.596458129794337</v>
      </c>
      <c r="AQ91">
        <v>0.40180462877033279</v>
      </c>
      <c r="AR91">
        <v>0.35735531344544141</v>
      </c>
      <c r="AS91">
        <v>0.31220914039295172</v>
      </c>
      <c r="AT91">
        <v>3.1006992058013561</v>
      </c>
      <c r="AU91">
        <v>0.93477853619260709</v>
      </c>
      <c r="AW91">
        <v>0.19825988120865071</v>
      </c>
      <c r="AY91">
        <v>0.182688768</v>
      </c>
    </row>
    <row r="92" spans="1:51" x14ac:dyDescent="0.3">
      <c r="A92">
        <v>6</v>
      </c>
      <c r="B92" t="s">
        <v>125</v>
      </c>
      <c r="C92" t="s">
        <v>123</v>
      </c>
      <c r="D92" t="s">
        <v>124</v>
      </c>
      <c r="F92" s="7">
        <v>0</v>
      </c>
      <c r="G92" s="7">
        <v>1</v>
      </c>
      <c r="H92" s="3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0.49441178319975732</v>
      </c>
      <c r="Z92">
        <v>0.72760245701065285</v>
      </c>
      <c r="AA92">
        <v>0.72490483218571167</v>
      </c>
      <c r="AB92">
        <v>0.44847579400229731</v>
      </c>
      <c r="AC92">
        <v>0.6875836491992231</v>
      </c>
      <c r="AD92">
        <v>1.045642180216964</v>
      </c>
      <c r="AE92">
        <v>1.1420063459896479</v>
      </c>
      <c r="AF92">
        <v>0.46603885216172791</v>
      </c>
      <c r="AG92">
        <v>0.69065678849583489</v>
      </c>
      <c r="AH92">
        <v>0.14245503040729091</v>
      </c>
      <c r="AI92">
        <v>0.78543965395074333</v>
      </c>
      <c r="AK92">
        <v>0.49441178319975732</v>
      </c>
      <c r="AL92">
        <v>0.44153122319839888</v>
      </c>
      <c r="AM92">
        <v>0.43785680058645082</v>
      </c>
      <c r="AN92">
        <v>0.44847579400229731</v>
      </c>
      <c r="AO92">
        <v>0.40320012459706051</v>
      </c>
      <c r="AP92">
        <v>1.045642180216964</v>
      </c>
      <c r="AQ92">
        <v>0.66308831878704955</v>
      </c>
      <c r="AR92">
        <v>0.35666390019468958</v>
      </c>
      <c r="AS92">
        <v>0.31762663639383393</v>
      </c>
      <c r="AT92">
        <v>0.14245503040729091</v>
      </c>
      <c r="AU92">
        <v>0.56283097057603304</v>
      </c>
      <c r="AW92">
        <v>0.2028834333992563</v>
      </c>
      <c r="AY92">
        <v>-1.231930368</v>
      </c>
    </row>
    <row r="93" spans="1:51" x14ac:dyDescent="0.3">
      <c r="A93">
        <v>6</v>
      </c>
      <c r="B93" t="s">
        <v>126</v>
      </c>
      <c r="C93" t="s">
        <v>123</v>
      </c>
      <c r="D93" t="s">
        <v>124</v>
      </c>
      <c r="F93" s="7">
        <v>0</v>
      </c>
      <c r="G93" s="7">
        <v>1</v>
      </c>
      <c r="H93" s="3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0.44615038539050139</v>
      </c>
      <c r="Z93">
        <v>0.69040035958169033</v>
      </c>
      <c r="AA93">
        <v>0.69388880482874815</v>
      </c>
      <c r="AB93">
        <v>0.54240986560180315</v>
      </c>
      <c r="AC93">
        <v>0.60423040080640933</v>
      </c>
      <c r="AD93">
        <v>1.1416289910092019</v>
      </c>
      <c r="AE93">
        <v>1.18583980522817</v>
      </c>
      <c r="AF93">
        <v>0.41981109759071839</v>
      </c>
      <c r="AG93">
        <v>0.62005880640354005</v>
      </c>
      <c r="AH93">
        <v>8.0484012595843479E-2</v>
      </c>
      <c r="AI93">
        <v>0.50230072200065479</v>
      </c>
      <c r="AK93">
        <v>0.44615038539050139</v>
      </c>
      <c r="AL93">
        <v>0.41731547758681697</v>
      </c>
      <c r="AM93">
        <v>0.42132708659628398</v>
      </c>
      <c r="AN93">
        <v>0.54240986560180315</v>
      </c>
      <c r="AO93">
        <v>0.40548548979859328</v>
      </c>
      <c r="AP93">
        <v>1.1416289910092019</v>
      </c>
      <c r="AQ93">
        <v>0.69993136901175601</v>
      </c>
      <c r="AR93">
        <v>0.35025333120720459</v>
      </c>
      <c r="AS93">
        <v>0.30525386355584477</v>
      </c>
      <c r="AT93">
        <v>8.0484012595843479E-2</v>
      </c>
      <c r="AU93">
        <v>0.32985708880005399</v>
      </c>
      <c r="AW93">
        <v>0.19966214078012851</v>
      </c>
      <c r="AY93">
        <v>0.65593036799999993</v>
      </c>
    </row>
    <row r="94" spans="1:51" x14ac:dyDescent="0.3">
      <c r="A94">
        <v>6</v>
      </c>
      <c r="B94" t="s">
        <v>127</v>
      </c>
      <c r="C94" t="s">
        <v>123</v>
      </c>
      <c r="D94" t="s">
        <v>124</v>
      </c>
      <c r="F94" s="7">
        <v>0</v>
      </c>
      <c r="G94" s="7">
        <v>0</v>
      </c>
      <c r="H94" s="3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0.40578482260461901</v>
      </c>
      <c r="Z94">
        <v>0.63778202283428986</v>
      </c>
      <c r="AA94">
        <v>0.62471889849985018</v>
      </c>
      <c r="AB94">
        <v>0.36636336259834928</v>
      </c>
      <c r="AC94">
        <v>0.55982160319981633</v>
      </c>
      <c r="AD94">
        <v>1.0732608760008591</v>
      </c>
      <c r="AE94">
        <v>1.304264986037742</v>
      </c>
      <c r="AF94">
        <v>0.41882750642253092</v>
      </c>
      <c r="AG94">
        <v>0.62142077417811381</v>
      </c>
      <c r="AH94">
        <v>6.6979939816519214E-3</v>
      </c>
      <c r="AI94">
        <v>0.3304426648071967</v>
      </c>
      <c r="AK94">
        <v>0.40578482260461901</v>
      </c>
      <c r="AL94">
        <v>0.39189288642955938</v>
      </c>
      <c r="AM94">
        <v>0.38739156196825209</v>
      </c>
      <c r="AN94">
        <v>0.36636336259834928</v>
      </c>
      <c r="AO94">
        <v>0.37141425660229288</v>
      </c>
      <c r="AP94">
        <v>1.0732608760008591</v>
      </c>
      <c r="AQ94">
        <v>0.81788065782748165</v>
      </c>
      <c r="AR94">
        <v>0.34589100102893999</v>
      </c>
      <c r="AS94">
        <v>0.30906068520853291</v>
      </c>
      <c r="AT94">
        <v>6.6979939816519214E-3</v>
      </c>
      <c r="AU94">
        <v>0.25653566620312629</v>
      </c>
      <c r="AW94">
        <v>0.19922775359591469</v>
      </c>
      <c r="AY94">
        <v>0.3933112319999999</v>
      </c>
    </row>
    <row r="95" spans="1:51" x14ac:dyDescent="0.3">
      <c r="A95">
        <v>6</v>
      </c>
      <c r="B95" t="s">
        <v>128</v>
      </c>
      <c r="C95" t="s">
        <v>123</v>
      </c>
      <c r="D95" t="s">
        <v>124</v>
      </c>
      <c r="F95" s="7">
        <v>0</v>
      </c>
      <c r="G95" s="7">
        <v>1</v>
      </c>
      <c r="H95" s="3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1.2760336351930159</v>
      </c>
      <c r="Z95">
        <v>0.99471385945798829</v>
      </c>
      <c r="AA95">
        <v>0.99503556159324946</v>
      </c>
      <c r="AB95">
        <v>1.2303666652005629</v>
      </c>
      <c r="AC95">
        <v>0.81140527359675618</v>
      </c>
      <c r="AD95">
        <v>2.235355706815608</v>
      </c>
      <c r="AE95">
        <v>1.0453512581763791</v>
      </c>
      <c r="AF95">
        <v>0.49351534519810231</v>
      </c>
      <c r="AG95">
        <v>0.72019193156156691</v>
      </c>
      <c r="AH95">
        <v>3.374973537388724</v>
      </c>
      <c r="AI95">
        <v>2.251107855245936</v>
      </c>
      <c r="AK95">
        <v>1.2760336351930159</v>
      </c>
      <c r="AL95">
        <v>0.56571883360156794</v>
      </c>
      <c r="AM95">
        <v>0.56235681460238995</v>
      </c>
      <c r="AN95">
        <v>1.2303666652005629</v>
      </c>
      <c r="AO95">
        <v>0.50518927739758512</v>
      </c>
      <c r="AP95">
        <v>2.235355706815608</v>
      </c>
      <c r="AQ95">
        <v>0.56457448077853767</v>
      </c>
      <c r="AR95">
        <v>0.37853709638584399</v>
      </c>
      <c r="AS95">
        <v>0.32190446560271091</v>
      </c>
      <c r="AT95">
        <v>3.374973537388724</v>
      </c>
      <c r="AU95">
        <v>1.520944738993421</v>
      </c>
      <c r="AW95">
        <v>0.198775569407735</v>
      </c>
      <c r="AY95">
        <v>0.3933112319999999</v>
      </c>
    </row>
    <row r="96" spans="1:51" x14ac:dyDescent="0.3">
      <c r="A96">
        <v>6</v>
      </c>
      <c r="B96" t="s">
        <v>129</v>
      </c>
      <c r="C96" t="s">
        <v>123</v>
      </c>
      <c r="D96" t="s">
        <v>124</v>
      </c>
      <c r="F96" s="7">
        <v>0</v>
      </c>
      <c r="G96" s="7">
        <v>0</v>
      </c>
      <c r="H96" s="3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0.6004119831952266</v>
      </c>
      <c r="Z96">
        <v>0.74477965658297762</v>
      </c>
      <c r="AA96">
        <v>0.75039129735669119</v>
      </c>
      <c r="AB96">
        <v>0.47154755479423333</v>
      </c>
      <c r="AC96">
        <v>0.64345027139352173</v>
      </c>
      <c r="AD96">
        <v>1.0820434425957499</v>
      </c>
      <c r="AE96">
        <v>1.089240145566873</v>
      </c>
      <c r="AF96">
        <v>0.49442886142060161</v>
      </c>
      <c r="AG96">
        <v>0.71900165154365825</v>
      </c>
      <c r="AH96">
        <v>0.98236557199852537</v>
      </c>
      <c r="AI96">
        <v>0.96637506417464469</v>
      </c>
      <c r="AK96">
        <v>0.6004119831952266</v>
      </c>
      <c r="AL96">
        <v>0.40550228297943253</v>
      </c>
      <c r="AM96">
        <v>0.41070221759146081</v>
      </c>
      <c r="AN96">
        <v>0.47154755479423333</v>
      </c>
      <c r="AO96">
        <v>0.40986109780205882</v>
      </c>
      <c r="AP96">
        <v>1.0820434425957499</v>
      </c>
      <c r="AQ96">
        <v>0.67131402678787711</v>
      </c>
      <c r="AR96">
        <v>0.37599870621925208</v>
      </c>
      <c r="AS96">
        <v>0.32694884198717772</v>
      </c>
      <c r="AT96">
        <v>0.98236557199852537</v>
      </c>
      <c r="AU96">
        <v>0.60068916460732003</v>
      </c>
      <c r="AW96">
        <v>0.20177887378958981</v>
      </c>
      <c r="AY96">
        <v>0.65593036799999993</v>
      </c>
    </row>
    <row r="97" spans="1:51" x14ac:dyDescent="0.3">
      <c r="A97">
        <v>6</v>
      </c>
      <c r="B97" t="s">
        <v>130</v>
      </c>
      <c r="C97" t="s">
        <v>123</v>
      </c>
      <c r="D97" t="s">
        <v>124</v>
      </c>
      <c r="F97" s="7">
        <v>0</v>
      </c>
      <c r="G97" s="7">
        <v>0</v>
      </c>
      <c r="H97" s="3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0.68151731898542489</v>
      </c>
      <c r="Z97">
        <v>0.68814734640764075</v>
      </c>
      <c r="AA97">
        <v>0.68485859980573882</v>
      </c>
      <c r="AB97">
        <v>0.65117822779575363</v>
      </c>
      <c r="AC97">
        <v>0.60224483559723008</v>
      </c>
      <c r="AD97">
        <v>1.2681123524089339</v>
      </c>
      <c r="AE97">
        <v>1.155791310023051</v>
      </c>
      <c r="AF97">
        <v>0.42837694541085508</v>
      </c>
      <c r="AG97">
        <v>0.64167678393423555</v>
      </c>
      <c r="AH97">
        <v>0.75929379700683053</v>
      </c>
      <c r="AI97">
        <v>0.4899866492138244</v>
      </c>
      <c r="AK97">
        <v>0.68151731898542489</v>
      </c>
      <c r="AL97">
        <v>0.42311767300125208</v>
      </c>
      <c r="AM97">
        <v>0.4185012786067091</v>
      </c>
      <c r="AN97">
        <v>0.65117822779575363</v>
      </c>
      <c r="AO97">
        <v>0.38616837560257411</v>
      </c>
      <c r="AP97">
        <v>1.2681123524089339</v>
      </c>
      <c r="AQ97">
        <v>0.66922523560933767</v>
      </c>
      <c r="AR97">
        <v>0.3565118374070152</v>
      </c>
      <c r="AS97">
        <v>0.31859605582430961</v>
      </c>
      <c r="AT97">
        <v>0.75929379700683053</v>
      </c>
      <c r="AU97">
        <v>0.3260534531902522</v>
      </c>
      <c r="AW97">
        <v>0.2044414720032364</v>
      </c>
      <c r="AY97">
        <v>-1.231930368</v>
      </c>
    </row>
    <row r="98" spans="1:51" x14ac:dyDescent="0.3">
      <c r="A98">
        <v>6</v>
      </c>
      <c r="B98" t="s">
        <v>131</v>
      </c>
      <c r="C98" t="s">
        <v>123</v>
      </c>
      <c r="D98" t="s">
        <v>124</v>
      </c>
      <c r="F98" s="7">
        <v>0</v>
      </c>
      <c r="G98" s="7">
        <v>1</v>
      </c>
      <c r="H98" s="3">
        <v>0</v>
      </c>
      <c r="I98">
        <f t="shared" si="2"/>
        <v>0</v>
      </c>
      <c r="J98">
        <f t="shared" si="3"/>
        <v>1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0.34974052100442349</v>
      </c>
      <c r="Z98">
        <v>0.60312795742647718</v>
      </c>
      <c r="AA98">
        <v>0.6040624435874633</v>
      </c>
      <c r="AB98">
        <v>0.38119811340002341</v>
      </c>
      <c r="AC98">
        <v>0.60175963779911401</v>
      </c>
      <c r="AD98">
        <v>1.1294865314033811</v>
      </c>
      <c r="AE98">
        <v>1.3356257135514169</v>
      </c>
      <c r="AF98">
        <v>0.42951913683209569</v>
      </c>
      <c r="AG98">
        <v>0.64237685784464704</v>
      </c>
      <c r="AH98">
        <v>1.0119901213329219E-2</v>
      </c>
      <c r="AI98">
        <v>0.35169065798399968</v>
      </c>
      <c r="AK98">
        <v>0.34974052100442349</v>
      </c>
      <c r="AL98">
        <v>0.38756012081867081</v>
      </c>
      <c r="AM98">
        <v>0.38305150336818772</v>
      </c>
      <c r="AN98">
        <v>0.38119811340002341</v>
      </c>
      <c r="AO98">
        <v>0.39993992238887582</v>
      </c>
      <c r="AP98">
        <v>1.1294865314033811</v>
      </c>
      <c r="AQ98">
        <v>0.86250349940964954</v>
      </c>
      <c r="AR98">
        <v>0.3545491610304452</v>
      </c>
      <c r="AS98">
        <v>0.3219306273735128</v>
      </c>
      <c r="AT98">
        <v>1.0119901213329219E-2</v>
      </c>
      <c r="AU98">
        <v>0.27768827277468522</v>
      </c>
      <c r="AW98">
        <v>0.20946953700622539</v>
      </c>
      <c r="AY98">
        <v>0.182688768</v>
      </c>
    </row>
    <row r="99" spans="1:51" x14ac:dyDescent="0.3">
      <c r="A99">
        <v>7</v>
      </c>
      <c r="B99" t="s">
        <v>132</v>
      </c>
      <c r="C99" t="s">
        <v>133</v>
      </c>
      <c r="D99" t="s">
        <v>134</v>
      </c>
      <c r="F99" s="7">
        <v>0</v>
      </c>
      <c r="G99" s="7">
        <v>0</v>
      </c>
      <c r="H99" s="3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1.473650893010199</v>
      </c>
      <c r="Z99">
        <v>1.749123173649423</v>
      </c>
      <c r="AA99">
        <v>1.7471006350009699</v>
      </c>
      <c r="AB99">
        <v>1.463405597396195</v>
      </c>
      <c r="AC99">
        <v>1.4505018936033589</v>
      </c>
      <c r="AD99">
        <v>0.9671052099904045</v>
      </c>
      <c r="AE99">
        <v>1.5334815668291411</v>
      </c>
      <c r="AF99">
        <v>2.4591859903768638</v>
      </c>
      <c r="AG99">
        <v>2.5879930797033008</v>
      </c>
      <c r="AH99">
        <v>3.100663460791111</v>
      </c>
      <c r="AI99">
        <v>3.079400297813117</v>
      </c>
      <c r="AK99">
        <v>1.473650893010199</v>
      </c>
      <c r="AL99">
        <v>0.48164635500870651</v>
      </c>
      <c r="AM99">
        <v>0.48033073220867661</v>
      </c>
      <c r="AN99">
        <v>1.463405597396195</v>
      </c>
      <c r="AO99">
        <v>0.44566808820527509</v>
      </c>
      <c r="AP99">
        <v>0.9671052099904045</v>
      </c>
      <c r="AQ99">
        <v>0.45065839922754092</v>
      </c>
      <c r="AR99">
        <v>1.2835778005770411</v>
      </c>
      <c r="AS99">
        <v>0.37766331698512662</v>
      </c>
      <c r="AT99">
        <v>3.100663460791111</v>
      </c>
      <c r="AU99">
        <v>1.5680083504179489</v>
      </c>
      <c r="AW99">
        <v>0.18101827962091191</v>
      </c>
      <c r="AY99">
        <v>0.36</v>
      </c>
    </row>
    <row r="100" spans="1:51" x14ac:dyDescent="0.3">
      <c r="A100">
        <v>7</v>
      </c>
      <c r="B100" t="s">
        <v>135</v>
      </c>
      <c r="C100" t="s">
        <v>133</v>
      </c>
      <c r="D100" t="s">
        <v>134</v>
      </c>
      <c r="F100" s="7">
        <v>0</v>
      </c>
      <c r="G100" s="7">
        <v>1</v>
      </c>
      <c r="H100" s="3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3.0966383311781098</v>
      </c>
      <c r="Z100">
        <v>2.9241820486495271</v>
      </c>
      <c r="AA100">
        <v>2.9086808458669111</v>
      </c>
      <c r="AB100">
        <v>4.042659053200623</v>
      </c>
      <c r="AC100">
        <v>2.5695130997919482</v>
      </c>
      <c r="AD100">
        <v>2.5987070230068641</v>
      </c>
      <c r="AE100">
        <v>2.4777137700235472</v>
      </c>
      <c r="AF100">
        <v>2.4904669723589898</v>
      </c>
      <c r="AG100">
        <v>2.634550857415888</v>
      </c>
      <c r="AH100">
        <v>5.3051863394095564</v>
      </c>
      <c r="AI100">
        <v>5.0825940473936502</v>
      </c>
      <c r="AK100">
        <v>3.0966383311781098</v>
      </c>
      <c r="AL100">
        <v>0.76728968542302023</v>
      </c>
      <c r="AM100">
        <v>0.78006952099967752</v>
      </c>
      <c r="AN100">
        <v>4.042659053200623</v>
      </c>
      <c r="AO100">
        <v>0.6511934769892832</v>
      </c>
      <c r="AP100">
        <v>2.5987070230068641</v>
      </c>
      <c r="AQ100">
        <v>0.6551140828058124</v>
      </c>
      <c r="AR100">
        <v>1.302860139554832</v>
      </c>
      <c r="AS100">
        <v>0.39275347758084528</v>
      </c>
      <c r="AT100">
        <v>5.3051863394095564</v>
      </c>
      <c r="AU100">
        <v>2.8871464096009731</v>
      </c>
      <c r="AW100">
        <v>0.17557202599709851</v>
      </c>
      <c r="AY100">
        <v>-1.08</v>
      </c>
    </row>
    <row r="101" spans="1:51" x14ac:dyDescent="0.3">
      <c r="A101">
        <v>7</v>
      </c>
      <c r="B101" t="s">
        <v>136</v>
      </c>
      <c r="C101" t="s">
        <v>133</v>
      </c>
      <c r="D101" t="s">
        <v>134</v>
      </c>
      <c r="F101" s="7">
        <v>0</v>
      </c>
      <c r="G101" s="7">
        <v>1</v>
      </c>
      <c r="H101" s="3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0.942140128382016</v>
      </c>
      <c r="Z101">
        <v>0.96873816275037827</v>
      </c>
      <c r="AA101">
        <v>0.96404008441604672</v>
      </c>
      <c r="AB101">
        <v>0.7279127632034943</v>
      </c>
      <c r="AC101">
        <v>0.75121841580839832</v>
      </c>
      <c r="AD101">
        <v>0.81844929881626738</v>
      </c>
      <c r="AE101">
        <v>0.93374291898217054</v>
      </c>
      <c r="AF101">
        <v>1.23769776042318</v>
      </c>
      <c r="AG101">
        <v>1.444201843289193</v>
      </c>
      <c r="AH101">
        <v>2.5907337069977081</v>
      </c>
      <c r="AI101">
        <v>1.798706140811555</v>
      </c>
      <c r="AK101">
        <v>0.942140128382016</v>
      </c>
      <c r="AL101">
        <v>0.37276479097781701</v>
      </c>
      <c r="AM101">
        <v>0.3654043819755316</v>
      </c>
      <c r="AN101">
        <v>0.7279127632034943</v>
      </c>
      <c r="AO101">
        <v>0.28719337900984099</v>
      </c>
      <c r="AP101">
        <v>0.81844929881626738</v>
      </c>
      <c r="AQ101">
        <v>0.29010247058467942</v>
      </c>
      <c r="AR101">
        <v>0.67638766542077067</v>
      </c>
      <c r="AS101">
        <v>0.28611315260641279</v>
      </c>
      <c r="AT101">
        <v>2.5907337069977081</v>
      </c>
      <c r="AU101">
        <v>0.60445306401234122</v>
      </c>
      <c r="AW101">
        <v>0.1881551641854457</v>
      </c>
      <c r="AY101">
        <v>0.36</v>
      </c>
    </row>
    <row r="102" spans="1:51" x14ac:dyDescent="0.3">
      <c r="A102">
        <v>7</v>
      </c>
      <c r="B102" t="s">
        <v>137</v>
      </c>
      <c r="C102" t="s">
        <v>133</v>
      </c>
      <c r="D102" t="s">
        <v>134</v>
      </c>
      <c r="F102" s="7">
        <v>0</v>
      </c>
      <c r="G102" s="7">
        <v>0</v>
      </c>
      <c r="H102" s="3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0.92672142020892356</v>
      </c>
      <c r="Z102">
        <v>1.149562096619047</v>
      </c>
      <c r="AA102">
        <v>1.14140123159159</v>
      </c>
      <c r="AB102">
        <v>1.3697402837977279</v>
      </c>
      <c r="AC102">
        <v>1.146851884201169</v>
      </c>
      <c r="AD102">
        <v>1.2301440360024569</v>
      </c>
      <c r="AE102">
        <v>1.266233797790483</v>
      </c>
      <c r="AF102">
        <v>1.2442417055601249</v>
      </c>
      <c r="AG102">
        <v>1.4489389816764739</v>
      </c>
      <c r="AH102">
        <v>3.4568463972071179</v>
      </c>
      <c r="AI102">
        <v>2.3418989465455531</v>
      </c>
      <c r="AK102">
        <v>0.92672142020892356</v>
      </c>
      <c r="AL102">
        <v>0.37978944482747468</v>
      </c>
      <c r="AM102">
        <v>0.37754955498967319</v>
      </c>
      <c r="AN102">
        <v>1.3697402837977279</v>
      </c>
      <c r="AO102">
        <v>0.37552038720750708</v>
      </c>
      <c r="AP102">
        <v>1.2301440360024569</v>
      </c>
      <c r="AQ102">
        <v>0.36575251319445667</v>
      </c>
      <c r="AR102">
        <v>0.6843706729472615</v>
      </c>
      <c r="AS102">
        <v>0.28259133880492299</v>
      </c>
      <c r="AT102">
        <v>3.4568463972071179</v>
      </c>
      <c r="AU102">
        <v>0.80332957417704165</v>
      </c>
      <c r="AW102">
        <v>0.17685680761933331</v>
      </c>
      <c r="AY102">
        <v>0.36</v>
      </c>
    </row>
    <row r="103" spans="1:51" x14ac:dyDescent="0.3">
      <c r="A103">
        <v>7</v>
      </c>
      <c r="B103" t="s">
        <v>138</v>
      </c>
      <c r="C103" t="s">
        <v>133</v>
      </c>
      <c r="D103" t="s">
        <v>134</v>
      </c>
      <c r="F103" s="7">
        <v>0</v>
      </c>
      <c r="G103" s="7">
        <v>1</v>
      </c>
      <c r="H103" s="3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1.7252162946155289</v>
      </c>
      <c r="Z103">
        <v>1.628458380571101</v>
      </c>
      <c r="AA103">
        <v>1.6181270302622579</v>
      </c>
      <c r="AB103">
        <v>0.77700864520156754</v>
      </c>
      <c r="AC103">
        <v>1.3168651523970769</v>
      </c>
      <c r="AD103">
        <v>0.77062728360760957</v>
      </c>
      <c r="AE103">
        <v>1.2560910231899469</v>
      </c>
      <c r="AF103">
        <v>1.485383782966528</v>
      </c>
      <c r="AG103">
        <v>1.7245265567908059</v>
      </c>
      <c r="AH103">
        <v>2.0600078286021022</v>
      </c>
      <c r="AI103">
        <v>2.1418272007955239</v>
      </c>
      <c r="AK103">
        <v>1.7252162946155289</v>
      </c>
      <c r="AL103">
        <v>0.4954113811836578</v>
      </c>
      <c r="AM103">
        <v>0.48691316059557721</v>
      </c>
      <c r="AN103">
        <v>0.77700864520156754</v>
      </c>
      <c r="AO103">
        <v>0.41233022000233183</v>
      </c>
      <c r="AP103">
        <v>0.77062728360760957</v>
      </c>
      <c r="AQ103">
        <v>0.39493867778219283</v>
      </c>
      <c r="AR103">
        <v>0.83600528294919063</v>
      </c>
      <c r="AS103">
        <v>0.32743268202757458</v>
      </c>
      <c r="AT103">
        <v>2.0600078286021022</v>
      </c>
      <c r="AU103">
        <v>0.95197481521172445</v>
      </c>
      <c r="AW103">
        <v>0.1846896814065985</v>
      </c>
      <c r="AY103">
        <v>0.36</v>
      </c>
    </row>
    <row r="104" spans="1:51" x14ac:dyDescent="0.3">
      <c r="A104">
        <v>7</v>
      </c>
      <c r="B104" t="s">
        <v>139</v>
      </c>
      <c r="C104" t="s">
        <v>133</v>
      </c>
      <c r="D104" t="s">
        <v>134</v>
      </c>
      <c r="F104" s="7">
        <v>0</v>
      </c>
      <c r="G104" s="7">
        <v>0</v>
      </c>
      <c r="H104" s="3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0.78307646360481153</v>
      </c>
      <c r="Z104">
        <v>0.99973708580946552</v>
      </c>
      <c r="AA104">
        <v>0.99455336858518417</v>
      </c>
      <c r="AB104">
        <v>0.62934015200589788</v>
      </c>
      <c r="AC104">
        <v>0.90918459500244353</v>
      </c>
      <c r="AD104">
        <v>0.70917940719518813</v>
      </c>
      <c r="AE104">
        <v>0.92541367613011971</v>
      </c>
      <c r="AF104">
        <v>1.508532682841178</v>
      </c>
      <c r="AG104">
        <v>1.7440720390877691</v>
      </c>
      <c r="AH104">
        <v>2.312253216782119</v>
      </c>
      <c r="AI104">
        <v>1.6812223636196</v>
      </c>
      <c r="AK104">
        <v>0.78307646360481153</v>
      </c>
      <c r="AL104">
        <v>0.3199677826371044</v>
      </c>
      <c r="AM104">
        <v>0.31608920079888769</v>
      </c>
      <c r="AN104">
        <v>0.62934015200589788</v>
      </c>
      <c r="AO104">
        <v>0.31088233180053071</v>
      </c>
      <c r="AP104">
        <v>0.70917940719518813</v>
      </c>
      <c r="AQ104">
        <v>0.28652012337697669</v>
      </c>
      <c r="AR104">
        <v>0.84846410223981361</v>
      </c>
      <c r="AS104">
        <v>0.32649458163650708</v>
      </c>
      <c r="AT104">
        <v>2.312253216782119</v>
      </c>
      <c r="AU104">
        <v>0.60102779280859975</v>
      </c>
      <c r="AW104">
        <v>0.17589175940956919</v>
      </c>
      <c r="AY104">
        <v>0.36</v>
      </c>
    </row>
    <row r="105" spans="1:51" x14ac:dyDescent="0.3">
      <c r="A105">
        <v>7</v>
      </c>
      <c r="B105" t="s">
        <v>140</v>
      </c>
      <c r="C105" t="s">
        <v>133</v>
      </c>
      <c r="D105" t="s">
        <v>134</v>
      </c>
      <c r="F105" s="7">
        <v>0</v>
      </c>
      <c r="G105" s="7">
        <v>0</v>
      </c>
      <c r="H105" s="3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1.7577077843830919</v>
      </c>
      <c r="Z105">
        <v>1.243657541763969</v>
      </c>
      <c r="AA105">
        <v>1.232497334852815</v>
      </c>
      <c r="AB105">
        <v>0.45743890680023469</v>
      </c>
      <c r="AC105">
        <v>0.58592146299197334</v>
      </c>
      <c r="AD105">
        <v>0.962246723996941</v>
      </c>
      <c r="AE105">
        <v>1.02308847240638</v>
      </c>
      <c r="AF105">
        <v>1.353008343372494</v>
      </c>
      <c r="AG105">
        <v>1.512445784476586</v>
      </c>
      <c r="AH105">
        <v>0.2615301568061113</v>
      </c>
      <c r="AI105">
        <v>0.68646662140963599</v>
      </c>
      <c r="AK105">
        <v>1.7577077843830919</v>
      </c>
      <c r="AL105">
        <v>0.4189068833948113</v>
      </c>
      <c r="AM105">
        <v>0.41324888982344421</v>
      </c>
      <c r="AN105">
        <v>0.45743890680023469</v>
      </c>
      <c r="AO105">
        <v>0.24703793539665639</v>
      </c>
      <c r="AP105">
        <v>0.962246723996941</v>
      </c>
      <c r="AQ105">
        <v>0.31431632499443368</v>
      </c>
      <c r="AR105">
        <v>0.78105591817293318</v>
      </c>
      <c r="AS105">
        <v>0.3119218761916272</v>
      </c>
      <c r="AT105">
        <v>0.2615301568061113</v>
      </c>
      <c r="AU105">
        <v>0.40934710942674429</v>
      </c>
      <c r="AW105">
        <v>0.1844344952143728</v>
      </c>
      <c r="AY105">
        <v>-1.08</v>
      </c>
    </row>
    <row r="106" spans="1:51" x14ac:dyDescent="0.3">
      <c r="A106">
        <v>7</v>
      </c>
      <c r="B106" t="s">
        <v>141</v>
      </c>
      <c r="C106" t="s">
        <v>133</v>
      </c>
      <c r="D106" t="s">
        <v>134</v>
      </c>
      <c r="F106" s="7">
        <v>0</v>
      </c>
      <c r="G106" s="7">
        <v>1</v>
      </c>
      <c r="H106" s="3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2.7595131870126348</v>
      </c>
      <c r="Z106">
        <v>1.797630368033424</v>
      </c>
      <c r="AA106">
        <v>1.789517319842707</v>
      </c>
      <c r="AB106">
        <v>0.50421819040202531</v>
      </c>
      <c r="AC106">
        <v>0.74184850039891903</v>
      </c>
      <c r="AD106">
        <v>1.002329894597642</v>
      </c>
      <c r="AE106">
        <v>1.216937854792923</v>
      </c>
      <c r="AF106">
        <v>1.3330119782127441</v>
      </c>
      <c r="AG106">
        <v>1.500049814768136</v>
      </c>
      <c r="AH106">
        <v>1.2663927358109499</v>
      </c>
      <c r="AI106">
        <v>1.442988000554033</v>
      </c>
      <c r="AK106">
        <v>2.7595131870126348</v>
      </c>
      <c r="AL106">
        <v>0.54537768680602317</v>
      </c>
      <c r="AM106">
        <v>0.54195839921012523</v>
      </c>
      <c r="AN106">
        <v>0.50421819040202531</v>
      </c>
      <c r="AO106">
        <v>0.31076799880538603</v>
      </c>
      <c r="AP106">
        <v>1.002329894597642</v>
      </c>
      <c r="AQ106">
        <v>0.3483567565912381</v>
      </c>
      <c r="AR106">
        <v>0.76268229482229799</v>
      </c>
      <c r="AS106">
        <v>0.31263267380418253</v>
      </c>
      <c r="AT106">
        <v>1.2663927358109499</v>
      </c>
      <c r="AU106">
        <v>0.56390739980852234</v>
      </c>
      <c r="AW106">
        <v>0.1806267593987286</v>
      </c>
      <c r="AY106">
        <v>0.36</v>
      </c>
    </row>
    <row r="107" spans="1:51" x14ac:dyDescent="0.3">
      <c r="A107">
        <v>7</v>
      </c>
      <c r="B107" t="s">
        <v>142</v>
      </c>
      <c r="C107" t="s">
        <v>143</v>
      </c>
      <c r="D107" t="s">
        <v>144</v>
      </c>
      <c r="F107" s="7">
        <v>0</v>
      </c>
      <c r="G107" s="7">
        <v>0</v>
      </c>
      <c r="H107" s="3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2.190479582617991</v>
      </c>
      <c r="Z107">
        <v>2.331758733117022</v>
      </c>
      <c r="AA107">
        <v>2.3261495108366939</v>
      </c>
      <c r="AB107">
        <v>2.5475305345986272</v>
      </c>
      <c r="AC107">
        <v>1.88642774480104</v>
      </c>
      <c r="AD107">
        <v>1.569611146196257</v>
      </c>
      <c r="AE107">
        <v>2.1314306573825892</v>
      </c>
      <c r="AF107">
        <v>2.0396670167450792</v>
      </c>
      <c r="AG107">
        <v>2.187304240977392</v>
      </c>
      <c r="AH107">
        <v>3.77987868260825</v>
      </c>
      <c r="AI107">
        <v>4.1886990680010054</v>
      </c>
      <c r="AK107">
        <v>2.190479582617991</v>
      </c>
      <c r="AL107">
        <v>0.62888122019357984</v>
      </c>
      <c r="AM107">
        <v>0.62787467923481022</v>
      </c>
      <c r="AN107">
        <v>2.5475305345986272</v>
      </c>
      <c r="AO107">
        <v>0.50166303119913214</v>
      </c>
      <c r="AP107">
        <v>1.569611146196257</v>
      </c>
      <c r="AQ107">
        <v>0.61897388719953594</v>
      </c>
      <c r="AR107">
        <v>1.295615135168191</v>
      </c>
      <c r="AS107">
        <v>0.37067560441792008</v>
      </c>
      <c r="AT107">
        <v>3.77987868260825</v>
      </c>
      <c r="AU107">
        <v>2.2745311676058919</v>
      </c>
      <c r="AW107">
        <v>0.18063959759892889</v>
      </c>
      <c r="AY107">
        <v>-1.08</v>
      </c>
    </row>
    <row r="108" spans="1:51" x14ac:dyDescent="0.3">
      <c r="A108">
        <v>7</v>
      </c>
      <c r="B108" t="s">
        <v>145</v>
      </c>
      <c r="C108" t="s">
        <v>143</v>
      </c>
      <c r="D108" t="s">
        <v>144</v>
      </c>
      <c r="F108" s="7">
        <v>0</v>
      </c>
      <c r="G108" s="7">
        <v>1</v>
      </c>
      <c r="H108" s="3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1.9153765586088409</v>
      </c>
      <c r="Z108">
        <v>2.2358323748456308</v>
      </c>
      <c r="AA108">
        <v>2.2286929033813072</v>
      </c>
      <c r="AB108">
        <v>4.990220860604313</v>
      </c>
      <c r="AC108">
        <v>2.468115028814645</v>
      </c>
      <c r="AD108">
        <v>1.908746965590399</v>
      </c>
      <c r="AE108">
        <v>2.1678206088021401</v>
      </c>
      <c r="AF108">
        <v>2.050015760189853</v>
      </c>
      <c r="AG108">
        <v>2.1667330908356228</v>
      </c>
      <c r="AH108">
        <v>3.8043624685960822</v>
      </c>
      <c r="AI108">
        <v>3.2706260858220051</v>
      </c>
      <c r="AK108">
        <v>1.9153765586088409</v>
      </c>
      <c r="AL108">
        <v>0.5701440146076493</v>
      </c>
      <c r="AM108">
        <v>0.57631984802428637</v>
      </c>
      <c r="AN108">
        <v>4.990220860604313</v>
      </c>
      <c r="AO108">
        <v>0.75185351680265744</v>
      </c>
      <c r="AP108">
        <v>1.908746965590399</v>
      </c>
      <c r="AQ108">
        <v>0.51364417857257649</v>
      </c>
      <c r="AR108">
        <v>1.3068066815962081</v>
      </c>
      <c r="AS108">
        <v>0.362328533816617</v>
      </c>
      <c r="AT108">
        <v>3.8043624685960822</v>
      </c>
      <c r="AU108">
        <v>1.553241985011846</v>
      </c>
      <c r="AW108">
        <v>0.17519235000945621</v>
      </c>
      <c r="AY108">
        <v>0.36</v>
      </c>
    </row>
    <row r="109" spans="1:51" x14ac:dyDescent="0.3">
      <c r="A109">
        <v>7</v>
      </c>
      <c r="B109" t="s">
        <v>146</v>
      </c>
      <c r="C109" t="s">
        <v>143</v>
      </c>
      <c r="D109" t="s">
        <v>144</v>
      </c>
      <c r="F109" s="7">
        <v>0</v>
      </c>
      <c r="G109" s="7">
        <v>1</v>
      </c>
      <c r="H109" s="3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0.75270760840503503</v>
      </c>
      <c r="Z109">
        <v>1.134752772876527</v>
      </c>
      <c r="AA109">
        <v>1.130611220037099</v>
      </c>
      <c r="AB109">
        <v>0.70455677300051323</v>
      </c>
      <c r="AC109">
        <v>0.84741016940679403</v>
      </c>
      <c r="AD109">
        <v>0.93452630040701479</v>
      </c>
      <c r="AE109">
        <v>1.076493974565528</v>
      </c>
      <c r="AF109">
        <v>1.13511821560096</v>
      </c>
      <c r="AG109">
        <v>1.3080720105208461</v>
      </c>
      <c r="AH109">
        <v>3.622619425784797</v>
      </c>
      <c r="AI109">
        <v>2.2888453930150718</v>
      </c>
      <c r="AK109">
        <v>0.75270760840503503</v>
      </c>
      <c r="AL109">
        <v>0.37426482400624078</v>
      </c>
      <c r="AM109">
        <v>0.37200376220280312</v>
      </c>
      <c r="AN109">
        <v>0.70455677300051323</v>
      </c>
      <c r="AO109">
        <v>0.3005337295937352</v>
      </c>
      <c r="AP109">
        <v>0.93452630040701479</v>
      </c>
      <c r="AQ109">
        <v>0.31189370757201679</v>
      </c>
      <c r="AR109">
        <v>0.66313641479937357</v>
      </c>
      <c r="AS109">
        <v>0.29033403885550801</v>
      </c>
      <c r="AT109">
        <v>3.622619425784797</v>
      </c>
      <c r="AU109">
        <v>0.74713340779999271</v>
      </c>
      <c r="AW109">
        <v>0.1786952911992557</v>
      </c>
      <c r="AY109">
        <v>0.36</v>
      </c>
    </row>
    <row r="110" spans="1:51" x14ac:dyDescent="0.3">
      <c r="A110">
        <v>7</v>
      </c>
      <c r="B110" t="s">
        <v>147</v>
      </c>
      <c r="C110" t="s">
        <v>143</v>
      </c>
      <c r="D110" t="s">
        <v>144</v>
      </c>
      <c r="F110" s="7">
        <v>0</v>
      </c>
      <c r="G110" s="7">
        <v>0</v>
      </c>
      <c r="H110" s="3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0.42581403621006758</v>
      </c>
      <c r="Z110">
        <v>0.62291700219502677</v>
      </c>
      <c r="AA110">
        <v>0.59458336643874643</v>
      </c>
      <c r="AB110">
        <v>0.42653923240432051</v>
      </c>
      <c r="AC110">
        <v>0.6033260322001297</v>
      </c>
      <c r="AD110">
        <v>0.5743349999887869</v>
      </c>
      <c r="AE110">
        <v>0.78228025474818419</v>
      </c>
      <c r="AF110">
        <v>1.142054441617802</v>
      </c>
      <c r="AG110">
        <v>1.302341172995511</v>
      </c>
      <c r="AH110">
        <v>1.1458660766947961E-2</v>
      </c>
      <c r="AI110">
        <v>0.33384601661236962</v>
      </c>
      <c r="AK110">
        <v>0.42581403621006758</v>
      </c>
      <c r="AL110">
        <v>0.25613921923795713</v>
      </c>
      <c r="AM110">
        <v>0.24274445100454611</v>
      </c>
      <c r="AN110">
        <v>0.42653923240432051</v>
      </c>
      <c r="AO110">
        <v>0.24625673300179191</v>
      </c>
      <c r="AP110">
        <v>0.5743349999887869</v>
      </c>
      <c r="AQ110">
        <v>0.26137371119111769</v>
      </c>
      <c r="AR110">
        <v>0.67345440600765871</v>
      </c>
      <c r="AS110">
        <v>0.2876794275827706</v>
      </c>
      <c r="AT110">
        <v>1.1458660766947961E-2</v>
      </c>
      <c r="AU110">
        <v>0.26230507557047528</v>
      </c>
      <c r="AW110">
        <v>0.18679885361343621</v>
      </c>
      <c r="AY110">
        <v>0.36</v>
      </c>
    </row>
    <row r="111" spans="1:51" x14ac:dyDescent="0.3">
      <c r="A111">
        <v>7</v>
      </c>
      <c r="B111" t="s">
        <v>148</v>
      </c>
      <c r="C111" t="s">
        <v>143</v>
      </c>
      <c r="D111" t="s">
        <v>144</v>
      </c>
      <c r="F111" s="7">
        <v>0</v>
      </c>
      <c r="G111" s="7">
        <v>1</v>
      </c>
      <c r="H111" s="3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1.091333225986455</v>
      </c>
      <c r="Z111">
        <v>1.3146630179136991</v>
      </c>
      <c r="AA111">
        <v>1.30188192439964</v>
      </c>
      <c r="AB111">
        <v>0.82509589999681343</v>
      </c>
      <c r="AC111">
        <v>0.88250378459924828</v>
      </c>
      <c r="AD111">
        <v>1.0659492122125811</v>
      </c>
      <c r="AE111">
        <v>1.1690588422119621</v>
      </c>
      <c r="AF111">
        <v>1.321896675380412</v>
      </c>
      <c r="AG111">
        <v>1.521259815816302</v>
      </c>
      <c r="AH111">
        <v>2.6696710433927371</v>
      </c>
      <c r="AI111">
        <v>1.7702391209662891</v>
      </c>
      <c r="AK111">
        <v>1.091333225986455</v>
      </c>
      <c r="AL111">
        <v>0.47866857057670131</v>
      </c>
      <c r="AM111">
        <v>0.47672143541276463</v>
      </c>
      <c r="AN111">
        <v>0.82509589999681343</v>
      </c>
      <c r="AO111">
        <v>0.32369800239976032</v>
      </c>
      <c r="AP111">
        <v>1.0659492122125811</v>
      </c>
      <c r="AQ111">
        <v>0.35558756038080902</v>
      </c>
      <c r="AR111">
        <v>0.76763936298666524</v>
      </c>
      <c r="AS111">
        <v>0.31599546038778492</v>
      </c>
      <c r="AT111">
        <v>2.6696710433927371</v>
      </c>
      <c r="AU111">
        <v>0.77068946459330623</v>
      </c>
      <c r="AW111">
        <v>0.1843240961898118</v>
      </c>
      <c r="AY111">
        <v>0.36</v>
      </c>
    </row>
    <row r="112" spans="1:51" x14ac:dyDescent="0.3">
      <c r="A112">
        <v>7</v>
      </c>
      <c r="B112" t="s">
        <v>149</v>
      </c>
      <c r="C112" t="s">
        <v>143</v>
      </c>
      <c r="D112" t="s">
        <v>144</v>
      </c>
      <c r="F112" s="7">
        <v>0</v>
      </c>
      <c r="G112" s="7">
        <v>0</v>
      </c>
      <c r="H112" s="3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2.0796073657926168</v>
      </c>
      <c r="Z112">
        <v>1.8236603375524281</v>
      </c>
      <c r="AA112">
        <v>1.805252054403536</v>
      </c>
      <c r="AB112">
        <v>0.95052970240649304</v>
      </c>
      <c r="AC112">
        <v>1.057198248413624</v>
      </c>
      <c r="AD112">
        <v>1.063704423396848</v>
      </c>
      <c r="AE112">
        <v>1.1776802717824471</v>
      </c>
      <c r="AF112">
        <v>1.2984584072139109</v>
      </c>
      <c r="AG112">
        <v>1.490473822550848</v>
      </c>
      <c r="AH112">
        <v>2.713947548589204</v>
      </c>
      <c r="AI112">
        <v>2.1757328355568459</v>
      </c>
      <c r="AK112">
        <v>2.0796073657926168</v>
      </c>
      <c r="AL112">
        <v>0.50910793258808551</v>
      </c>
      <c r="AM112">
        <v>0.50474108337657531</v>
      </c>
      <c r="AN112">
        <v>0.95052970240649304</v>
      </c>
      <c r="AO112">
        <v>0.42002540960384072</v>
      </c>
      <c r="AP112">
        <v>1.063704423396848</v>
      </c>
      <c r="AQ112">
        <v>0.3467360085924156</v>
      </c>
      <c r="AR112">
        <v>0.7609435520251282</v>
      </c>
      <c r="AS112">
        <v>0.30422113201348111</v>
      </c>
      <c r="AT112">
        <v>2.713947548589204</v>
      </c>
      <c r="AU112">
        <v>0.67389199518365783</v>
      </c>
      <c r="AW112">
        <v>0.17817372439894821</v>
      </c>
      <c r="AY112">
        <v>0.36</v>
      </c>
    </row>
    <row r="113" spans="1:51" x14ac:dyDescent="0.3">
      <c r="A113">
        <v>7</v>
      </c>
      <c r="B113" t="s">
        <v>150</v>
      </c>
      <c r="C113" t="s">
        <v>143</v>
      </c>
      <c r="D113" t="s">
        <v>144</v>
      </c>
      <c r="F113" s="7">
        <v>0</v>
      </c>
      <c r="G113" s="7">
        <v>0</v>
      </c>
      <c r="H113" s="3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0.67784988938365132</v>
      </c>
      <c r="Z113">
        <v>1.5924560694140379</v>
      </c>
      <c r="AA113">
        <v>1.588945183961187</v>
      </c>
      <c r="AB113">
        <v>0.40093346979701888</v>
      </c>
      <c r="AC113">
        <v>0.91577370940649416</v>
      </c>
      <c r="AD113">
        <v>0.94898202439071611</v>
      </c>
      <c r="AE113">
        <v>1.345141641364898</v>
      </c>
      <c r="AF113">
        <v>1.473995661444496</v>
      </c>
      <c r="AG113">
        <v>1.5703291649348099</v>
      </c>
      <c r="AH113">
        <v>0.46470917279366403</v>
      </c>
      <c r="AI113">
        <v>1.174422464589588</v>
      </c>
      <c r="AK113">
        <v>0.67784988938365132</v>
      </c>
      <c r="AL113">
        <v>0.59541430440731347</v>
      </c>
      <c r="AM113">
        <v>0.58972636477556084</v>
      </c>
      <c r="AN113">
        <v>0.40093346979701888</v>
      </c>
      <c r="AO113">
        <v>0.40497644320712423</v>
      </c>
      <c r="AP113">
        <v>0.94898202439071611</v>
      </c>
      <c r="AQ113">
        <v>0.40817883596755572</v>
      </c>
      <c r="AR113">
        <v>1.03732711984776</v>
      </c>
      <c r="AS113">
        <v>0.3279216604074463</v>
      </c>
      <c r="AT113">
        <v>0.46470917279366403</v>
      </c>
      <c r="AU113">
        <v>0.51759064820362255</v>
      </c>
      <c r="AW113">
        <v>0.17571504341904071</v>
      </c>
      <c r="AY113">
        <v>0.36</v>
      </c>
    </row>
    <row r="114" spans="1:51" x14ac:dyDescent="0.3">
      <c r="A114">
        <v>7</v>
      </c>
      <c r="B114" t="s">
        <v>151</v>
      </c>
      <c r="C114" t="s">
        <v>143</v>
      </c>
      <c r="D114" t="s">
        <v>144</v>
      </c>
      <c r="F114" s="7">
        <v>0</v>
      </c>
      <c r="G114" s="7">
        <v>1</v>
      </c>
      <c r="H114" s="3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56.868704253004402</v>
      </c>
      <c r="Z114">
        <v>32.140307315846442</v>
      </c>
      <c r="AA114">
        <v>31.923874383827201</v>
      </c>
      <c r="AB114">
        <v>74.047229079200775</v>
      </c>
      <c r="AC114">
        <v>19.152167935806212</v>
      </c>
      <c r="AD114">
        <v>50.348526494798719</v>
      </c>
      <c r="AE114">
        <v>20.29887692582561</v>
      </c>
      <c r="AF114">
        <v>1.453290613181889</v>
      </c>
      <c r="AG114">
        <v>1.5424644818762321</v>
      </c>
      <c r="AH114">
        <v>12.404020391404631</v>
      </c>
      <c r="AI114">
        <v>28.434211987222081</v>
      </c>
      <c r="AK114">
        <v>56.868704253004402</v>
      </c>
      <c r="AL114">
        <v>27.570082189422099</v>
      </c>
      <c r="AM114">
        <v>27.37905159142101</v>
      </c>
      <c r="AN114">
        <v>74.047229079200775</v>
      </c>
      <c r="AO114">
        <v>15.44236719000328</v>
      </c>
      <c r="AP114">
        <v>50.348526494798719</v>
      </c>
      <c r="AQ114">
        <v>16.80540367139038</v>
      </c>
      <c r="AR114">
        <v>1.032426863990259</v>
      </c>
      <c r="AS114">
        <v>0.32558261243393638</v>
      </c>
      <c r="AT114">
        <v>12.404020391404631</v>
      </c>
      <c r="AU114">
        <v>26.442089499603021</v>
      </c>
      <c r="AW114">
        <v>0.17721782680600881</v>
      </c>
      <c r="AY114">
        <v>-1.08</v>
      </c>
    </row>
    <row r="115" spans="1:51" x14ac:dyDescent="0.3">
      <c r="A115">
        <v>8</v>
      </c>
      <c r="B115" t="s">
        <v>152</v>
      </c>
      <c r="C115" t="s">
        <v>153</v>
      </c>
      <c r="D115" t="s">
        <v>154</v>
      </c>
      <c r="F115" s="7">
        <v>0</v>
      </c>
      <c r="G115" s="7">
        <v>0</v>
      </c>
      <c r="H115" s="3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1.8124786332016809</v>
      </c>
      <c r="Z115">
        <v>1.592855401081033</v>
      </c>
      <c r="AA115">
        <v>1.591197249433026</v>
      </c>
      <c r="AB115">
        <v>3.513906522199977</v>
      </c>
      <c r="AC115">
        <v>1.5319410245981999</v>
      </c>
      <c r="AD115">
        <v>2.5756617771927268</v>
      </c>
      <c r="AE115">
        <v>1.64828476102557</v>
      </c>
      <c r="AF115">
        <v>0.91289934678934515</v>
      </c>
      <c r="AG115">
        <v>1.623604245833121</v>
      </c>
      <c r="AH115">
        <v>3.5862723144004121</v>
      </c>
      <c r="AI115">
        <v>2.792077520326711</v>
      </c>
      <c r="AK115">
        <v>1.8124786332016809</v>
      </c>
      <c r="AL115">
        <v>0.59565829744096843</v>
      </c>
      <c r="AM115">
        <v>0.59857618442038074</v>
      </c>
      <c r="AN115">
        <v>3.513906522199977</v>
      </c>
      <c r="AO115">
        <v>0.67560674120904873</v>
      </c>
      <c r="AP115">
        <v>2.5756617771927268</v>
      </c>
      <c r="AQ115">
        <v>0.62940876700449733</v>
      </c>
      <c r="AR115">
        <v>0.47749433399876579</v>
      </c>
      <c r="AS115">
        <v>0.39916808339767151</v>
      </c>
      <c r="AT115">
        <v>3.5862723144004121</v>
      </c>
      <c r="AU115">
        <v>1.376974474592134</v>
      </c>
      <c r="AW115">
        <v>0.26388205641414958</v>
      </c>
      <c r="AY115">
        <v>-2.33902312980474E-2</v>
      </c>
    </row>
    <row r="116" spans="1:51" x14ac:dyDescent="0.3">
      <c r="A116">
        <v>8</v>
      </c>
      <c r="B116" t="s">
        <v>155</v>
      </c>
      <c r="C116" t="s">
        <v>153</v>
      </c>
      <c r="D116" t="s">
        <v>154</v>
      </c>
      <c r="F116" s="7">
        <v>0</v>
      </c>
      <c r="G116" s="7">
        <v>1</v>
      </c>
      <c r="H116" s="3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0.7528486756025814</v>
      </c>
      <c r="Z116">
        <v>1.048433487198781</v>
      </c>
      <c r="AA116">
        <v>1.051905806851573</v>
      </c>
      <c r="AB116">
        <v>1.233788571998593</v>
      </c>
      <c r="AC116">
        <v>1.003935828414978</v>
      </c>
      <c r="AD116">
        <v>1.848812915000599</v>
      </c>
      <c r="AE116">
        <v>1.706735315616243</v>
      </c>
      <c r="AF116">
        <v>0.63212504842085759</v>
      </c>
      <c r="AG116">
        <v>1.101093365438282</v>
      </c>
      <c r="AH116">
        <v>2.7774756066035482</v>
      </c>
      <c r="AI116">
        <v>1.723205752810463</v>
      </c>
      <c r="AK116">
        <v>0.7528486756025814</v>
      </c>
      <c r="AL116">
        <v>0.44579305900260813</v>
      </c>
      <c r="AM116">
        <v>0.44558440081309519</v>
      </c>
      <c r="AN116">
        <v>1.233788571998593</v>
      </c>
      <c r="AO116">
        <v>0.43494666000187859</v>
      </c>
      <c r="AP116">
        <v>1.848812915000599</v>
      </c>
      <c r="AQ116">
        <v>0.58937583381775771</v>
      </c>
      <c r="AR116">
        <v>0.36351092159748077</v>
      </c>
      <c r="AS116">
        <v>0.33781668676529081</v>
      </c>
      <c r="AT116">
        <v>2.7774756066035482</v>
      </c>
      <c r="AU116">
        <v>0.69904468019958588</v>
      </c>
      <c r="AW116">
        <v>0.262225291179493</v>
      </c>
      <c r="AY116">
        <v>-0.21524228436787229</v>
      </c>
    </row>
    <row r="117" spans="1:51" x14ac:dyDescent="0.3">
      <c r="A117">
        <v>8</v>
      </c>
      <c r="B117" t="s">
        <v>156</v>
      </c>
      <c r="C117" t="s">
        <v>153</v>
      </c>
      <c r="D117" t="s">
        <v>154</v>
      </c>
      <c r="F117" s="7">
        <v>0</v>
      </c>
      <c r="G117" s="7">
        <v>1</v>
      </c>
      <c r="H117" s="3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0.57454793798970061</v>
      </c>
      <c r="Z117">
        <v>0.87766942840535189</v>
      </c>
      <c r="AA117">
        <v>0.87683160165324803</v>
      </c>
      <c r="AB117">
        <v>0.43068612879724238</v>
      </c>
      <c r="AC117">
        <v>0.73865523340646178</v>
      </c>
      <c r="AD117">
        <v>1.1894188890117221</v>
      </c>
      <c r="AE117">
        <v>1.294550955179147</v>
      </c>
      <c r="AF117">
        <v>0.91809602277353408</v>
      </c>
      <c r="AG117">
        <v>1.605081737088039</v>
      </c>
      <c r="AH117">
        <v>0.36430953739909461</v>
      </c>
      <c r="AI117">
        <v>1.0080805841949769</v>
      </c>
      <c r="AK117">
        <v>0.57454793798970061</v>
      </c>
      <c r="AL117">
        <v>0.38496668579755339</v>
      </c>
      <c r="AM117">
        <v>0.38406044339062639</v>
      </c>
      <c r="AN117">
        <v>0.43068612879724238</v>
      </c>
      <c r="AO117">
        <v>0.35667604860209401</v>
      </c>
      <c r="AP117">
        <v>1.1894188890117221</v>
      </c>
      <c r="AQ117">
        <v>0.47836980799911538</v>
      </c>
      <c r="AR117">
        <v>0.47225327417254448</v>
      </c>
      <c r="AS117">
        <v>0.38962682139826937</v>
      </c>
      <c r="AT117">
        <v>0.36430953739909461</v>
      </c>
      <c r="AU117">
        <v>0.54625893898773936</v>
      </c>
      <c r="AW117">
        <v>0.2658932766062207</v>
      </c>
      <c r="AY117">
        <v>0.33142970872627198</v>
      </c>
    </row>
    <row r="118" spans="1:51" x14ac:dyDescent="0.3">
      <c r="A118">
        <v>8</v>
      </c>
      <c r="B118" t="s">
        <v>157</v>
      </c>
      <c r="C118" t="s">
        <v>153</v>
      </c>
      <c r="D118" t="s">
        <v>154</v>
      </c>
      <c r="F118" s="7">
        <v>0</v>
      </c>
      <c r="G118" s="7">
        <v>0</v>
      </c>
      <c r="H118" s="3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0.48066913441289222</v>
      </c>
      <c r="Z118">
        <v>0.7718384443433024</v>
      </c>
      <c r="AA118">
        <v>0.7699630900053307</v>
      </c>
      <c r="AB118">
        <v>0.39317113959987182</v>
      </c>
      <c r="AC118">
        <v>0.65621746959513982</v>
      </c>
      <c r="AD118">
        <v>0.94011089619016275</v>
      </c>
      <c r="AE118">
        <v>1.1496568956295961</v>
      </c>
      <c r="AF118">
        <v>0.63238444199087096</v>
      </c>
      <c r="AG118">
        <v>1.1127095432020719</v>
      </c>
      <c r="AH118">
        <v>2.2864696988835882E-2</v>
      </c>
      <c r="AI118">
        <v>0.39513967124512422</v>
      </c>
      <c r="AK118">
        <v>0.48066913441289222</v>
      </c>
      <c r="AL118">
        <v>0.36301340357167639</v>
      </c>
      <c r="AM118">
        <v>0.36135609360644588</v>
      </c>
      <c r="AN118">
        <v>0.39317113959987182</v>
      </c>
      <c r="AO118">
        <v>0.32019918959413191</v>
      </c>
      <c r="AP118">
        <v>0.94011089619016275</v>
      </c>
      <c r="AQ118">
        <v>0.43183379402616989</v>
      </c>
      <c r="AR118">
        <v>0.35887068358715618</v>
      </c>
      <c r="AS118">
        <v>0.33661626917310061</v>
      </c>
      <c r="AT118">
        <v>2.2864696988835882E-2</v>
      </c>
      <c r="AU118">
        <v>0.31046365258516739</v>
      </c>
      <c r="AW118">
        <v>0.26255692859413099</v>
      </c>
      <c r="AY118">
        <v>-9.2797193060352196E-2</v>
      </c>
    </row>
    <row r="119" spans="1:51" x14ac:dyDescent="0.3">
      <c r="A119">
        <v>8</v>
      </c>
      <c r="B119" t="s">
        <v>158</v>
      </c>
      <c r="C119" t="s">
        <v>153</v>
      </c>
      <c r="D119" t="s">
        <v>154</v>
      </c>
      <c r="F119" s="7">
        <v>0</v>
      </c>
      <c r="G119" s="7">
        <v>1</v>
      </c>
      <c r="H119" s="3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0.84946836740709841</v>
      </c>
      <c r="Z119">
        <v>0.96766605619341139</v>
      </c>
      <c r="AA119">
        <v>0.97352386488346387</v>
      </c>
      <c r="AB119">
        <v>1.4280591895978429</v>
      </c>
      <c r="AC119">
        <v>0.85595065699599215</v>
      </c>
      <c r="AD119">
        <v>1.9714023178094069</v>
      </c>
      <c r="AE119">
        <v>1.5125650009606031</v>
      </c>
      <c r="AF119">
        <v>0.96508944340748715</v>
      </c>
      <c r="AG119">
        <v>1.125830796826631</v>
      </c>
      <c r="AH119">
        <v>2.9631616751896219</v>
      </c>
      <c r="AI119">
        <v>1.371061932004523</v>
      </c>
      <c r="AK119">
        <v>0.84946836740709841</v>
      </c>
      <c r="AL119">
        <v>0.42488163578091193</v>
      </c>
      <c r="AM119">
        <v>0.42738871081965052</v>
      </c>
      <c r="AN119">
        <v>1.4280591895978429</v>
      </c>
      <c r="AO119">
        <v>0.40462327638815621</v>
      </c>
      <c r="AP119">
        <v>1.9714023178094069</v>
      </c>
      <c r="AQ119">
        <v>0.53139147137990217</v>
      </c>
      <c r="AR119">
        <v>0.69649384500226008</v>
      </c>
      <c r="AS119">
        <v>0.33843533945037052</v>
      </c>
      <c r="AT119">
        <v>2.9631616751896219</v>
      </c>
      <c r="AU119">
        <v>0.67698473978089169</v>
      </c>
      <c r="AW119">
        <v>0.25380052059190339</v>
      </c>
      <c r="AY119">
        <v>-9.2797193060352196E-2</v>
      </c>
    </row>
    <row r="120" spans="1:51" x14ac:dyDescent="0.3">
      <c r="A120">
        <v>8</v>
      </c>
      <c r="B120" t="s">
        <v>159</v>
      </c>
      <c r="C120" t="s">
        <v>153</v>
      </c>
      <c r="D120" t="s">
        <v>154</v>
      </c>
      <c r="F120" s="7">
        <v>0</v>
      </c>
      <c r="G120" s="7">
        <v>0</v>
      </c>
      <c r="H120" s="3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0.42244519339874392</v>
      </c>
      <c r="Z120">
        <v>0.74579317560419445</v>
      </c>
      <c r="AA120">
        <v>0.74932646879460663</v>
      </c>
      <c r="AB120">
        <v>0.35701453839719749</v>
      </c>
      <c r="AC120">
        <v>0.60030385680729526</v>
      </c>
      <c r="AD120">
        <v>1.047523613809608</v>
      </c>
      <c r="AE120">
        <v>1.2970435054623519</v>
      </c>
      <c r="AF120">
        <v>1.7364666591747659</v>
      </c>
      <c r="AG120">
        <v>0.94547673970228063</v>
      </c>
      <c r="AH120">
        <v>5.8654970023780603E-3</v>
      </c>
      <c r="AI120">
        <v>0.28618654344463718</v>
      </c>
      <c r="AK120">
        <v>0.42244519339874392</v>
      </c>
      <c r="AL120">
        <v>0.35834712738869712</v>
      </c>
      <c r="AM120">
        <v>0.36668846542015671</v>
      </c>
      <c r="AN120">
        <v>0.35701453839719749</v>
      </c>
      <c r="AO120">
        <v>0.31102572400704948</v>
      </c>
      <c r="AP120">
        <v>1.047523613809608</v>
      </c>
      <c r="AQ120">
        <v>0.46251186522422361</v>
      </c>
      <c r="AR120">
        <v>1.234500595775899</v>
      </c>
      <c r="AS120">
        <v>0.35064814160577951</v>
      </c>
      <c r="AT120">
        <v>5.8654970023780603E-3</v>
      </c>
      <c r="AU120">
        <v>0.26990323840873309</v>
      </c>
      <c r="AW120">
        <v>0.2530883099883795</v>
      </c>
      <c r="AY120">
        <v>0.33142970872627198</v>
      </c>
    </row>
    <row r="121" spans="1:51" x14ac:dyDescent="0.3">
      <c r="A121">
        <v>8</v>
      </c>
      <c r="B121" t="s">
        <v>160</v>
      </c>
      <c r="C121" t="s">
        <v>153</v>
      </c>
      <c r="D121" t="s">
        <v>154</v>
      </c>
      <c r="F121" s="7">
        <v>0</v>
      </c>
      <c r="G121" s="7">
        <v>0</v>
      </c>
      <c r="H121" s="3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0.46933531218674029</v>
      </c>
      <c r="Z121">
        <v>0.85512826369376849</v>
      </c>
      <c r="AA121">
        <v>0.86251423960784446</v>
      </c>
      <c r="AB121">
        <v>0.36865417160443031</v>
      </c>
      <c r="AC121">
        <v>0.68380498061014805</v>
      </c>
      <c r="AD121">
        <v>0.91212387221166868</v>
      </c>
      <c r="AE121">
        <v>1.280752394744195</v>
      </c>
      <c r="AF121">
        <v>0.96028344662627207</v>
      </c>
      <c r="AG121">
        <v>1.1187810171977619</v>
      </c>
      <c r="AH121">
        <v>1.5217990800738299E-2</v>
      </c>
      <c r="AI121">
        <v>0.5164633516222239</v>
      </c>
      <c r="AK121">
        <v>0.46933531218674029</v>
      </c>
      <c r="AL121">
        <v>0.39881995542673387</v>
      </c>
      <c r="AM121">
        <v>0.41025587562471633</v>
      </c>
      <c r="AN121">
        <v>0.36865417160443031</v>
      </c>
      <c r="AO121">
        <v>0.33436731141118792</v>
      </c>
      <c r="AP121">
        <v>0.91212387221166868</v>
      </c>
      <c r="AQ121">
        <v>0.47701799680944529</v>
      </c>
      <c r="AR121">
        <v>0.68771780100651081</v>
      </c>
      <c r="AS121">
        <v>0.33099222839809961</v>
      </c>
      <c r="AT121">
        <v>1.5217990800738299E-2</v>
      </c>
      <c r="AU121">
        <v>0.34926644378574567</v>
      </c>
      <c r="AW121">
        <v>0.25348003221442922</v>
      </c>
      <c r="AY121">
        <v>-0.21524228436787229</v>
      </c>
    </row>
    <row r="122" spans="1:51" x14ac:dyDescent="0.3">
      <c r="A122">
        <v>8</v>
      </c>
      <c r="B122" t="s">
        <v>161</v>
      </c>
      <c r="C122" t="s">
        <v>153</v>
      </c>
      <c r="D122" t="s">
        <v>154</v>
      </c>
      <c r="F122" s="7">
        <v>0</v>
      </c>
      <c r="G122" s="7">
        <v>1</v>
      </c>
      <c r="H122" s="3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10.697249945998189</v>
      </c>
      <c r="Z122">
        <v>6.5055570863885803</v>
      </c>
      <c r="AA122">
        <v>6.4936977387988009</v>
      </c>
      <c r="AB122">
        <v>13.60986551899987</v>
      </c>
      <c r="AC122">
        <v>4.7168579929944823</v>
      </c>
      <c r="AD122">
        <v>12.55418971601175</v>
      </c>
      <c r="AE122">
        <v>5.6964172535692343</v>
      </c>
      <c r="AF122">
        <v>1.729473426204641</v>
      </c>
      <c r="AG122">
        <v>0.9509634365327656</v>
      </c>
      <c r="AH122">
        <v>4.9378562901867564</v>
      </c>
      <c r="AI122">
        <v>8.6518662253976792</v>
      </c>
      <c r="AK122">
        <v>10.697249945998189</v>
      </c>
      <c r="AL122">
        <v>5.113197350199334</v>
      </c>
      <c r="AM122">
        <v>5.0949077019933613</v>
      </c>
      <c r="AN122">
        <v>13.60986551899987</v>
      </c>
      <c r="AO122">
        <v>3.3091114638024011</v>
      </c>
      <c r="AP122">
        <v>12.55418971601175</v>
      </c>
      <c r="AQ122">
        <v>3.6846974163665438</v>
      </c>
      <c r="AR122">
        <v>1.224794344604015</v>
      </c>
      <c r="AS122">
        <v>0.35591997518204149</v>
      </c>
      <c r="AT122">
        <v>4.9378562901867564</v>
      </c>
      <c r="AU122">
        <v>7.5460103013785558</v>
      </c>
      <c r="AW122">
        <v>0.25228107341099532</v>
      </c>
      <c r="AY122">
        <v>-2.33902312980474E-2</v>
      </c>
    </row>
    <row r="123" spans="1:51" x14ac:dyDescent="0.3">
      <c r="A123">
        <v>9</v>
      </c>
      <c r="B123" t="s">
        <v>162</v>
      </c>
      <c r="C123" t="s">
        <v>163</v>
      </c>
      <c r="D123" t="s">
        <v>164</v>
      </c>
      <c r="F123" s="7">
        <v>0</v>
      </c>
      <c r="G123" s="7">
        <v>0</v>
      </c>
      <c r="H123" s="3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1.5156855843961241</v>
      </c>
      <c r="Z123">
        <v>1.600366158341058</v>
      </c>
      <c r="AA123">
        <v>1.575006106437649</v>
      </c>
      <c r="AB123">
        <v>2.6393860615964519</v>
      </c>
      <c r="AC123">
        <v>1.427711682009976</v>
      </c>
      <c r="AD123">
        <v>1.524436681007501</v>
      </c>
      <c r="AE123">
        <v>1.7036747884238139</v>
      </c>
      <c r="AF123">
        <v>1.979510279244278</v>
      </c>
      <c r="AG123">
        <v>2.3293170259217728</v>
      </c>
      <c r="AH123">
        <v>3.514349311392289</v>
      </c>
      <c r="AI123">
        <v>3.453815981454682</v>
      </c>
      <c r="AK123">
        <v>1.5156855843961241</v>
      </c>
      <c r="AL123">
        <v>0.61753709678305313</v>
      </c>
      <c r="AM123">
        <v>0.60552871582331136</v>
      </c>
      <c r="AN123">
        <v>2.6393860615964519</v>
      </c>
      <c r="AO123">
        <v>0.55545566259825141</v>
      </c>
      <c r="AP123">
        <v>1.524436681007501</v>
      </c>
      <c r="AQ123">
        <v>0.61478049561847004</v>
      </c>
      <c r="AR123">
        <v>1.1421562756411729</v>
      </c>
      <c r="AS123">
        <v>0.49944233762798829</v>
      </c>
      <c r="AT123">
        <v>3.514349311392289</v>
      </c>
      <c r="AU123">
        <v>1.74932875399245</v>
      </c>
      <c r="AW123">
        <v>0.33765772080514578</v>
      </c>
      <c r="AY123">
        <v>0.24595199999999989</v>
      </c>
    </row>
    <row r="124" spans="1:51" x14ac:dyDescent="0.3">
      <c r="A124">
        <v>9</v>
      </c>
      <c r="B124" t="s">
        <v>165</v>
      </c>
      <c r="C124" t="s">
        <v>163</v>
      </c>
      <c r="D124" t="s">
        <v>164</v>
      </c>
      <c r="F124" s="7">
        <v>0</v>
      </c>
      <c r="G124" s="7">
        <v>1</v>
      </c>
      <c r="H124" s="3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1.2673618600005281</v>
      </c>
      <c r="Z124">
        <v>1.918086063000374</v>
      </c>
      <c r="AA124">
        <v>1.8849944364163089</v>
      </c>
      <c r="AB124">
        <v>1.4077565506013341</v>
      </c>
      <c r="AC124">
        <v>1.9346412421989949</v>
      </c>
      <c r="AD124">
        <v>2.711453838821035</v>
      </c>
      <c r="AE124">
        <v>2.2556251749047078</v>
      </c>
      <c r="AF124">
        <v>2.1833231962285931</v>
      </c>
      <c r="AG124">
        <v>2.5596038840943951</v>
      </c>
      <c r="AH124">
        <v>2.0316511426004582</v>
      </c>
      <c r="AI124">
        <v>3.508294186391868</v>
      </c>
      <c r="AK124">
        <v>1.2673618600005281</v>
      </c>
      <c r="AL124">
        <v>0.69104139840928835</v>
      </c>
      <c r="AM124">
        <v>0.66691840199055152</v>
      </c>
      <c r="AN124">
        <v>1.4077565506013341</v>
      </c>
      <c r="AO124">
        <v>0.68805874999088701</v>
      </c>
      <c r="AP124">
        <v>2.711453838821035</v>
      </c>
      <c r="AQ124">
        <v>0.73389681419357655</v>
      </c>
      <c r="AR124">
        <v>1.281828422634862</v>
      </c>
      <c r="AS124">
        <v>0.53464587480993941</v>
      </c>
      <c r="AT124">
        <v>2.0316511426004582</v>
      </c>
      <c r="AU124">
        <v>1.9154898293898439</v>
      </c>
      <c r="AW124">
        <v>0.35655363841215149</v>
      </c>
      <c r="AY124">
        <v>-9.6191999999999903E-2</v>
      </c>
    </row>
    <row r="125" spans="1:51" x14ac:dyDescent="0.3">
      <c r="A125">
        <v>9</v>
      </c>
      <c r="B125" t="s">
        <v>166</v>
      </c>
      <c r="C125" t="s">
        <v>163</v>
      </c>
      <c r="D125" t="s">
        <v>164</v>
      </c>
      <c r="F125" s="7">
        <v>0</v>
      </c>
      <c r="G125" s="7">
        <v>1</v>
      </c>
      <c r="H125" s="3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1.4970767397899181</v>
      </c>
      <c r="Z125">
        <v>1.888786108535714</v>
      </c>
      <c r="AA125">
        <v>1.8830088680027981</v>
      </c>
      <c r="AB125">
        <v>2.466890116003924</v>
      </c>
      <c r="AC125">
        <v>1.9990997642016739</v>
      </c>
      <c r="AD125">
        <v>2.3395281124045142</v>
      </c>
      <c r="AE125">
        <v>2.0821537017240188</v>
      </c>
      <c r="AF125">
        <v>1.9811944569810289</v>
      </c>
      <c r="AG125">
        <v>2.3897344250814059</v>
      </c>
      <c r="AH125">
        <v>3.7317060718080031</v>
      </c>
      <c r="AI125">
        <v>3.7902190126478672</v>
      </c>
      <c r="AK125">
        <v>1.4970767397899181</v>
      </c>
      <c r="AL125">
        <v>0.70381605098955335</v>
      </c>
      <c r="AM125">
        <v>0.70529574741376566</v>
      </c>
      <c r="AN125">
        <v>2.466890116003924</v>
      </c>
      <c r="AO125">
        <v>0.74567858359951056</v>
      </c>
      <c r="AP125">
        <v>2.3395281124045142</v>
      </c>
      <c r="AQ125">
        <v>0.75738498377613728</v>
      </c>
      <c r="AR125">
        <v>1.1402737143798729</v>
      </c>
      <c r="AS125">
        <v>0.52590124978451058</v>
      </c>
      <c r="AT125">
        <v>3.7317060718080031</v>
      </c>
      <c r="AU125">
        <v>2.0798174968454992</v>
      </c>
      <c r="AW125">
        <v>0.33731430299812931</v>
      </c>
      <c r="AY125">
        <v>0.18604799999999991</v>
      </c>
    </row>
    <row r="126" spans="1:51" x14ac:dyDescent="0.3">
      <c r="A126">
        <v>9</v>
      </c>
      <c r="B126" t="s">
        <v>167</v>
      </c>
      <c r="C126" t="s">
        <v>163</v>
      </c>
      <c r="D126" t="s">
        <v>164</v>
      </c>
      <c r="F126" s="7">
        <v>0</v>
      </c>
      <c r="G126" s="7">
        <v>0</v>
      </c>
      <c r="H126" s="3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1.2355662187910641</v>
      </c>
      <c r="Z126">
        <v>1.676560263917781</v>
      </c>
      <c r="AA126">
        <v>1.6788511220831419</v>
      </c>
      <c r="AB126">
        <v>2.3492381440009922</v>
      </c>
      <c r="AC126">
        <v>1.7106420620111751</v>
      </c>
      <c r="AD126">
        <v>1.589443780004512</v>
      </c>
      <c r="AE126">
        <v>1.994194894027896</v>
      </c>
      <c r="AF126">
        <v>2.184872085426468</v>
      </c>
      <c r="AG126">
        <v>2.5435999070759858</v>
      </c>
      <c r="AH126">
        <v>3.2951639967970552</v>
      </c>
      <c r="AI126">
        <v>3.2976084525813349</v>
      </c>
      <c r="AK126">
        <v>1.2355662187910641</v>
      </c>
      <c r="AL126">
        <v>0.60159832558128978</v>
      </c>
      <c r="AM126">
        <v>0.59791042060824107</v>
      </c>
      <c r="AN126">
        <v>2.3492381440009922</v>
      </c>
      <c r="AO126">
        <v>0.58519390160217877</v>
      </c>
      <c r="AP126">
        <v>1.589443780004512</v>
      </c>
      <c r="AQ126">
        <v>0.64962423599790786</v>
      </c>
      <c r="AR126">
        <v>1.2829748470219779</v>
      </c>
      <c r="AS126">
        <v>0.5332214410998859</v>
      </c>
      <c r="AT126">
        <v>3.2951639967970552</v>
      </c>
      <c r="AU126">
        <v>1.670919296809007</v>
      </c>
      <c r="AW126">
        <v>0.33762987080262968</v>
      </c>
      <c r="AY126">
        <v>-0.335808</v>
      </c>
    </row>
    <row r="127" spans="1:51" x14ac:dyDescent="0.3">
      <c r="A127">
        <v>9</v>
      </c>
      <c r="B127" t="s">
        <v>168</v>
      </c>
      <c r="C127" t="s">
        <v>163</v>
      </c>
      <c r="D127" t="s">
        <v>164</v>
      </c>
      <c r="F127" s="7">
        <v>0</v>
      </c>
      <c r="G127" s="7">
        <v>1</v>
      </c>
      <c r="H127" s="3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1.624939542193897</v>
      </c>
      <c r="Z127">
        <v>2.0620213211979719</v>
      </c>
      <c r="AA127">
        <v>2.061484000948258</v>
      </c>
      <c r="AB127">
        <v>2.3233445630001368</v>
      </c>
      <c r="AC127">
        <v>1.730664665211225</v>
      </c>
      <c r="AD127">
        <v>4.2509254506207066</v>
      </c>
      <c r="AE127">
        <v>3.226658193208277</v>
      </c>
      <c r="AF127">
        <v>2.3501830355613489</v>
      </c>
      <c r="AG127">
        <v>2.6934983607148748</v>
      </c>
      <c r="AH127">
        <v>5.0668089555925686</v>
      </c>
      <c r="AI127">
        <v>4.1280319394194516</v>
      </c>
      <c r="AK127">
        <v>1.624939542193897</v>
      </c>
      <c r="AL127">
        <v>0.69551893140887844</v>
      </c>
      <c r="AM127">
        <v>0.69549162037437784</v>
      </c>
      <c r="AN127">
        <v>2.3233445630001368</v>
      </c>
      <c r="AO127">
        <v>0.60515043919731393</v>
      </c>
      <c r="AP127">
        <v>4.2509254506207066</v>
      </c>
      <c r="AQ127">
        <v>0.93655380879063155</v>
      </c>
      <c r="AR127">
        <v>1.3564541459665631</v>
      </c>
      <c r="AS127">
        <v>0.55650081400526685</v>
      </c>
      <c r="AT127">
        <v>5.0668089555925686</v>
      </c>
      <c r="AU127">
        <v>2.148957941203844</v>
      </c>
      <c r="AW127">
        <v>0.3400120574049651</v>
      </c>
      <c r="AY127">
        <v>-0.335808</v>
      </c>
    </row>
    <row r="128" spans="1:51" x14ac:dyDescent="0.3">
      <c r="A128">
        <v>9</v>
      </c>
      <c r="B128" t="s">
        <v>169</v>
      </c>
      <c r="C128" t="s">
        <v>163</v>
      </c>
      <c r="D128" t="s">
        <v>164</v>
      </c>
      <c r="F128" s="7">
        <v>0</v>
      </c>
      <c r="G128" s="7">
        <v>0</v>
      </c>
      <c r="H128" s="3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1.3694359207991511</v>
      </c>
      <c r="Z128">
        <v>1.40399140578229</v>
      </c>
      <c r="AA128">
        <v>1.407520736020524</v>
      </c>
      <c r="AB128">
        <v>2.222937343796366</v>
      </c>
      <c r="AC128">
        <v>1.0940145802043839</v>
      </c>
      <c r="AD128">
        <v>1.576967737218365</v>
      </c>
      <c r="AE128">
        <v>1.4635652721975929</v>
      </c>
      <c r="AF128">
        <v>1.8859112006146459</v>
      </c>
      <c r="AG128">
        <v>2.1877913242671641</v>
      </c>
      <c r="AH128">
        <v>3.1266634165891452</v>
      </c>
      <c r="AI128">
        <v>2.5981972828158182</v>
      </c>
      <c r="AK128">
        <v>1.3694359207991511</v>
      </c>
      <c r="AL128">
        <v>0.55445876102894542</v>
      </c>
      <c r="AM128">
        <v>0.55826298082247372</v>
      </c>
      <c r="AN128">
        <v>2.222937343796366</v>
      </c>
      <c r="AO128">
        <v>0.45008250459795818</v>
      </c>
      <c r="AP128">
        <v>1.576967737218365</v>
      </c>
      <c r="AQ128">
        <v>0.63500664258608597</v>
      </c>
      <c r="AR128">
        <v>1.0907202058122489</v>
      </c>
      <c r="AS128">
        <v>0.49199408978456632</v>
      </c>
      <c r="AT128">
        <v>3.1266634165891452</v>
      </c>
      <c r="AU128">
        <v>1.314281887817196</v>
      </c>
      <c r="AW128">
        <v>0.33642671962734311</v>
      </c>
      <c r="AY128">
        <v>0.18604799999999991</v>
      </c>
    </row>
    <row r="129" spans="1:51" x14ac:dyDescent="0.3">
      <c r="A129">
        <v>9</v>
      </c>
      <c r="B129" t="s">
        <v>170</v>
      </c>
      <c r="C129" t="s">
        <v>163</v>
      </c>
      <c r="D129" t="s">
        <v>164</v>
      </c>
      <c r="F129" s="7">
        <v>0</v>
      </c>
      <c r="G129" s="7">
        <v>0</v>
      </c>
      <c r="H129" s="3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0.91685597201576452</v>
      </c>
      <c r="Z129">
        <v>1.67104250396369</v>
      </c>
      <c r="AA129">
        <v>1.6619011899805629</v>
      </c>
      <c r="AB129">
        <v>1.407605399400927</v>
      </c>
      <c r="AC129">
        <v>1.458665164193371</v>
      </c>
      <c r="AD129">
        <v>1.087861288595013</v>
      </c>
      <c r="AE129">
        <v>2.29141067651799</v>
      </c>
      <c r="AF129">
        <v>2.3591616463963869</v>
      </c>
      <c r="AG129">
        <v>2.6693441313342192</v>
      </c>
      <c r="AH129">
        <v>3.0878420071909209</v>
      </c>
      <c r="AI129">
        <v>3.418140707176645</v>
      </c>
      <c r="AK129">
        <v>0.91685597201576452</v>
      </c>
      <c r="AL129">
        <v>0.59528015257092193</v>
      </c>
      <c r="AM129">
        <v>0.59436127420049156</v>
      </c>
      <c r="AN129">
        <v>1.407605399400927</v>
      </c>
      <c r="AO129">
        <v>0.53914189840143079</v>
      </c>
      <c r="AP129">
        <v>1.087861288595013</v>
      </c>
      <c r="AQ129">
        <v>0.80967259678291159</v>
      </c>
      <c r="AR129">
        <v>1.356834216997959</v>
      </c>
      <c r="AS129">
        <v>0.55598371543455871</v>
      </c>
      <c r="AT129">
        <v>3.0878420071909209</v>
      </c>
      <c r="AU129">
        <v>1.6482049187994561</v>
      </c>
      <c r="AW129">
        <v>0.33782210419885822</v>
      </c>
      <c r="AY129">
        <v>-9.6191999999999903E-2</v>
      </c>
    </row>
    <row r="130" spans="1:51" x14ac:dyDescent="0.3">
      <c r="A130">
        <v>9</v>
      </c>
      <c r="B130" t="s">
        <v>171</v>
      </c>
      <c r="C130" t="s">
        <v>163</v>
      </c>
      <c r="D130" t="s">
        <v>164</v>
      </c>
      <c r="F130" s="7">
        <v>0</v>
      </c>
      <c r="G130" s="7">
        <v>1</v>
      </c>
      <c r="H130" s="3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0.76953355858568107</v>
      </c>
      <c r="Z130">
        <v>1.3259741964051499</v>
      </c>
      <c r="AA130">
        <v>1.313796569523402</v>
      </c>
      <c r="AB130">
        <v>0.57456231760152154</v>
      </c>
      <c r="AC130">
        <v>0.9787950708152493</v>
      </c>
      <c r="AD130">
        <v>0.1609848410007543</v>
      </c>
      <c r="AE130">
        <v>1.003440622449852</v>
      </c>
      <c r="AF130">
        <v>1.899904123996385</v>
      </c>
      <c r="AG130">
        <v>2.2022374475491229</v>
      </c>
      <c r="AH130">
        <v>1.1825280411634591</v>
      </c>
      <c r="AI130">
        <v>2.352314094430767</v>
      </c>
      <c r="AK130">
        <v>0.76953355858568107</v>
      </c>
      <c r="AL130">
        <v>0.51617308782879268</v>
      </c>
      <c r="AM130">
        <v>0.50684285359457137</v>
      </c>
      <c r="AN130">
        <v>0.57456231760152154</v>
      </c>
      <c r="AO130">
        <v>0.44206690340070048</v>
      </c>
      <c r="AP130">
        <v>0.1609848410007543</v>
      </c>
      <c r="AQ130">
        <v>0.5556792878080159</v>
      </c>
      <c r="AR130">
        <v>1.092919798195362</v>
      </c>
      <c r="AS130">
        <v>0.49776294720359149</v>
      </c>
      <c r="AT130">
        <v>1.1825280411634591</v>
      </c>
      <c r="AU130">
        <v>1.141271126386709</v>
      </c>
      <c r="AW130">
        <v>0.34373429120751098</v>
      </c>
      <c r="AY130">
        <v>0.24595199999999989</v>
      </c>
    </row>
    <row r="131" spans="1:51" x14ac:dyDescent="0.3">
      <c r="A131">
        <v>10</v>
      </c>
      <c r="B131" t="s">
        <v>172</v>
      </c>
      <c r="C131" t="s">
        <v>173</v>
      </c>
      <c r="D131" t="s">
        <v>174</v>
      </c>
      <c r="F131" s="7">
        <v>0</v>
      </c>
      <c r="G131" s="7">
        <v>0</v>
      </c>
      <c r="H131" s="3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0.84160284319659695</v>
      </c>
      <c r="Z131">
        <v>1.032415991539269</v>
      </c>
      <c r="AA131">
        <v>1.0303708735870061</v>
      </c>
      <c r="AB131">
        <v>1.1517639585974391</v>
      </c>
      <c r="AC131">
        <v>0.89832478439909347</v>
      </c>
      <c r="AD131">
        <v>1.111602676997427</v>
      </c>
      <c r="AE131">
        <v>1.5698524249867269</v>
      </c>
      <c r="AF131">
        <v>1.466855921794195</v>
      </c>
      <c r="AG131">
        <v>1.6524413394691819</v>
      </c>
      <c r="AH131">
        <v>3.0001733183977199</v>
      </c>
      <c r="AI131">
        <v>2.0393559219315649</v>
      </c>
      <c r="AK131">
        <v>0.84160284319659695</v>
      </c>
      <c r="AL131">
        <v>0.4065713700755233</v>
      </c>
      <c r="AM131">
        <v>0.40696279567200688</v>
      </c>
      <c r="AN131">
        <v>1.1517639585974391</v>
      </c>
      <c r="AO131">
        <v>0.39639041388540402</v>
      </c>
      <c r="AP131">
        <v>1.111602676997427</v>
      </c>
      <c r="AQ131">
        <v>0.59004080302713979</v>
      </c>
      <c r="AR131">
        <v>0.760800453403499</v>
      </c>
      <c r="AS131">
        <v>0.39002255550253068</v>
      </c>
      <c r="AT131">
        <v>3.0001733183977199</v>
      </c>
      <c r="AU131">
        <v>0.89120740700579648</v>
      </c>
      <c r="AW131">
        <v>0.22547766667890501</v>
      </c>
      <c r="AY131">
        <v>-0.45311451428571431</v>
      </c>
    </row>
    <row r="132" spans="1:51" x14ac:dyDescent="0.3">
      <c r="A132">
        <v>10</v>
      </c>
      <c r="B132" t="s">
        <v>175</v>
      </c>
      <c r="C132" t="s">
        <v>173</v>
      </c>
      <c r="D132" t="s">
        <v>174</v>
      </c>
      <c r="F132" s="7">
        <v>0</v>
      </c>
      <c r="G132" s="7">
        <v>1</v>
      </c>
      <c r="H132" s="3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0.5974349176045507</v>
      </c>
      <c r="Z132">
        <v>0.99123914031245342</v>
      </c>
      <c r="AA132">
        <v>0.98459257966273339</v>
      </c>
      <c r="AB132">
        <v>0.59221325399703351</v>
      </c>
      <c r="AC132">
        <v>0.75158273662299124</v>
      </c>
      <c r="AD132">
        <v>0.20682277680607511</v>
      </c>
      <c r="AE132">
        <v>1.25712975685019</v>
      </c>
      <c r="AF132">
        <v>1.478061935200822</v>
      </c>
      <c r="AG132">
        <v>1.674742084724961</v>
      </c>
      <c r="AH132">
        <v>1.2724952880060301</v>
      </c>
      <c r="AI132">
        <v>1.8356023170336679</v>
      </c>
      <c r="AK132">
        <v>0.5974349176045507</v>
      </c>
      <c r="AL132">
        <v>0.39402836792869489</v>
      </c>
      <c r="AM132">
        <v>0.39262114703056528</v>
      </c>
      <c r="AN132">
        <v>0.59221325399703351</v>
      </c>
      <c r="AO132">
        <v>0.32597653237129898</v>
      </c>
      <c r="AP132">
        <v>0.20682277680607511</v>
      </c>
      <c r="AQ132">
        <v>0.48736026882460082</v>
      </c>
      <c r="AR132">
        <v>0.77358075900701806</v>
      </c>
      <c r="AS132">
        <v>0.39480267182724288</v>
      </c>
      <c r="AT132">
        <v>1.2724952880060301</v>
      </c>
      <c r="AU132">
        <v>0.82109071011987633</v>
      </c>
      <c r="AW132">
        <v>0.2264809405663982</v>
      </c>
      <c r="AY132">
        <v>-0.26688548571428561</v>
      </c>
    </row>
    <row r="133" spans="1:51" x14ac:dyDescent="0.3">
      <c r="A133">
        <v>10</v>
      </c>
      <c r="B133" t="s">
        <v>176</v>
      </c>
      <c r="C133" t="s">
        <v>173</v>
      </c>
      <c r="D133" t="s">
        <v>174</v>
      </c>
      <c r="F133" s="7">
        <v>0</v>
      </c>
      <c r="G133" s="7">
        <v>1</v>
      </c>
      <c r="H133" s="3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0.62592161758802833</v>
      </c>
      <c r="Z133">
        <v>0.82299022439734215</v>
      </c>
      <c r="AA133">
        <v>0.81982640986430599</v>
      </c>
      <c r="AB133">
        <v>0.77837068199878556</v>
      </c>
      <c r="AC133">
        <v>0.71129941737703384</v>
      </c>
      <c r="AD133">
        <v>1.147398846794385</v>
      </c>
      <c r="AE133">
        <v>1.1551335421706821</v>
      </c>
      <c r="AF133">
        <v>1.132805610401556</v>
      </c>
      <c r="AG133">
        <v>1.284280148857007</v>
      </c>
      <c r="AH133">
        <v>2.125794582010712</v>
      </c>
      <c r="AI133">
        <v>0.93486421881077286</v>
      </c>
      <c r="AK133">
        <v>0.62592161758802833</v>
      </c>
      <c r="AL133">
        <v>0.37960408696505638</v>
      </c>
      <c r="AM133">
        <v>0.37910495527487781</v>
      </c>
      <c r="AN133">
        <v>0.77837068199878556</v>
      </c>
      <c r="AO133">
        <v>0.33495745305886632</v>
      </c>
      <c r="AP133">
        <v>1.147398846794385</v>
      </c>
      <c r="AQ133">
        <v>0.52556863589644698</v>
      </c>
      <c r="AR133">
        <v>0.58105772901326413</v>
      </c>
      <c r="AS133">
        <v>0.34400843990900148</v>
      </c>
      <c r="AT133">
        <v>2.125794582010712</v>
      </c>
      <c r="AU133">
        <v>0.44572229847711109</v>
      </c>
      <c r="AW133">
        <v>0.22623260679787821</v>
      </c>
      <c r="AY133">
        <v>0.35999999999999988</v>
      </c>
    </row>
    <row r="134" spans="1:51" x14ac:dyDescent="0.3">
      <c r="A134">
        <v>10</v>
      </c>
      <c r="B134" t="s">
        <v>177</v>
      </c>
      <c r="C134" t="s">
        <v>173</v>
      </c>
      <c r="D134" t="s">
        <v>174</v>
      </c>
      <c r="F134" s="7">
        <v>0</v>
      </c>
      <c r="G134" s="7">
        <v>0</v>
      </c>
      <c r="H134" s="3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0.6776605556020513</v>
      </c>
      <c r="Z134">
        <v>0.75205928149599843</v>
      </c>
      <c r="AA134">
        <v>0.75089851650908324</v>
      </c>
      <c r="AB134">
        <v>0.44389962120039861</v>
      </c>
      <c r="AC134">
        <v>0.60947181265634887</v>
      </c>
      <c r="AD134">
        <v>0.75640446537872774</v>
      </c>
      <c r="AE134">
        <v>1.021561031151629</v>
      </c>
      <c r="AF134">
        <v>1.134429249784443</v>
      </c>
      <c r="AG134">
        <v>1.2776439135461779</v>
      </c>
      <c r="AH134">
        <v>0.1380777016165666</v>
      </c>
      <c r="AI134">
        <v>0.71836669534511333</v>
      </c>
      <c r="AK134">
        <v>0.6776605556020513</v>
      </c>
      <c r="AL134">
        <v>0.34360143950907512</v>
      </c>
      <c r="AM134">
        <v>0.34344174446804182</v>
      </c>
      <c r="AN134">
        <v>0.44389962120039861</v>
      </c>
      <c r="AO134">
        <v>0.30448869179734689</v>
      </c>
      <c r="AP134">
        <v>0.75640446537872774</v>
      </c>
      <c r="AQ134">
        <v>0.48860346654296982</v>
      </c>
      <c r="AR134">
        <v>0.58039864198071878</v>
      </c>
      <c r="AS134">
        <v>0.34282103307611711</v>
      </c>
      <c r="AT134">
        <v>0.1380777016165666</v>
      </c>
      <c r="AU134">
        <v>0.41066910519563998</v>
      </c>
      <c r="AW134">
        <v>0.2248091109978434</v>
      </c>
      <c r="AY134">
        <v>0.35999999999999988</v>
      </c>
    </row>
    <row r="135" spans="1:51" x14ac:dyDescent="0.3">
      <c r="A135">
        <v>10</v>
      </c>
      <c r="B135" t="s">
        <v>178</v>
      </c>
      <c r="C135" t="s">
        <v>173</v>
      </c>
      <c r="D135" t="s">
        <v>174</v>
      </c>
      <c r="F135" s="7">
        <v>0</v>
      </c>
      <c r="G135" s="7">
        <v>1</v>
      </c>
      <c r="H135" s="3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0.58250589321833102</v>
      </c>
      <c r="Z135">
        <v>0.79543599077899541</v>
      </c>
      <c r="AA135">
        <v>0.79444414763046167</v>
      </c>
      <c r="AB135">
        <v>0.41792891860532111</v>
      </c>
      <c r="AC135">
        <v>0.63719821791538767</v>
      </c>
      <c r="AD135">
        <v>1.0770863984129391</v>
      </c>
      <c r="AE135">
        <v>1.369562669033517</v>
      </c>
      <c r="AF135">
        <v>1.108524676400702</v>
      </c>
      <c r="AG135">
        <v>1.271885951051289</v>
      </c>
      <c r="AH135">
        <v>0.49143977641360842</v>
      </c>
      <c r="AI135">
        <v>0.90162170627819638</v>
      </c>
      <c r="AK135">
        <v>0.58250589321833102</v>
      </c>
      <c r="AL135">
        <v>0.37094371880271598</v>
      </c>
      <c r="AM135">
        <v>0.37058474915102119</v>
      </c>
      <c r="AN135">
        <v>0.41792891860532111</v>
      </c>
      <c r="AO135">
        <v>0.32640539471550639</v>
      </c>
      <c r="AP135">
        <v>1.0770863984129391</v>
      </c>
      <c r="AQ135">
        <v>0.52473446027974469</v>
      </c>
      <c r="AR135">
        <v>0.58350444878451524</v>
      </c>
      <c r="AS135">
        <v>0.35317439647624271</v>
      </c>
      <c r="AT135">
        <v>0.49143977641360842</v>
      </c>
      <c r="AU135">
        <v>0.46024424382984369</v>
      </c>
      <c r="AW135">
        <v>0.22621447454106861</v>
      </c>
      <c r="AY135">
        <v>0.35999999999999988</v>
      </c>
    </row>
    <row r="136" spans="1:51" x14ac:dyDescent="0.3">
      <c r="A136">
        <v>10</v>
      </c>
      <c r="B136" t="s">
        <v>179</v>
      </c>
      <c r="C136" t="s">
        <v>173</v>
      </c>
      <c r="D136" t="s">
        <v>174</v>
      </c>
      <c r="F136" s="7">
        <v>0</v>
      </c>
      <c r="G136" s="7">
        <v>0</v>
      </c>
      <c r="H136" s="3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0.63144248839234929</v>
      </c>
      <c r="Z136">
        <v>0.77385596841174575</v>
      </c>
      <c r="AA136">
        <v>0.77074300587576405</v>
      </c>
      <c r="AB136">
        <v>0.4034692386019742</v>
      </c>
      <c r="AC136">
        <v>0.58170452137336337</v>
      </c>
      <c r="AD136">
        <v>1.070372043608222</v>
      </c>
      <c r="AE136">
        <v>1.300100988533814</v>
      </c>
      <c r="AF136">
        <v>1.1211580935865639</v>
      </c>
      <c r="AG136">
        <v>1.2592980772905451</v>
      </c>
      <c r="AH136">
        <v>0.34084510479588059</v>
      </c>
      <c r="AI136">
        <v>0.72779818033866051</v>
      </c>
      <c r="AK136">
        <v>0.63144248839234929</v>
      </c>
      <c r="AL136">
        <v>0.34819277964000189</v>
      </c>
      <c r="AM136">
        <v>0.34812483056448401</v>
      </c>
      <c r="AN136">
        <v>0.4034692386019742</v>
      </c>
      <c r="AO136">
        <v>0.29326218497299122</v>
      </c>
      <c r="AP136">
        <v>1.070372043608222</v>
      </c>
      <c r="AQ136">
        <v>0.49225067179650073</v>
      </c>
      <c r="AR136">
        <v>0.59455348519841211</v>
      </c>
      <c r="AS136">
        <v>0.3495627490005323</v>
      </c>
      <c r="AT136">
        <v>0.34084510479588059</v>
      </c>
      <c r="AU136">
        <v>0.37852026486070828</v>
      </c>
      <c r="AW136">
        <v>0.22526371805828871</v>
      </c>
      <c r="AY136">
        <v>0.35999999999999988</v>
      </c>
    </row>
    <row r="137" spans="1:51" x14ac:dyDescent="0.3">
      <c r="A137">
        <v>10</v>
      </c>
      <c r="B137" t="s">
        <v>180</v>
      </c>
      <c r="C137" t="s">
        <v>173</v>
      </c>
      <c r="D137" t="s">
        <v>174</v>
      </c>
      <c r="F137" s="7">
        <v>0</v>
      </c>
      <c r="G137" s="7">
        <v>0</v>
      </c>
      <c r="H137" s="3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0.36428370780777181</v>
      </c>
      <c r="Z137">
        <v>0.66453853194668355</v>
      </c>
      <c r="AA137">
        <v>0.65540754383795763</v>
      </c>
      <c r="AB137">
        <v>0.32396598539780819</v>
      </c>
      <c r="AC137">
        <v>0.51952311394187356</v>
      </c>
      <c r="AD137">
        <v>1.092732053995132</v>
      </c>
      <c r="AE137">
        <v>1.2842499736896049</v>
      </c>
      <c r="AF137">
        <v>0.79970955661265175</v>
      </c>
      <c r="AG137">
        <v>1.0353682985961701</v>
      </c>
      <c r="AH137">
        <v>5.3782430128193996E-3</v>
      </c>
      <c r="AI137">
        <v>0.24463785825563331</v>
      </c>
      <c r="AK137">
        <v>0.36428370780777181</v>
      </c>
      <c r="AL137">
        <v>0.33729098821058873</v>
      </c>
      <c r="AM137">
        <v>0.32927846754568502</v>
      </c>
      <c r="AN137">
        <v>0.32396598539780819</v>
      </c>
      <c r="AO137">
        <v>0.27575752602715509</v>
      </c>
      <c r="AP137">
        <v>1.092732053995132</v>
      </c>
      <c r="AQ137">
        <v>0.51905771576566617</v>
      </c>
      <c r="AR137">
        <v>0.40378574720816679</v>
      </c>
      <c r="AS137">
        <v>0.30759654331819292</v>
      </c>
      <c r="AT137">
        <v>5.3782430128193996E-3</v>
      </c>
      <c r="AU137">
        <v>0.22454703742405399</v>
      </c>
      <c r="AW137">
        <v>0.2252130720331999</v>
      </c>
      <c r="AY137">
        <v>-0.26688548571428561</v>
      </c>
    </row>
    <row r="138" spans="1:51" x14ac:dyDescent="0.3">
      <c r="A138">
        <v>10</v>
      </c>
      <c r="B138" t="s">
        <v>181</v>
      </c>
      <c r="C138" t="s">
        <v>173</v>
      </c>
      <c r="D138" t="s">
        <v>174</v>
      </c>
      <c r="F138" s="7">
        <v>0</v>
      </c>
      <c r="G138" s="7">
        <v>1</v>
      </c>
      <c r="H138" s="3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0.64667581279063602</v>
      </c>
      <c r="Z138">
        <v>0.75006055193121679</v>
      </c>
      <c r="AA138">
        <v>0.74540508135521244</v>
      </c>
      <c r="AB138">
        <v>0.34135957079706708</v>
      </c>
      <c r="AC138">
        <v>0.52980440756405833</v>
      </c>
      <c r="AD138">
        <v>1.083862224593759</v>
      </c>
      <c r="AE138">
        <v>1.315789343089065</v>
      </c>
      <c r="AF138">
        <v>0.80186566982883956</v>
      </c>
      <c r="AG138">
        <v>1.0484702417028271</v>
      </c>
      <c r="AH138">
        <v>1.086270378436888E-2</v>
      </c>
      <c r="AI138">
        <v>0.31515513665175859</v>
      </c>
      <c r="AK138">
        <v>0.64667581279063602</v>
      </c>
      <c r="AL138">
        <v>0.35414363257088027</v>
      </c>
      <c r="AM138">
        <v>0.34846345118380018</v>
      </c>
      <c r="AN138">
        <v>0.34135957079706708</v>
      </c>
      <c r="AO138">
        <v>0.27804407634123762</v>
      </c>
      <c r="AP138">
        <v>1.083862224593759</v>
      </c>
      <c r="AQ138">
        <v>0.50965039167786019</v>
      </c>
      <c r="AR138">
        <v>0.40885675543686367</v>
      </c>
      <c r="AS138">
        <v>0.31785001689235542</v>
      </c>
      <c r="AT138">
        <v>1.086270378436888E-2</v>
      </c>
      <c r="AU138">
        <v>0.26048619479406632</v>
      </c>
      <c r="AW138">
        <v>0.23293898214885431</v>
      </c>
      <c r="AY138">
        <v>-0.45311451428571431</v>
      </c>
    </row>
    <row r="139" spans="1:51" x14ac:dyDescent="0.3">
      <c r="A139">
        <v>11</v>
      </c>
      <c r="B139" t="s">
        <v>182</v>
      </c>
      <c r="C139" t="s">
        <v>183</v>
      </c>
      <c r="D139" t="s">
        <v>184</v>
      </c>
      <c r="F139" s="7">
        <v>0</v>
      </c>
      <c r="G139" s="7">
        <v>0</v>
      </c>
      <c r="H139" s="3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615579.4</v>
      </c>
      <c r="O139">
        <v>616821.19999999995</v>
      </c>
      <c r="P139">
        <v>645227.19999999995</v>
      </c>
      <c r="Q139">
        <v>287052.2</v>
      </c>
      <c r="R139">
        <v>848510</v>
      </c>
      <c r="S139">
        <v>154580.4</v>
      </c>
      <c r="T139">
        <v>2921304.4</v>
      </c>
      <c r="U139">
        <v>2271571.6</v>
      </c>
      <c r="V139">
        <v>663956.6</v>
      </c>
      <c r="W139">
        <v>401967.2</v>
      </c>
      <c r="Y139">
        <v>0.85255404899362475</v>
      </c>
      <c r="Z139">
        <v>0.78694832441397011</v>
      </c>
      <c r="AA139">
        <v>0.77769947054330257</v>
      </c>
      <c r="AB139">
        <v>0.66952548079425467</v>
      </c>
      <c r="AC139">
        <v>0.60997724219632798</v>
      </c>
      <c r="AD139">
        <v>0.96370781440054998</v>
      </c>
      <c r="AE139">
        <v>0.50719422537367786</v>
      </c>
      <c r="AF139">
        <v>0.60087533699115736</v>
      </c>
      <c r="AG139">
        <v>0.82747214530827473</v>
      </c>
      <c r="AH139">
        <v>2.8245905157993549</v>
      </c>
      <c r="AI139">
        <v>1.6868033487931831</v>
      </c>
      <c r="AK139">
        <v>0.85255404899362475</v>
      </c>
      <c r="AL139">
        <v>0.37097247721394522</v>
      </c>
      <c r="AM139">
        <v>0.36449056757846848</v>
      </c>
      <c r="AN139">
        <v>0.66952548079425467</v>
      </c>
      <c r="AO139">
        <v>0.31094485940120647</v>
      </c>
      <c r="AP139">
        <v>0.96370781440054998</v>
      </c>
      <c r="AQ139">
        <v>0.30171246737008911</v>
      </c>
      <c r="AR139">
        <v>0.30636287137167528</v>
      </c>
      <c r="AS139">
        <v>0.31843203319003799</v>
      </c>
      <c r="AT139">
        <v>2.8245905157993549</v>
      </c>
      <c r="AU139">
        <v>0.69487706978106867</v>
      </c>
      <c r="AW139">
        <v>0.26767272900324313</v>
      </c>
      <c r="AY139">
        <v>0.22785492916607361</v>
      </c>
    </row>
    <row r="140" spans="1:51" x14ac:dyDescent="0.3">
      <c r="A140">
        <v>11</v>
      </c>
      <c r="B140" t="s">
        <v>185</v>
      </c>
      <c r="C140" t="s">
        <v>183</v>
      </c>
      <c r="D140" t="s">
        <v>184</v>
      </c>
      <c r="F140" s="7">
        <v>0</v>
      </c>
      <c r="G140" s="7">
        <v>1</v>
      </c>
      <c r="H140" s="3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259541</v>
      </c>
      <c r="O140">
        <v>259597</v>
      </c>
      <c r="P140">
        <v>223469.4</v>
      </c>
      <c r="Q140">
        <v>215698.8</v>
      </c>
      <c r="R140">
        <v>24139.4</v>
      </c>
      <c r="S140">
        <v>13549</v>
      </c>
      <c r="T140">
        <v>2923595</v>
      </c>
      <c r="U140">
        <v>2259937.7999999998</v>
      </c>
      <c r="V140">
        <v>40470.400000000001</v>
      </c>
      <c r="W140">
        <v>77491.600000000006</v>
      </c>
      <c r="Y140">
        <v>0.30614333400735633</v>
      </c>
      <c r="Z140">
        <v>0.56565242001088334</v>
      </c>
      <c r="AA140">
        <v>0.56143363262526691</v>
      </c>
      <c r="AB140">
        <v>0.32628556440467948</v>
      </c>
      <c r="AC140">
        <v>0.52024004619743214</v>
      </c>
      <c r="AD140">
        <v>0.14239498539827761</v>
      </c>
      <c r="AE140">
        <v>0.36007392260944471</v>
      </c>
      <c r="AF140">
        <v>0.59902052761754021</v>
      </c>
      <c r="AG140">
        <v>0.81679149246774618</v>
      </c>
      <c r="AH140">
        <v>0.1154053859761916</v>
      </c>
      <c r="AI140">
        <v>0.49511327922809872</v>
      </c>
      <c r="AK140">
        <v>0.30614333400735633</v>
      </c>
      <c r="AL140">
        <v>0.33401141361100589</v>
      </c>
      <c r="AM140">
        <v>0.33001015301560982</v>
      </c>
      <c r="AN140">
        <v>0.32628556440467948</v>
      </c>
      <c r="AO140">
        <v>0.2978213952039368</v>
      </c>
      <c r="AP140">
        <v>0.14239498539827761</v>
      </c>
      <c r="AQ140">
        <v>0.28341923959087578</v>
      </c>
      <c r="AR140">
        <v>0.30349209961714219</v>
      </c>
      <c r="AS140">
        <v>0.31339493680279701</v>
      </c>
      <c r="AT140">
        <v>0.1154053859761916</v>
      </c>
      <c r="AU140">
        <v>0.34499867679551238</v>
      </c>
      <c r="AW140">
        <v>0.26207396159879859</v>
      </c>
      <c r="AY140">
        <v>-0.22785492916607361</v>
      </c>
    </row>
    <row r="141" spans="1:51" x14ac:dyDescent="0.3">
      <c r="A141">
        <v>11</v>
      </c>
      <c r="B141" t="s">
        <v>186</v>
      </c>
      <c r="C141" t="s">
        <v>183</v>
      </c>
      <c r="D141" t="s">
        <v>184</v>
      </c>
      <c r="F141" s="7">
        <v>0</v>
      </c>
      <c r="G141" s="7">
        <v>1</v>
      </c>
      <c r="H141" s="3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238558.2</v>
      </c>
      <c r="O141">
        <v>238594.6</v>
      </c>
      <c r="P141">
        <v>200001.6</v>
      </c>
      <c r="Q141">
        <v>204359.6</v>
      </c>
      <c r="R141">
        <v>9.4</v>
      </c>
      <c r="S141">
        <v>4606.2</v>
      </c>
      <c r="T141">
        <v>2922651.4</v>
      </c>
      <c r="U141">
        <v>2261480</v>
      </c>
      <c r="V141">
        <v>476.4</v>
      </c>
      <c r="W141">
        <v>20145.400000000001</v>
      </c>
      <c r="Y141">
        <v>0.2545992519939318</v>
      </c>
      <c r="Z141">
        <v>0.56078646442620084</v>
      </c>
      <c r="AA141">
        <v>0.53671962701482701</v>
      </c>
      <c r="AB141">
        <v>0.26623367099964518</v>
      </c>
      <c r="AC141">
        <v>0.50800758240511645</v>
      </c>
      <c r="AD141">
        <v>9.0074960805941337E-2</v>
      </c>
      <c r="AE141">
        <v>0.33618991479743271</v>
      </c>
      <c r="AF141">
        <v>0.60207141976570711</v>
      </c>
      <c r="AG141">
        <v>0.8108505215030164</v>
      </c>
      <c r="AH141">
        <v>5.6341118179261199E-3</v>
      </c>
      <c r="AI141">
        <v>0.35151487234979872</v>
      </c>
      <c r="AK141">
        <v>0.2545992519939318</v>
      </c>
      <c r="AL141">
        <v>0.33134644898818799</v>
      </c>
      <c r="AM141">
        <v>0.31102459161775181</v>
      </c>
      <c r="AN141">
        <v>0.26623367099964518</v>
      </c>
      <c r="AO141">
        <v>0.29076670999638732</v>
      </c>
      <c r="AP141">
        <v>9.0074960805941337E-2</v>
      </c>
      <c r="AQ141">
        <v>0.26690848042489962</v>
      </c>
      <c r="AR141">
        <v>0.30736479718470938</v>
      </c>
      <c r="AS141">
        <v>0.30739317581756043</v>
      </c>
      <c r="AT141">
        <v>5.6341118179261199E-3</v>
      </c>
      <c r="AU141">
        <v>0.28666732860729099</v>
      </c>
      <c r="AW141">
        <v>0.27061964579625047</v>
      </c>
      <c r="AY141">
        <v>-0.22785492916607361</v>
      </c>
    </row>
    <row r="142" spans="1:51" x14ac:dyDescent="0.3">
      <c r="A142">
        <v>11</v>
      </c>
      <c r="B142" t="s">
        <v>187</v>
      </c>
      <c r="C142" t="s">
        <v>183</v>
      </c>
      <c r="D142" t="s">
        <v>184</v>
      </c>
      <c r="F142" s="7">
        <v>0</v>
      </c>
      <c r="G142" s="7">
        <v>0</v>
      </c>
      <c r="H142" s="3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543380.4</v>
      </c>
      <c r="O142">
        <v>544133.80000000005</v>
      </c>
      <c r="P142">
        <v>531619.6</v>
      </c>
      <c r="Q142">
        <v>275185.8</v>
      </c>
      <c r="R142">
        <v>238373</v>
      </c>
      <c r="S142">
        <v>102211</v>
      </c>
      <c r="T142">
        <v>2919608</v>
      </c>
      <c r="U142">
        <v>2265893</v>
      </c>
      <c r="V142">
        <v>1059873.6000000001</v>
      </c>
      <c r="W142">
        <v>379522.4</v>
      </c>
      <c r="Y142">
        <v>0.60388114599045362</v>
      </c>
      <c r="Z142">
        <v>0.73357045280281452</v>
      </c>
      <c r="AA142">
        <v>0.73064614795148375</v>
      </c>
      <c r="AB142">
        <v>0.55557370059832467</v>
      </c>
      <c r="AC142">
        <v>0.58113715320359915</v>
      </c>
      <c r="AD142">
        <v>0.46547263939864941</v>
      </c>
      <c r="AE142">
        <v>0.4784564353642054</v>
      </c>
      <c r="AF142">
        <v>0.6021168584469706</v>
      </c>
      <c r="AG142">
        <v>0.82563281444599856</v>
      </c>
      <c r="AH142">
        <v>2.8707247044076212</v>
      </c>
      <c r="AI142">
        <v>1.458141928398982</v>
      </c>
      <c r="AK142">
        <v>0.60388114599045362</v>
      </c>
      <c r="AL142">
        <v>0.34277767858002328</v>
      </c>
      <c r="AM142">
        <v>0.34526955779874691</v>
      </c>
      <c r="AN142">
        <v>0.55557370059832467</v>
      </c>
      <c r="AO142">
        <v>0.29727254539902792</v>
      </c>
      <c r="AP142">
        <v>0.46547263939864941</v>
      </c>
      <c r="AQ142">
        <v>0.29641214557923368</v>
      </c>
      <c r="AR142">
        <v>0.30457600504159932</v>
      </c>
      <c r="AS142">
        <v>0.31486863039899621</v>
      </c>
      <c r="AT142">
        <v>2.8707247044076212</v>
      </c>
      <c r="AU142">
        <v>0.550866704818327</v>
      </c>
      <c r="AW142">
        <v>0.25623443839140231</v>
      </c>
      <c r="AY142">
        <v>0.22785492916607361</v>
      </c>
    </row>
    <row r="143" spans="1:51" x14ac:dyDescent="0.3">
      <c r="A143">
        <v>11</v>
      </c>
      <c r="B143" t="s">
        <v>188</v>
      </c>
      <c r="C143" t="s">
        <v>189</v>
      </c>
      <c r="D143" t="s">
        <v>190</v>
      </c>
      <c r="F143" s="7">
        <v>0</v>
      </c>
      <c r="G143" s="7">
        <v>0</v>
      </c>
      <c r="H143" s="3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2375638.4</v>
      </c>
      <c r="O143">
        <v>2388455.7999999998</v>
      </c>
      <c r="P143">
        <v>4631787.2</v>
      </c>
      <c r="Q143">
        <v>2894821</v>
      </c>
      <c r="R143">
        <v>4256270</v>
      </c>
      <c r="S143">
        <v>2403135</v>
      </c>
      <c r="T143">
        <v>4770700</v>
      </c>
      <c r="U143">
        <v>4139318.2</v>
      </c>
      <c r="V143">
        <v>2822356.8</v>
      </c>
      <c r="W143">
        <v>1711510.6</v>
      </c>
      <c r="Y143">
        <v>1.9262109260191209</v>
      </c>
      <c r="Z143">
        <v>1.9294753412250429</v>
      </c>
      <c r="AA143">
        <v>1.911212810419965</v>
      </c>
      <c r="AB143">
        <v>3.522243494397844</v>
      </c>
      <c r="AC143">
        <v>2.3122034591942788</v>
      </c>
      <c r="AD143">
        <v>3.58439979380928</v>
      </c>
      <c r="AE143">
        <v>2.2915395398624239</v>
      </c>
      <c r="AF143">
        <v>2.3972977135563269</v>
      </c>
      <c r="AG143">
        <v>2.4154443978099152</v>
      </c>
      <c r="AH143">
        <v>3.7755286633968348</v>
      </c>
      <c r="AI143">
        <v>3.111553857009858</v>
      </c>
      <c r="AK143">
        <v>1.9262109260191209</v>
      </c>
      <c r="AL143">
        <v>0.55577400777256114</v>
      </c>
      <c r="AM143">
        <v>0.55090034641325469</v>
      </c>
      <c r="AN143">
        <v>3.522243494397844</v>
      </c>
      <c r="AO143">
        <v>0.67289910879917447</v>
      </c>
      <c r="AP143">
        <v>3.58439979380928</v>
      </c>
      <c r="AQ143">
        <v>0.6757951798033901</v>
      </c>
      <c r="AR143">
        <v>1.3533262999728319</v>
      </c>
      <c r="AS143">
        <v>0.42345005382085221</v>
      </c>
      <c r="AT143">
        <v>3.7755286633968348</v>
      </c>
      <c r="AU143">
        <v>1.581273323018104</v>
      </c>
      <c r="AW143">
        <v>0.1114297040039673</v>
      </c>
      <c r="AY143">
        <v>-0.2797867176335771</v>
      </c>
    </row>
    <row r="144" spans="1:51" x14ac:dyDescent="0.3">
      <c r="A144">
        <v>11</v>
      </c>
      <c r="B144" t="s">
        <v>191</v>
      </c>
      <c r="C144" t="s">
        <v>189</v>
      </c>
      <c r="D144" t="s">
        <v>190</v>
      </c>
      <c r="F144" s="7">
        <v>0</v>
      </c>
      <c r="G144" s="7">
        <v>1</v>
      </c>
      <c r="H144" s="3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410815.4</v>
      </c>
      <c r="O144">
        <v>411129.4</v>
      </c>
      <c r="P144">
        <v>223950</v>
      </c>
      <c r="Q144">
        <v>250144.8</v>
      </c>
      <c r="R144">
        <v>236550.8</v>
      </c>
      <c r="S144">
        <v>143315.79999999999</v>
      </c>
      <c r="T144">
        <v>4027835.8</v>
      </c>
      <c r="U144">
        <v>3523156.4</v>
      </c>
      <c r="V144">
        <v>135743.4</v>
      </c>
      <c r="W144">
        <v>203805.4</v>
      </c>
      <c r="Y144">
        <v>0.73769777899142353</v>
      </c>
      <c r="Z144">
        <v>0.65609728124691169</v>
      </c>
      <c r="AA144">
        <v>0.64692482459358869</v>
      </c>
      <c r="AB144">
        <v>0.62177603580057617</v>
      </c>
      <c r="AC144">
        <v>0.57239951740775719</v>
      </c>
      <c r="AD144">
        <v>0.4618680846062489</v>
      </c>
      <c r="AE144">
        <v>0.43238586575025689</v>
      </c>
      <c r="AF144">
        <v>1.767433183826506</v>
      </c>
      <c r="AG144">
        <v>1.9488581306068229</v>
      </c>
      <c r="AH144">
        <v>0.39422800481552261</v>
      </c>
      <c r="AI144">
        <v>0.79938811159227041</v>
      </c>
      <c r="AK144">
        <v>0.73769777899142353</v>
      </c>
      <c r="AL144">
        <v>0.23915911300573489</v>
      </c>
      <c r="AM144">
        <v>0.23505748159950601</v>
      </c>
      <c r="AN144">
        <v>0.62177603580057617</v>
      </c>
      <c r="AO144">
        <v>0.20919955800636669</v>
      </c>
      <c r="AP144">
        <v>0.4618680846062489</v>
      </c>
      <c r="AQ144">
        <v>0.2081248999689706</v>
      </c>
      <c r="AR144">
        <v>1.056272470823024</v>
      </c>
      <c r="AS144">
        <v>0.3518141555367037</v>
      </c>
      <c r="AT144">
        <v>0.39422800481552261</v>
      </c>
      <c r="AU144">
        <v>0.42336520540993661</v>
      </c>
      <c r="AW144">
        <v>0.1076752088149078</v>
      </c>
      <c r="AY144">
        <v>-0.9796837136361054</v>
      </c>
    </row>
    <row r="145" spans="1:51" x14ac:dyDescent="0.3">
      <c r="A145">
        <v>11</v>
      </c>
      <c r="B145" t="s">
        <v>192</v>
      </c>
      <c r="C145" t="s">
        <v>189</v>
      </c>
      <c r="D145" t="s">
        <v>190</v>
      </c>
      <c r="F145" s="7">
        <v>0</v>
      </c>
      <c r="G145" s="7">
        <v>1</v>
      </c>
      <c r="H145" s="3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8051927.5999999996</v>
      </c>
      <c r="O145">
        <v>8132466.7999999998</v>
      </c>
      <c r="P145">
        <v>32522794.600000001</v>
      </c>
      <c r="Q145">
        <v>17627364.800000001</v>
      </c>
      <c r="R145">
        <v>13724934.199999999</v>
      </c>
      <c r="S145">
        <v>11894066</v>
      </c>
      <c r="T145">
        <v>4309289.2</v>
      </c>
      <c r="U145">
        <v>3684545</v>
      </c>
      <c r="V145">
        <v>28321760.800000001</v>
      </c>
      <c r="W145">
        <v>18865520.800000001</v>
      </c>
      <c r="Y145">
        <v>5.6760381632018833</v>
      </c>
      <c r="Z145">
        <v>6.202111566020176</v>
      </c>
      <c r="AA145">
        <v>6.2341173028107733</v>
      </c>
      <c r="AB145">
        <v>29.774679751199439</v>
      </c>
      <c r="AC145">
        <v>16.16880663839402</v>
      </c>
      <c r="AD145">
        <v>9.9776562217972238</v>
      </c>
      <c r="AE145">
        <v>10.103636259562339</v>
      </c>
      <c r="AF145">
        <v>2.048803494975437</v>
      </c>
      <c r="AG145">
        <v>2.104175924649462</v>
      </c>
      <c r="AH145">
        <v>14.054032702615951</v>
      </c>
      <c r="AI145">
        <v>12.641007805173279</v>
      </c>
      <c r="AK145">
        <v>5.6760381632018833</v>
      </c>
      <c r="AL145">
        <v>1.620974018424749</v>
      </c>
      <c r="AM145">
        <v>1.6666662774048751</v>
      </c>
      <c r="AN145">
        <v>29.774679751199439</v>
      </c>
      <c r="AO145">
        <v>4.3917413816030599</v>
      </c>
      <c r="AP145">
        <v>9.9776562217972238</v>
      </c>
      <c r="AQ145">
        <v>2.495114775805269</v>
      </c>
      <c r="AR145">
        <v>1.1374049529898911</v>
      </c>
      <c r="AS145">
        <v>0.37188944519730283</v>
      </c>
      <c r="AT145">
        <v>14.054032702615951</v>
      </c>
      <c r="AU145">
        <v>6.5427376293926498</v>
      </c>
      <c r="AW145">
        <v>0.107705972797703</v>
      </c>
      <c r="AY145">
        <v>0.52827928052760553</v>
      </c>
    </row>
    <row r="146" spans="1:51" x14ac:dyDescent="0.3">
      <c r="A146">
        <v>11</v>
      </c>
      <c r="B146" t="s">
        <v>193</v>
      </c>
      <c r="C146" t="s">
        <v>189</v>
      </c>
      <c r="D146" t="s">
        <v>190</v>
      </c>
      <c r="F146" s="7">
        <v>0</v>
      </c>
      <c r="G146" s="7">
        <v>0</v>
      </c>
      <c r="H146" s="3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5382518.2000000002</v>
      </c>
      <c r="O146">
        <v>5416496.2000000002</v>
      </c>
      <c r="P146">
        <v>4488034.8</v>
      </c>
      <c r="Q146">
        <v>6246669.7999999998</v>
      </c>
      <c r="R146">
        <v>9560862.1999999993</v>
      </c>
      <c r="S146">
        <v>8617610.5999999996</v>
      </c>
      <c r="T146">
        <v>4508969.5999999996</v>
      </c>
      <c r="U146">
        <v>4090970.6</v>
      </c>
      <c r="V146">
        <v>7816182.5999999996</v>
      </c>
      <c r="W146">
        <v>6930877</v>
      </c>
      <c r="Y146">
        <v>2.3125515666091809</v>
      </c>
      <c r="Z146">
        <v>3.784216258325614</v>
      </c>
      <c r="AA146">
        <v>3.7697889476432471</v>
      </c>
      <c r="AB146">
        <v>2.522794100199826</v>
      </c>
      <c r="AC146">
        <v>2.936754200790892</v>
      </c>
      <c r="AD146">
        <v>5.4410570626030674</v>
      </c>
      <c r="AE146">
        <v>5.4913271356257614</v>
      </c>
      <c r="AF146">
        <v>2.1758279538014902</v>
      </c>
      <c r="AG146">
        <v>2.3739975683973169</v>
      </c>
      <c r="AH146">
        <v>4.634898325195536</v>
      </c>
      <c r="AI146">
        <v>5.821520334423985</v>
      </c>
      <c r="AK146">
        <v>2.3125515666091809</v>
      </c>
      <c r="AL146">
        <v>0.91307386556873094</v>
      </c>
      <c r="AM146">
        <v>0.92176892760908236</v>
      </c>
      <c r="AN146">
        <v>2.522794100199826</v>
      </c>
      <c r="AO146">
        <v>0.74049125979072417</v>
      </c>
      <c r="AP146">
        <v>5.4410570626030674</v>
      </c>
      <c r="AQ146">
        <v>1.252010781015269</v>
      </c>
      <c r="AR146">
        <v>1.2661404922022479</v>
      </c>
      <c r="AS146">
        <v>0.39941146394703542</v>
      </c>
      <c r="AT146">
        <v>4.634898325195536</v>
      </c>
      <c r="AU146">
        <v>3.4406112527824009</v>
      </c>
      <c r="AW146">
        <v>0.1078131179907359</v>
      </c>
      <c r="AY146">
        <v>0.73119115074207697</v>
      </c>
    </row>
    <row r="147" spans="1:51" x14ac:dyDescent="0.3">
      <c r="A147">
        <v>11</v>
      </c>
      <c r="B147" t="s">
        <v>194</v>
      </c>
      <c r="C147" t="s">
        <v>189</v>
      </c>
      <c r="D147" t="s">
        <v>190</v>
      </c>
      <c r="F147" s="7">
        <v>0</v>
      </c>
      <c r="G147" s="7">
        <v>1</v>
      </c>
      <c r="H147" s="3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7004788.7999999998</v>
      </c>
      <c r="O147">
        <v>7011472</v>
      </c>
      <c r="P147">
        <v>18198348.600000001</v>
      </c>
      <c r="Q147">
        <v>12681823.4</v>
      </c>
      <c r="R147">
        <v>13410366</v>
      </c>
      <c r="S147">
        <v>10823299.4</v>
      </c>
      <c r="T147">
        <v>4777285.4000000004</v>
      </c>
      <c r="U147">
        <v>4233921</v>
      </c>
      <c r="V147">
        <v>24823075.199999999</v>
      </c>
      <c r="W147">
        <v>15155715.4</v>
      </c>
      <c r="Y147">
        <v>3.2208034515962942</v>
      </c>
      <c r="Z147">
        <v>4.8296012162696567</v>
      </c>
      <c r="AA147">
        <v>4.778643969458062</v>
      </c>
      <c r="AB147">
        <v>6.7064948769984767</v>
      </c>
      <c r="AC147">
        <v>4.8401796830032264</v>
      </c>
      <c r="AD147">
        <v>9.0947676728130311</v>
      </c>
      <c r="AE147">
        <v>7.3645090944366531</v>
      </c>
      <c r="AF147">
        <v>2.4405846679816019</v>
      </c>
      <c r="AG147">
        <v>2.547056629578583</v>
      </c>
      <c r="AH147">
        <v>8.2373385057901025</v>
      </c>
      <c r="AI147">
        <v>8.4335987040190954</v>
      </c>
      <c r="AK147">
        <v>3.2208034515962942</v>
      </c>
      <c r="AL147">
        <v>1.1909619910293261</v>
      </c>
      <c r="AM147">
        <v>1.176897501386702</v>
      </c>
      <c r="AN147">
        <v>6.7064948769984767</v>
      </c>
      <c r="AO147">
        <v>1.4350274719967271</v>
      </c>
      <c r="AP147">
        <v>9.0947676728130311</v>
      </c>
      <c r="AQ147">
        <v>1.8473865845939139</v>
      </c>
      <c r="AR147">
        <v>1.381198426382616</v>
      </c>
      <c r="AS147">
        <v>0.44915723780868583</v>
      </c>
      <c r="AT147">
        <v>8.2373385057901025</v>
      </c>
      <c r="AU147">
        <v>4.9987951265648007</v>
      </c>
      <c r="AW147">
        <v>0.11401289020432161</v>
      </c>
      <c r="AY147">
        <v>0.73119115074207697</v>
      </c>
    </row>
    <row r="148" spans="1:51" x14ac:dyDescent="0.3">
      <c r="A148">
        <v>11</v>
      </c>
      <c r="B148" t="s">
        <v>195</v>
      </c>
      <c r="C148" t="s">
        <v>189</v>
      </c>
      <c r="D148" t="s">
        <v>190</v>
      </c>
      <c r="F148" s="7">
        <v>0</v>
      </c>
      <c r="G148" s="7">
        <v>0</v>
      </c>
      <c r="H148" s="3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7715843.4000000004</v>
      </c>
      <c r="O148">
        <v>7737996.5999999996</v>
      </c>
      <c r="P148">
        <v>3704771.6</v>
      </c>
      <c r="Q148">
        <v>8855078.8000000007</v>
      </c>
      <c r="R148">
        <v>3937534.6</v>
      </c>
      <c r="S148">
        <v>11924376.800000001</v>
      </c>
      <c r="T148">
        <v>4043405.6</v>
      </c>
      <c r="U148">
        <v>3667532</v>
      </c>
      <c r="V148">
        <v>4720950</v>
      </c>
      <c r="W148">
        <v>9058968.5999999996</v>
      </c>
      <c r="Y148">
        <v>2.1027519630035392</v>
      </c>
      <c r="Z148">
        <v>6.1220672758761792</v>
      </c>
      <c r="AA148">
        <v>6.0968717270065103</v>
      </c>
      <c r="AB148">
        <v>4.0794720428006261</v>
      </c>
      <c r="AC148">
        <v>8.4592256936099144</v>
      </c>
      <c r="AD148">
        <v>4.30475692198379</v>
      </c>
      <c r="AE148">
        <v>10.772920015803541</v>
      </c>
      <c r="AF148">
        <v>1.832196075399406</v>
      </c>
      <c r="AG148">
        <v>2.118731439625845</v>
      </c>
      <c r="AH148">
        <v>4.5683047650032673</v>
      </c>
      <c r="AI148">
        <v>8.4863035003771081</v>
      </c>
      <c r="AK148">
        <v>2.1027519630035392</v>
      </c>
      <c r="AL148">
        <v>1.570006907579955</v>
      </c>
      <c r="AM148">
        <v>1.5801409818232059</v>
      </c>
      <c r="AN148">
        <v>4.0794720428006261</v>
      </c>
      <c r="AO148">
        <v>2.00367706559482</v>
      </c>
      <c r="AP148">
        <v>4.30475692198379</v>
      </c>
      <c r="AQ148">
        <v>2.5097537786234172</v>
      </c>
      <c r="AR148">
        <v>1.0975742502021599</v>
      </c>
      <c r="AS148">
        <v>0.37769973960239428</v>
      </c>
      <c r="AT148">
        <v>4.5683047650032673</v>
      </c>
      <c r="AU148">
        <v>4.9226843541720884</v>
      </c>
      <c r="AW148">
        <v>0.11208341299789019</v>
      </c>
      <c r="AY148">
        <v>0.52827928052760553</v>
      </c>
    </row>
    <row r="149" spans="1:51" x14ac:dyDescent="0.3">
      <c r="A149">
        <v>11</v>
      </c>
      <c r="B149" t="s">
        <v>196</v>
      </c>
      <c r="C149" t="s">
        <v>189</v>
      </c>
      <c r="D149" t="s">
        <v>190</v>
      </c>
      <c r="F149" s="7">
        <v>0</v>
      </c>
      <c r="G149" s="7">
        <v>0</v>
      </c>
      <c r="H149" s="3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218368.2</v>
      </c>
      <c r="O149">
        <v>218328.8</v>
      </c>
      <c r="P149">
        <v>201888.4</v>
      </c>
      <c r="Q149">
        <v>201589.8</v>
      </c>
      <c r="R149">
        <v>1083</v>
      </c>
      <c r="S149">
        <v>2408.1999999999998</v>
      </c>
      <c r="T149">
        <v>4281782</v>
      </c>
      <c r="U149">
        <v>3500465.2</v>
      </c>
      <c r="V149">
        <v>6643.6</v>
      </c>
      <c r="W149">
        <v>10494.8</v>
      </c>
      <c r="Y149">
        <v>0.3764552152249962</v>
      </c>
      <c r="Z149">
        <v>0.46058753536781288</v>
      </c>
      <c r="AA149">
        <v>0.45851969699142497</v>
      </c>
      <c r="AB149">
        <v>0.41106077759468462</v>
      </c>
      <c r="AC149">
        <v>0.44152387219655792</v>
      </c>
      <c r="AD149">
        <v>9.8822513979393928E-2</v>
      </c>
      <c r="AE149">
        <v>0.1958476535626687</v>
      </c>
      <c r="AF149">
        <v>2.0502780850045381</v>
      </c>
      <c r="AG149">
        <v>1.9741178643191231</v>
      </c>
      <c r="AH149">
        <v>3.479676299029958E-2</v>
      </c>
      <c r="AI149">
        <v>0.18186892744852221</v>
      </c>
      <c r="AK149">
        <v>0.3764552152249962</v>
      </c>
      <c r="AL149">
        <v>0.18217103957431391</v>
      </c>
      <c r="AM149">
        <v>0.18262560960138211</v>
      </c>
      <c r="AN149">
        <v>0.41106077759468462</v>
      </c>
      <c r="AO149">
        <v>0.1693193059996701</v>
      </c>
      <c r="AP149">
        <v>9.8822513979393928E-2</v>
      </c>
      <c r="AQ149">
        <v>0.12731206598691641</v>
      </c>
      <c r="AR149">
        <v>1.153630173800047</v>
      </c>
      <c r="AS149">
        <v>0.34737823918694632</v>
      </c>
      <c r="AT149">
        <v>3.479676299029958E-2</v>
      </c>
      <c r="AU149">
        <v>0.1474587496137246</v>
      </c>
      <c r="AW149">
        <v>0.1103828351828269</v>
      </c>
      <c r="AY149">
        <v>-0.9796837136361054</v>
      </c>
    </row>
    <row r="150" spans="1:51" x14ac:dyDescent="0.3">
      <c r="A150">
        <v>11</v>
      </c>
      <c r="B150" t="s">
        <v>197</v>
      </c>
      <c r="C150" t="s">
        <v>189</v>
      </c>
      <c r="D150" t="s">
        <v>190</v>
      </c>
      <c r="F150" s="7">
        <v>0</v>
      </c>
      <c r="G150" s="7">
        <v>1</v>
      </c>
      <c r="H150" s="3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1593077.6</v>
      </c>
      <c r="O150">
        <v>1605924.4</v>
      </c>
      <c r="P150">
        <v>13007666</v>
      </c>
      <c r="Q150">
        <v>4265465.8</v>
      </c>
      <c r="R150">
        <v>2577124.7999999998</v>
      </c>
      <c r="S150">
        <v>1273558.6000000001</v>
      </c>
      <c r="T150">
        <v>4515810.5999999996</v>
      </c>
      <c r="U150">
        <v>4009016.6</v>
      </c>
      <c r="V150">
        <v>9548549.1999999993</v>
      </c>
      <c r="W150">
        <v>2427207.7999999998</v>
      </c>
      <c r="Y150">
        <v>1.9218223388073969</v>
      </c>
      <c r="Z150">
        <v>1.4425328743993311</v>
      </c>
      <c r="AA150">
        <v>1.43380256817909</v>
      </c>
      <c r="AB150">
        <v>8.5020367752003949</v>
      </c>
      <c r="AC150">
        <v>3.0120313292078209</v>
      </c>
      <c r="AD150">
        <v>2.6186500351876019</v>
      </c>
      <c r="AE150">
        <v>1.547117434232496</v>
      </c>
      <c r="AF150">
        <v>2.2948639518115672</v>
      </c>
      <c r="AG150">
        <v>2.4261272774077951</v>
      </c>
      <c r="AH150">
        <v>5.7041757619939748</v>
      </c>
      <c r="AI150">
        <v>2.8727703413926071</v>
      </c>
      <c r="AK150">
        <v>1.9218223388073969</v>
      </c>
      <c r="AL150">
        <v>0.40739561299560589</v>
      </c>
      <c r="AM150">
        <v>0.40623481558868663</v>
      </c>
      <c r="AN150">
        <v>8.5020367752003949</v>
      </c>
      <c r="AO150">
        <v>0.82606866920250466</v>
      </c>
      <c r="AP150">
        <v>2.6186500351876019</v>
      </c>
      <c r="AQ150">
        <v>0.43994828661670909</v>
      </c>
      <c r="AR150">
        <v>1.3363807368208649</v>
      </c>
      <c r="AS150">
        <v>0.41105469320900739</v>
      </c>
      <c r="AT150">
        <v>5.7041757619939748</v>
      </c>
      <c r="AU150">
        <v>1.240816229791381</v>
      </c>
      <c r="AW150">
        <v>0.1147817607969045</v>
      </c>
      <c r="AY150">
        <v>-0.2797867176335771</v>
      </c>
    </row>
    <row r="151" spans="1:51" x14ac:dyDescent="0.3">
      <c r="A151">
        <v>12</v>
      </c>
      <c r="B151" t="s">
        <v>198</v>
      </c>
      <c r="C151" t="s">
        <v>199</v>
      </c>
      <c r="D151" t="s">
        <v>200</v>
      </c>
      <c r="F151" s="7">
        <v>0</v>
      </c>
      <c r="G151" s="7">
        <v>0</v>
      </c>
      <c r="H151" s="3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745774</v>
      </c>
      <c r="O151">
        <v>747101.8</v>
      </c>
      <c r="P151">
        <v>2794601</v>
      </c>
      <c r="Q151">
        <v>288303.59999999998</v>
      </c>
      <c r="R151">
        <v>6701116.2000000002</v>
      </c>
      <c r="S151">
        <v>205519.2</v>
      </c>
      <c r="T151">
        <v>2911592.8</v>
      </c>
      <c r="U151">
        <v>2263900.7999999998</v>
      </c>
      <c r="V151">
        <v>2600042.6</v>
      </c>
      <c r="W151">
        <v>388855.6</v>
      </c>
      <c r="Y151">
        <v>1.9166275877971199</v>
      </c>
      <c r="Z151">
        <v>0.97867814839119094</v>
      </c>
      <c r="AA151">
        <v>0.96590726623544465</v>
      </c>
      <c r="AB151">
        <v>2.0428187216020892</v>
      </c>
      <c r="AC151">
        <v>0.75009113241685554</v>
      </c>
      <c r="AD151">
        <v>4.2084425961831586</v>
      </c>
      <c r="AE151">
        <v>0.77284938218072052</v>
      </c>
      <c r="AF151">
        <v>0.61895208099158483</v>
      </c>
      <c r="AG151">
        <v>0.97095613052370022</v>
      </c>
      <c r="AH151">
        <v>3.275141313578934</v>
      </c>
      <c r="AI151">
        <v>1.8396950334310529</v>
      </c>
      <c r="AK151">
        <v>1.9166275877971199</v>
      </c>
      <c r="AL151">
        <v>0.49315393879078329</v>
      </c>
      <c r="AM151">
        <v>0.48863433898659431</v>
      </c>
      <c r="AN151">
        <v>2.0428187216020892</v>
      </c>
      <c r="AO151">
        <v>0.4380201936030062</v>
      </c>
      <c r="AP151">
        <v>4.2084425961831586</v>
      </c>
      <c r="AQ151">
        <v>0.48271005316637461</v>
      </c>
      <c r="AR151">
        <v>0.35565311779500908</v>
      </c>
      <c r="AS151">
        <v>0.43843708556378258</v>
      </c>
      <c r="AT151">
        <v>3.275141313578934</v>
      </c>
      <c r="AU151">
        <v>0.77245465338928621</v>
      </c>
      <c r="AW151">
        <v>0.3730360193876549</v>
      </c>
      <c r="AY151">
        <v>0.11677992058879989</v>
      </c>
    </row>
    <row r="152" spans="1:51" x14ac:dyDescent="0.3">
      <c r="A152">
        <v>12</v>
      </c>
      <c r="B152" t="s">
        <v>201</v>
      </c>
      <c r="C152" t="s">
        <v>199</v>
      </c>
      <c r="D152" t="s">
        <v>200</v>
      </c>
      <c r="F152" s="7">
        <v>0</v>
      </c>
      <c r="G152" s="7">
        <v>1</v>
      </c>
      <c r="H152" s="3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261290.2</v>
      </c>
      <c r="O152">
        <v>261304.2</v>
      </c>
      <c r="P152">
        <v>200002.8</v>
      </c>
      <c r="Q152">
        <v>204429.8</v>
      </c>
      <c r="R152">
        <v>12</v>
      </c>
      <c r="S152">
        <v>6545.6</v>
      </c>
      <c r="T152">
        <v>2908702.6</v>
      </c>
      <c r="U152">
        <v>2257798.6</v>
      </c>
      <c r="V152">
        <v>494.8</v>
      </c>
      <c r="W152">
        <v>52297.8</v>
      </c>
      <c r="Y152">
        <v>0.26195029838709161</v>
      </c>
      <c r="Z152">
        <v>0.70078424517996607</v>
      </c>
      <c r="AA152">
        <v>0.69020028999075289</v>
      </c>
      <c r="AB152">
        <v>0.27102487159718291</v>
      </c>
      <c r="AC152">
        <v>0.6216878487961367</v>
      </c>
      <c r="AD152">
        <v>9.5532429800368801E-2</v>
      </c>
      <c r="AE152">
        <v>0.47623308114707469</v>
      </c>
      <c r="AF152">
        <v>0.62090192799223587</v>
      </c>
      <c r="AG152">
        <v>0.98375377344200388</v>
      </c>
      <c r="AH152">
        <v>5.9428520034997996E-3</v>
      </c>
      <c r="AI152">
        <v>0.6474368413793854</v>
      </c>
      <c r="AK152">
        <v>0.26195029838709161</v>
      </c>
      <c r="AL152">
        <v>0.44984651140402998</v>
      </c>
      <c r="AM152">
        <v>0.43735152859007931</v>
      </c>
      <c r="AN152">
        <v>0.27102487159718291</v>
      </c>
      <c r="AO152">
        <v>0.3973434422019636</v>
      </c>
      <c r="AP152">
        <v>9.5532429800368801E-2</v>
      </c>
      <c r="AQ152">
        <v>0.40208140795584768</v>
      </c>
      <c r="AR152">
        <v>0.36232046580407767</v>
      </c>
      <c r="AS152">
        <v>0.44833124203141778</v>
      </c>
      <c r="AT152">
        <v>5.9428520034997996E-3</v>
      </c>
      <c r="AU152">
        <v>0.45339675461873408</v>
      </c>
      <c r="AW152">
        <v>0.38701215879991652</v>
      </c>
      <c r="AY152">
        <v>-0.11677992058879989</v>
      </c>
    </row>
    <row r="153" spans="1:51" x14ac:dyDescent="0.3">
      <c r="A153">
        <v>12</v>
      </c>
      <c r="B153" t="s">
        <v>202</v>
      </c>
      <c r="C153" t="s">
        <v>199</v>
      </c>
      <c r="D153" t="s">
        <v>200</v>
      </c>
      <c r="F153" s="7">
        <v>0</v>
      </c>
      <c r="G153" s="7">
        <v>1</v>
      </c>
      <c r="H153" s="3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247129</v>
      </c>
      <c r="O153">
        <v>247174.39999999999</v>
      </c>
      <c r="P153">
        <v>200144.2</v>
      </c>
      <c r="Q153">
        <v>208768.8</v>
      </c>
      <c r="R153">
        <v>308.39999999999998</v>
      </c>
      <c r="S153">
        <v>10557.8</v>
      </c>
      <c r="T153">
        <v>2909734.6</v>
      </c>
      <c r="U153">
        <v>2256138.4</v>
      </c>
      <c r="V153">
        <v>2730.2</v>
      </c>
      <c r="W153">
        <v>45641.2</v>
      </c>
      <c r="Y153">
        <v>0.29351091861026363</v>
      </c>
      <c r="Z153">
        <v>0.71900595580227677</v>
      </c>
      <c r="AA153">
        <v>0.69815885575953873</v>
      </c>
      <c r="AB153">
        <v>0.28920946900325362</v>
      </c>
      <c r="AC153">
        <v>0.62859318139671816</v>
      </c>
      <c r="AD153">
        <v>9.6972238586749818E-2</v>
      </c>
      <c r="AE153">
        <v>0.49468575627543032</v>
      </c>
      <c r="AF153">
        <v>0.62836594738764684</v>
      </c>
      <c r="AG153">
        <v>0.98837060777004804</v>
      </c>
      <c r="AH153">
        <v>1.9853373221121681E-2</v>
      </c>
      <c r="AI153">
        <v>0.61429703917820011</v>
      </c>
      <c r="AK153">
        <v>0.29351091861026363</v>
      </c>
      <c r="AL153">
        <v>0.45446408379357311</v>
      </c>
      <c r="AM153">
        <v>0.44279281683266158</v>
      </c>
      <c r="AN153">
        <v>0.28920946900325362</v>
      </c>
      <c r="AO153">
        <v>0.39360826759366307</v>
      </c>
      <c r="AP153">
        <v>9.6972238586749818E-2</v>
      </c>
      <c r="AQ153">
        <v>0.41573830161942171</v>
      </c>
      <c r="AR153">
        <v>0.35817132898373533</v>
      </c>
      <c r="AS153">
        <v>0.4499104039859958</v>
      </c>
      <c r="AT153">
        <v>1.9853373221121681E-2</v>
      </c>
      <c r="AU153">
        <v>0.45930124142905698</v>
      </c>
      <c r="AW153">
        <v>0.39249445458408438</v>
      </c>
      <c r="AY153">
        <v>-0.11677992058879989</v>
      </c>
    </row>
    <row r="154" spans="1:51" x14ac:dyDescent="0.3">
      <c r="A154">
        <v>12</v>
      </c>
      <c r="B154" t="s">
        <v>203</v>
      </c>
      <c r="C154" t="s">
        <v>199</v>
      </c>
      <c r="D154" t="s">
        <v>200</v>
      </c>
      <c r="F154" s="7">
        <v>0</v>
      </c>
      <c r="G154" s="7">
        <v>0</v>
      </c>
      <c r="H154" s="3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748662.2</v>
      </c>
      <c r="O154">
        <v>750556</v>
      </c>
      <c r="P154">
        <v>5993733.5999999996</v>
      </c>
      <c r="Q154">
        <v>386904.4</v>
      </c>
      <c r="R154">
        <v>5685799</v>
      </c>
      <c r="S154">
        <v>264447.8</v>
      </c>
      <c r="T154">
        <v>2912351</v>
      </c>
      <c r="U154">
        <v>2264866.4</v>
      </c>
      <c r="V154">
        <v>7909143.7999999998</v>
      </c>
      <c r="W154">
        <v>810872.6</v>
      </c>
      <c r="Y154">
        <v>2.0293879054021091</v>
      </c>
      <c r="Z154">
        <v>1.0360676251119001</v>
      </c>
      <c r="AA154">
        <v>1.0173020831774919</v>
      </c>
      <c r="AB154">
        <v>3.4411012519994979</v>
      </c>
      <c r="AC154">
        <v>0.76073343700263651</v>
      </c>
      <c r="AD154">
        <v>4.1801670868066143</v>
      </c>
      <c r="AE154">
        <v>0.85096867925021802</v>
      </c>
      <c r="AF154">
        <v>0.62808797437464814</v>
      </c>
      <c r="AG154">
        <v>0.99967094698222358</v>
      </c>
      <c r="AH154">
        <v>4.3831494751968423</v>
      </c>
      <c r="AI154">
        <v>1.956016581959557</v>
      </c>
      <c r="AK154">
        <v>2.0293879054021091</v>
      </c>
      <c r="AL154">
        <v>0.5374494743649848</v>
      </c>
      <c r="AM154">
        <v>0.53381637157872319</v>
      </c>
      <c r="AN154">
        <v>3.4411012519994979</v>
      </c>
      <c r="AO154">
        <v>0.43401400840084542</v>
      </c>
      <c r="AP154">
        <v>4.1801670868066143</v>
      </c>
      <c r="AQ154">
        <v>0.52822292842902241</v>
      </c>
      <c r="AR154">
        <v>0.36676882319152349</v>
      </c>
      <c r="AS154">
        <v>0.46099055300001063</v>
      </c>
      <c r="AT154">
        <v>4.3831494751968423</v>
      </c>
      <c r="AU154">
        <v>0.81046572919003668</v>
      </c>
      <c r="AW154">
        <v>0.39956323938677091</v>
      </c>
      <c r="AY154">
        <v>0.11677992058879989</v>
      </c>
    </row>
    <row r="155" spans="1:51" x14ac:dyDescent="0.3">
      <c r="A155">
        <v>12</v>
      </c>
      <c r="B155" t="s">
        <v>204</v>
      </c>
      <c r="C155" t="s">
        <v>205</v>
      </c>
      <c r="D155" t="s">
        <v>206</v>
      </c>
      <c r="F155" s="7">
        <v>0</v>
      </c>
      <c r="G155" s="7">
        <v>0</v>
      </c>
      <c r="H155" s="3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4566707</v>
      </c>
      <c r="O155">
        <v>4612716.4000000004</v>
      </c>
      <c r="P155">
        <v>8213772.5999999996</v>
      </c>
      <c r="Q155">
        <v>2329041.2000000002</v>
      </c>
      <c r="R155">
        <v>19778838.399999999</v>
      </c>
      <c r="S155">
        <v>5528524</v>
      </c>
      <c r="T155">
        <v>9385951</v>
      </c>
      <c r="U155">
        <v>6375573.2000000002</v>
      </c>
      <c r="V155">
        <v>8593867.5999999996</v>
      </c>
      <c r="W155">
        <v>3771575.6</v>
      </c>
      <c r="Y155">
        <v>5.5091500642010942</v>
      </c>
      <c r="Z155">
        <v>3.4299891403759828</v>
      </c>
      <c r="AA155">
        <v>3.4258606930030511</v>
      </c>
      <c r="AB155">
        <v>5.304592183197383</v>
      </c>
      <c r="AC155">
        <v>2.432002305213246</v>
      </c>
      <c r="AD155">
        <v>10.72673899920192</v>
      </c>
      <c r="AE155">
        <v>3.9877951729693448</v>
      </c>
      <c r="AF155">
        <v>5.7508723702165296</v>
      </c>
      <c r="AG155">
        <v>4.3318736029788854</v>
      </c>
      <c r="AH155">
        <v>5.0214734335779214</v>
      </c>
      <c r="AI155">
        <v>5.0311773777822966</v>
      </c>
      <c r="AK155">
        <v>5.5091500642010942</v>
      </c>
      <c r="AL155">
        <v>1.1323085551615799</v>
      </c>
      <c r="AM155">
        <v>1.150154286809266</v>
      </c>
      <c r="AN155">
        <v>5.304592183197383</v>
      </c>
      <c r="AO155">
        <v>0.87805210580117998</v>
      </c>
      <c r="AP155">
        <v>10.72673899920192</v>
      </c>
      <c r="AQ155">
        <v>1.2335012221941719</v>
      </c>
      <c r="AR155">
        <v>3.9393466792185792</v>
      </c>
      <c r="AS155">
        <v>0.74839358860626815</v>
      </c>
      <c r="AT155">
        <v>5.0214734335779214</v>
      </c>
      <c r="AU155">
        <v>3.128367116802838</v>
      </c>
      <c r="AW155">
        <v>0.33001992419594889</v>
      </c>
      <c r="AY155">
        <v>-0.27155101777919988</v>
      </c>
    </row>
    <row r="156" spans="1:51" x14ac:dyDescent="0.3">
      <c r="A156">
        <v>12</v>
      </c>
      <c r="B156" t="s">
        <v>207</v>
      </c>
      <c r="C156" t="s">
        <v>205</v>
      </c>
      <c r="D156" t="s">
        <v>206</v>
      </c>
      <c r="F156" s="7">
        <v>0</v>
      </c>
      <c r="G156" s="7">
        <v>1</v>
      </c>
      <c r="H156" s="3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382412.6</v>
      </c>
      <c r="O156">
        <v>383244</v>
      </c>
      <c r="P156">
        <v>1415030</v>
      </c>
      <c r="Q156">
        <v>289388.79999999999</v>
      </c>
      <c r="R156">
        <v>629964.6</v>
      </c>
      <c r="S156">
        <v>47819.6</v>
      </c>
      <c r="T156">
        <v>3016530.6</v>
      </c>
      <c r="U156">
        <v>2660707.2000000002</v>
      </c>
      <c r="V156">
        <v>2673065.6</v>
      </c>
      <c r="W156">
        <v>237740.79999999999</v>
      </c>
      <c r="Y156">
        <v>0.68347782139899205</v>
      </c>
      <c r="Z156">
        <v>0.82150856563821439</v>
      </c>
      <c r="AA156">
        <v>0.82393746561137959</v>
      </c>
      <c r="AB156">
        <v>1.742830776999472</v>
      </c>
      <c r="AC156">
        <v>0.81074607260234188</v>
      </c>
      <c r="AD156">
        <v>0.95886188200674949</v>
      </c>
      <c r="AE156">
        <v>0.49634579147677871</v>
      </c>
      <c r="AF156">
        <v>0.93553933624643837</v>
      </c>
      <c r="AG156">
        <v>1.5030676488764581</v>
      </c>
      <c r="AH156">
        <v>3.4299597740056931</v>
      </c>
      <c r="AI156">
        <v>0.96955506736412644</v>
      </c>
      <c r="AK156">
        <v>0.68347782139899205</v>
      </c>
      <c r="AL156">
        <v>0.42969039760064331</v>
      </c>
      <c r="AM156">
        <v>0.43278943400364372</v>
      </c>
      <c r="AN156">
        <v>1.742830776999472</v>
      </c>
      <c r="AO156">
        <v>0.4196300392068224</v>
      </c>
      <c r="AP156">
        <v>0.95886188200674949</v>
      </c>
      <c r="AQ156">
        <v>0.37738370379665859</v>
      </c>
      <c r="AR156">
        <v>0.58809537085471675</v>
      </c>
      <c r="AS156">
        <v>0.44152490281267093</v>
      </c>
      <c r="AT156">
        <v>3.4299597740056931</v>
      </c>
      <c r="AU156">
        <v>0.63414969180012126</v>
      </c>
      <c r="AW156">
        <v>0.33483966041821989</v>
      </c>
      <c r="AY156">
        <v>-0.3215046279167999</v>
      </c>
    </row>
    <row r="157" spans="1:51" x14ac:dyDescent="0.3">
      <c r="A157">
        <v>12</v>
      </c>
      <c r="B157" t="s">
        <v>208</v>
      </c>
      <c r="C157" t="s">
        <v>205</v>
      </c>
      <c r="D157" t="s">
        <v>206</v>
      </c>
      <c r="F157" s="7">
        <v>0</v>
      </c>
      <c r="G157" s="7">
        <v>1</v>
      </c>
      <c r="H157" s="3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658422.6</v>
      </c>
      <c r="O157">
        <v>657888.80000000005</v>
      </c>
      <c r="P157">
        <v>910521</v>
      </c>
      <c r="Q157">
        <v>280770.2</v>
      </c>
      <c r="R157">
        <v>838831.6</v>
      </c>
      <c r="S157">
        <v>241764.6</v>
      </c>
      <c r="T157">
        <v>3125131.4</v>
      </c>
      <c r="U157">
        <v>2785490.2</v>
      </c>
      <c r="V157">
        <v>1858875.6</v>
      </c>
      <c r="W157">
        <v>966532.8</v>
      </c>
      <c r="Y157">
        <v>0.8308364740107208</v>
      </c>
      <c r="Z157">
        <v>1.0902208202052861</v>
      </c>
      <c r="AA157">
        <v>1.102803821431007</v>
      </c>
      <c r="AB157">
        <v>1.0112821998045549</v>
      </c>
      <c r="AC157">
        <v>0.86159977680654265</v>
      </c>
      <c r="AD157">
        <v>1.206193615566008</v>
      </c>
      <c r="AE157">
        <v>0.79714261974440892</v>
      </c>
      <c r="AF157">
        <v>1.059622114419472</v>
      </c>
      <c r="AG157">
        <v>1.657292989443522</v>
      </c>
      <c r="AH157">
        <v>3.1515591628034598</v>
      </c>
      <c r="AI157">
        <v>1.9008373968419621</v>
      </c>
      <c r="AK157">
        <v>0.8308364740107208</v>
      </c>
      <c r="AL157">
        <v>0.50723909462103622</v>
      </c>
      <c r="AM157">
        <v>0.5162052394240163</v>
      </c>
      <c r="AN157">
        <v>1.0112821998045549</v>
      </c>
      <c r="AO157">
        <v>0.42412640920083511</v>
      </c>
      <c r="AP157">
        <v>1.206193615566008</v>
      </c>
      <c r="AQ157">
        <v>0.47276658300543212</v>
      </c>
      <c r="AR157">
        <v>0.64554713600082325</v>
      </c>
      <c r="AS157">
        <v>0.46502786382334299</v>
      </c>
      <c r="AT157">
        <v>3.1515591628034598</v>
      </c>
      <c r="AU157">
        <v>0.91594038502080366</v>
      </c>
      <c r="AW157">
        <v>0.3552167521906085</v>
      </c>
      <c r="AY157">
        <v>0.1028834721792001</v>
      </c>
    </row>
    <row r="158" spans="1:51" x14ac:dyDescent="0.3">
      <c r="A158">
        <v>12</v>
      </c>
      <c r="B158" t="s">
        <v>209</v>
      </c>
      <c r="C158" t="s">
        <v>205</v>
      </c>
      <c r="D158" t="s">
        <v>206</v>
      </c>
      <c r="F158" s="7">
        <v>0</v>
      </c>
      <c r="G158" s="7">
        <v>0</v>
      </c>
      <c r="H158" s="3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4680197.2</v>
      </c>
      <c r="O158">
        <v>4728532.2</v>
      </c>
      <c r="P158">
        <v>10277063.199999999</v>
      </c>
      <c r="Q158">
        <v>2101696.2000000002</v>
      </c>
      <c r="R158">
        <v>15865753</v>
      </c>
      <c r="S158">
        <v>5083849.2</v>
      </c>
      <c r="T158">
        <v>9444111</v>
      </c>
      <c r="U158">
        <v>6439119</v>
      </c>
      <c r="V158">
        <v>10692161.6</v>
      </c>
      <c r="W158">
        <v>3887902.2</v>
      </c>
      <c r="Y158">
        <v>5.8522755502024664</v>
      </c>
      <c r="Z158">
        <v>3.5803618383943099</v>
      </c>
      <c r="AA158">
        <v>3.6089015663601458</v>
      </c>
      <c r="AB158">
        <v>7.6903914324007916</v>
      </c>
      <c r="AC158">
        <v>2.270594206015812</v>
      </c>
      <c r="AD158">
        <v>11.411742815212349</v>
      </c>
      <c r="AE158">
        <v>4.3987166277831422</v>
      </c>
      <c r="AF158">
        <v>5.9026511034113351</v>
      </c>
      <c r="AG158">
        <v>4.4681346767931247</v>
      </c>
      <c r="AH158">
        <v>5.952056715602521</v>
      </c>
      <c r="AI158">
        <v>5.1632303480175326</v>
      </c>
      <c r="AK158">
        <v>5.8522755502024664</v>
      </c>
      <c r="AL158">
        <v>1.1786964134196749</v>
      </c>
      <c r="AM158">
        <v>1.201034447166603</v>
      </c>
      <c r="AN158">
        <v>7.6903914324007916</v>
      </c>
      <c r="AO158">
        <v>0.83977004000626043</v>
      </c>
      <c r="AP158">
        <v>11.411742815212349</v>
      </c>
      <c r="AQ158">
        <v>1.398497378022876</v>
      </c>
      <c r="AR158">
        <v>4.047171231801622</v>
      </c>
      <c r="AS158">
        <v>0.77206573300063608</v>
      </c>
      <c r="AT158">
        <v>5.952056715602521</v>
      </c>
      <c r="AU158">
        <v>3.2379158642143011</v>
      </c>
      <c r="AW158">
        <v>0.34745820600073779</v>
      </c>
      <c r="AY158">
        <v>0.49017217351679959</v>
      </c>
    </row>
    <row r="159" spans="1:51" x14ac:dyDescent="0.3">
      <c r="A159">
        <v>12</v>
      </c>
      <c r="B159" t="s">
        <v>210</v>
      </c>
      <c r="C159" t="s">
        <v>205</v>
      </c>
      <c r="D159" t="s">
        <v>206</v>
      </c>
      <c r="F159" s="7">
        <v>0</v>
      </c>
      <c r="G159" s="7">
        <v>1</v>
      </c>
      <c r="H159" s="3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4582916.4000000004</v>
      </c>
      <c r="O159">
        <v>4684344.5999999996</v>
      </c>
      <c r="P159">
        <v>14509706.199999999</v>
      </c>
      <c r="Q159">
        <v>1720415</v>
      </c>
      <c r="R159">
        <v>9623035</v>
      </c>
      <c r="S159">
        <v>4857017.2</v>
      </c>
      <c r="T159">
        <v>9388318.8000000007</v>
      </c>
      <c r="U159">
        <v>6389090.5999999996</v>
      </c>
      <c r="V159">
        <v>9349243.1999999993</v>
      </c>
      <c r="W159">
        <v>3422985.8</v>
      </c>
      <c r="Y159">
        <v>6.1700233414070684</v>
      </c>
      <c r="Z159">
        <v>3.536234782019164</v>
      </c>
      <c r="AA159">
        <v>3.5729405679740012</v>
      </c>
      <c r="AB159">
        <v>10.42595190979773</v>
      </c>
      <c r="AC159">
        <v>2.0547725997836102</v>
      </c>
      <c r="AD159">
        <v>7.7160666692070663</v>
      </c>
      <c r="AE159">
        <v>3.7407963095582089</v>
      </c>
      <c r="AF159">
        <v>5.8899914375855591</v>
      </c>
      <c r="AG159">
        <v>4.4567404980538416</v>
      </c>
      <c r="AH159">
        <v>5.596330696798395</v>
      </c>
      <c r="AI159">
        <v>4.8446669099852446</v>
      </c>
      <c r="AK159">
        <v>6.1700233414070684</v>
      </c>
      <c r="AL159">
        <v>1.1810175114078449</v>
      </c>
      <c r="AM159">
        <v>1.230349427787587</v>
      </c>
      <c r="AN159">
        <v>10.42595190979773</v>
      </c>
      <c r="AO159">
        <v>0.80322784839372618</v>
      </c>
      <c r="AP159">
        <v>7.7160666692070663</v>
      </c>
      <c r="AQ159">
        <v>1.1783032828127029</v>
      </c>
      <c r="AR159">
        <v>4.0416909527848466</v>
      </c>
      <c r="AS159">
        <v>0.76271806115983054</v>
      </c>
      <c r="AT159">
        <v>5.596330696798395</v>
      </c>
      <c r="AU159">
        <v>3.0284814075916069</v>
      </c>
      <c r="AW159">
        <v>0.34333824161440141</v>
      </c>
      <c r="AY159">
        <v>0.49017217351679959</v>
      </c>
    </row>
    <row r="160" spans="1:51" x14ac:dyDescent="0.3">
      <c r="A160">
        <v>12</v>
      </c>
      <c r="B160" t="s">
        <v>211</v>
      </c>
      <c r="C160" t="s">
        <v>205</v>
      </c>
      <c r="D160" t="s">
        <v>206</v>
      </c>
      <c r="F160" s="7">
        <v>0</v>
      </c>
      <c r="G160" s="7">
        <v>0</v>
      </c>
      <c r="H160" s="3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451148.4</v>
      </c>
      <c r="O160">
        <v>451447.8</v>
      </c>
      <c r="P160">
        <v>463118.8</v>
      </c>
      <c r="Q160">
        <v>377472.2</v>
      </c>
      <c r="R160">
        <v>99494</v>
      </c>
      <c r="S160">
        <v>152363.79999999999</v>
      </c>
      <c r="T160">
        <v>3012197.6</v>
      </c>
      <c r="U160">
        <v>2664316.6</v>
      </c>
      <c r="V160">
        <v>160465.20000000001</v>
      </c>
      <c r="W160">
        <v>473907.20000000001</v>
      </c>
      <c r="Y160">
        <v>0.46580724579980598</v>
      </c>
      <c r="Z160">
        <v>0.91679358979454262</v>
      </c>
      <c r="AA160">
        <v>0.9104197161854245</v>
      </c>
      <c r="AB160">
        <v>0.70423498900199777</v>
      </c>
      <c r="AC160">
        <v>0.90731165361357857</v>
      </c>
      <c r="AD160">
        <v>0.27961044160183518</v>
      </c>
      <c r="AE160">
        <v>0.64639703941065818</v>
      </c>
      <c r="AF160">
        <v>0.97631599000887948</v>
      </c>
      <c r="AG160">
        <v>1.5674170364509341</v>
      </c>
      <c r="AH160">
        <v>0.61186671036994089</v>
      </c>
      <c r="AI160">
        <v>1.344462970015593</v>
      </c>
      <c r="AK160">
        <v>0.46580724579980598</v>
      </c>
      <c r="AL160">
        <v>0.45934106160420918</v>
      </c>
      <c r="AM160">
        <v>0.45800565279787409</v>
      </c>
      <c r="AN160">
        <v>0.70423498900199777</v>
      </c>
      <c r="AO160">
        <v>0.45071215340285559</v>
      </c>
      <c r="AP160">
        <v>0.27961044160183518</v>
      </c>
      <c r="AQ160">
        <v>0.46880616059061142</v>
      </c>
      <c r="AR160">
        <v>0.61030921780038627</v>
      </c>
      <c r="AS160">
        <v>0.45261984874960037</v>
      </c>
      <c r="AT160">
        <v>0.61186671036994089</v>
      </c>
      <c r="AU160">
        <v>0.69435312501154844</v>
      </c>
      <c r="AW160">
        <v>0.34828147978987539</v>
      </c>
      <c r="AY160">
        <v>0.1028834721792001</v>
      </c>
    </row>
    <row r="161" spans="1:51" x14ac:dyDescent="0.3">
      <c r="A161">
        <v>12</v>
      </c>
      <c r="B161" t="s">
        <v>212</v>
      </c>
      <c r="C161" t="s">
        <v>205</v>
      </c>
      <c r="D161" t="s">
        <v>206</v>
      </c>
      <c r="F161" s="7">
        <v>0</v>
      </c>
      <c r="G161" s="7">
        <v>0</v>
      </c>
      <c r="H161" s="3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503795.8</v>
      </c>
      <c r="O161">
        <v>505200</v>
      </c>
      <c r="P161">
        <v>1662851.2</v>
      </c>
      <c r="Q161">
        <v>237080.2</v>
      </c>
      <c r="R161">
        <v>296466.59999999998</v>
      </c>
      <c r="S161">
        <v>67563.199999999997</v>
      </c>
      <c r="T161">
        <v>3129437</v>
      </c>
      <c r="U161">
        <v>2775878.6</v>
      </c>
      <c r="V161">
        <v>1262862</v>
      </c>
      <c r="W161">
        <v>446097.2</v>
      </c>
      <c r="Y161">
        <v>0.77678691379260267</v>
      </c>
      <c r="Z161">
        <v>0.97572916839271784</v>
      </c>
      <c r="AA161">
        <v>0.96751387917902321</v>
      </c>
      <c r="AB161">
        <v>1.9391792557988079</v>
      </c>
      <c r="AC161">
        <v>0.80819819641765211</v>
      </c>
      <c r="AD161">
        <v>0.57708333098562437</v>
      </c>
      <c r="AE161">
        <v>0.54820414419518781</v>
      </c>
      <c r="AF161">
        <v>1.1019283973728311</v>
      </c>
      <c r="AG161">
        <v>1.682701373298187</v>
      </c>
      <c r="AH161">
        <v>2.8753310950240119</v>
      </c>
      <c r="AI161">
        <v>1.264518740773201</v>
      </c>
      <c r="AK161">
        <v>0.77678691379260267</v>
      </c>
      <c r="AL161">
        <v>0.47339496059576047</v>
      </c>
      <c r="AM161">
        <v>0.46409781218972063</v>
      </c>
      <c r="AN161">
        <v>1.9391792557988079</v>
      </c>
      <c r="AO161">
        <v>0.41855234340182512</v>
      </c>
      <c r="AP161">
        <v>0.57708333098562437</v>
      </c>
      <c r="AQ161">
        <v>0.40322191760642462</v>
      </c>
      <c r="AR161">
        <v>0.66683192497584964</v>
      </c>
      <c r="AS161">
        <v>0.46730108320480213</v>
      </c>
      <c r="AT161">
        <v>2.8753310950240119</v>
      </c>
      <c r="AU161">
        <v>0.68771961557213213</v>
      </c>
      <c r="AW161">
        <v>0.35418246737681319</v>
      </c>
      <c r="AY161">
        <v>-0.3215046279167999</v>
      </c>
    </row>
    <row r="162" spans="1:51" x14ac:dyDescent="0.3">
      <c r="A162">
        <v>12</v>
      </c>
      <c r="B162" t="s">
        <v>213</v>
      </c>
      <c r="C162" t="s">
        <v>205</v>
      </c>
      <c r="D162" t="s">
        <v>206</v>
      </c>
      <c r="F162" s="7">
        <v>0</v>
      </c>
      <c r="G162" s="7">
        <v>1</v>
      </c>
      <c r="H162" s="3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4571756.4000000004</v>
      </c>
      <c r="O162">
        <v>4676105.4000000004</v>
      </c>
      <c r="P162">
        <v>18313333.399999999</v>
      </c>
      <c r="Q162">
        <v>2134872.6</v>
      </c>
      <c r="R162">
        <v>9876058.5999999996</v>
      </c>
      <c r="S162">
        <v>4439149.5999999996</v>
      </c>
      <c r="T162">
        <v>9453028.1999999993</v>
      </c>
      <c r="U162">
        <v>6416550</v>
      </c>
      <c r="V162">
        <v>10764021.800000001</v>
      </c>
      <c r="W162">
        <v>3477250.4</v>
      </c>
      <c r="Y162">
        <v>6.7679427088005468</v>
      </c>
      <c r="Z162">
        <v>3.6607622709707361</v>
      </c>
      <c r="AA162">
        <v>3.6954576876363721</v>
      </c>
      <c r="AB162">
        <v>11.926315327195329</v>
      </c>
      <c r="AC162">
        <v>2.2739149006083612</v>
      </c>
      <c r="AD162">
        <v>7.7026615959824998</v>
      </c>
      <c r="AE162">
        <v>4.1734692689962687</v>
      </c>
      <c r="AF162">
        <v>6.0664399284170942</v>
      </c>
      <c r="AG162">
        <v>4.5623388469452042</v>
      </c>
      <c r="AH162">
        <v>5.604095003986731</v>
      </c>
      <c r="AI162">
        <v>4.8963437476428222</v>
      </c>
      <c r="AK162">
        <v>6.7679427088005468</v>
      </c>
      <c r="AL162">
        <v>1.201209032977931</v>
      </c>
      <c r="AM162">
        <v>1.244546841224655</v>
      </c>
      <c r="AN162">
        <v>11.926315327195329</v>
      </c>
      <c r="AO162">
        <v>0.90103680480096959</v>
      </c>
      <c r="AP162">
        <v>7.7026615959824998</v>
      </c>
      <c r="AQ162">
        <v>1.307238835585304</v>
      </c>
      <c r="AR162">
        <v>4.1582310048281217</v>
      </c>
      <c r="AS162">
        <v>0.7965759430197068</v>
      </c>
      <c r="AT162">
        <v>5.604095003986731</v>
      </c>
      <c r="AU162">
        <v>3.0885223364224661</v>
      </c>
      <c r="AW162">
        <v>0.35714180158684028</v>
      </c>
      <c r="AY162">
        <v>-0.27155101777919988</v>
      </c>
    </row>
    <row r="163" spans="1:51" x14ac:dyDescent="0.3">
      <c r="F163" s="7"/>
      <c r="G163" s="7"/>
      <c r="H163" s="3"/>
    </row>
    <row r="164" spans="1:51" x14ac:dyDescent="0.3">
      <c r="F164" s="7"/>
      <c r="G164" s="7"/>
      <c r="H164" s="3"/>
    </row>
    <row r="165" spans="1:51" x14ac:dyDescent="0.3">
      <c r="F165" s="7"/>
      <c r="G165" s="7"/>
      <c r="H165" s="3"/>
    </row>
    <row r="166" spans="1:51" x14ac:dyDescent="0.3">
      <c r="F166" s="7"/>
      <c r="G166" s="7"/>
      <c r="H166" s="3"/>
    </row>
    <row r="167" spans="1:51" x14ac:dyDescent="0.3">
      <c r="F167" s="7"/>
      <c r="G167" s="7"/>
      <c r="H167" s="3"/>
    </row>
    <row r="168" spans="1:51" x14ac:dyDescent="0.3">
      <c r="F168" s="7"/>
      <c r="G168" s="7"/>
      <c r="H168" s="3"/>
    </row>
    <row r="169" spans="1:51" x14ac:dyDescent="0.3">
      <c r="F169" s="7"/>
      <c r="G169" s="7"/>
      <c r="H169" s="3"/>
    </row>
    <row r="170" spans="1:51" x14ac:dyDescent="0.3">
      <c r="F170" s="7"/>
      <c r="G170" s="7"/>
      <c r="H170" s="3"/>
    </row>
    <row r="171" spans="1:51" x14ac:dyDescent="0.3">
      <c r="F171" s="7"/>
      <c r="G171" s="7"/>
      <c r="H171" s="3"/>
    </row>
    <row r="172" spans="1:51" x14ac:dyDescent="0.3">
      <c r="F172" s="7"/>
      <c r="G172" s="7"/>
      <c r="H172" s="3"/>
    </row>
    <row r="173" spans="1:51" x14ac:dyDescent="0.3">
      <c r="F173" s="7"/>
      <c r="G173" s="7"/>
      <c r="H173" s="3"/>
    </row>
    <row r="174" spans="1:51" x14ac:dyDescent="0.3">
      <c r="F174" s="7"/>
      <c r="G174" s="7"/>
      <c r="H174" s="3"/>
    </row>
    <row r="175" spans="1:51" x14ac:dyDescent="0.3">
      <c r="F175" s="7"/>
      <c r="G175" s="7"/>
      <c r="H175" s="3"/>
    </row>
    <row r="176" spans="1:51" x14ac:dyDescent="0.3">
      <c r="F176" s="7"/>
      <c r="G176" s="7"/>
      <c r="H176" s="3"/>
    </row>
    <row r="177" spans="6:8" x14ac:dyDescent="0.3">
      <c r="F177" s="7"/>
      <c r="G177" s="7"/>
      <c r="H177" s="3"/>
    </row>
    <row r="178" spans="6:8" x14ac:dyDescent="0.3">
      <c r="F178" s="7"/>
      <c r="G178" s="7"/>
      <c r="H178" s="3"/>
    </row>
    <row r="179" spans="6:8" x14ac:dyDescent="0.3">
      <c r="F179" s="7"/>
      <c r="G179" s="7"/>
      <c r="H179" s="3"/>
    </row>
    <row r="180" spans="6:8" x14ac:dyDescent="0.3">
      <c r="F180" s="7"/>
      <c r="G180" s="7"/>
      <c r="H180" s="3"/>
    </row>
    <row r="181" spans="6:8" x14ac:dyDescent="0.3">
      <c r="F181" s="7"/>
      <c r="G181" s="7"/>
      <c r="H181" s="3"/>
    </row>
    <row r="182" spans="6:8" x14ac:dyDescent="0.3">
      <c r="F182" s="7"/>
      <c r="G182" s="7"/>
      <c r="H182" s="3"/>
    </row>
    <row r="183" spans="6:8" x14ac:dyDescent="0.3">
      <c r="F183" s="7"/>
      <c r="G183" s="7"/>
      <c r="H183" s="3"/>
    </row>
    <row r="184" spans="6:8" x14ac:dyDescent="0.3">
      <c r="F184" s="7"/>
      <c r="G184" s="7"/>
      <c r="H184" s="3"/>
    </row>
    <row r="185" spans="6:8" x14ac:dyDescent="0.3">
      <c r="F185" s="7"/>
      <c r="G185" s="7"/>
      <c r="H185" s="3"/>
    </row>
    <row r="186" spans="6:8" x14ac:dyDescent="0.3">
      <c r="F186" s="7"/>
      <c r="G186" s="7"/>
      <c r="H186" s="3"/>
    </row>
    <row r="187" spans="6:8" x14ac:dyDescent="0.3">
      <c r="F187" s="7"/>
      <c r="G187" s="7"/>
      <c r="H187" s="3"/>
    </row>
    <row r="188" spans="6:8" x14ac:dyDescent="0.3">
      <c r="F188" s="7"/>
      <c r="G188" s="7"/>
      <c r="H188" s="3"/>
    </row>
    <row r="189" spans="6:8" x14ac:dyDescent="0.3">
      <c r="F189" s="7"/>
      <c r="G189" s="7"/>
      <c r="H189" s="3"/>
    </row>
    <row r="190" spans="6:8" x14ac:dyDescent="0.3">
      <c r="F190" s="7"/>
      <c r="G190" s="7"/>
      <c r="H190" s="3"/>
    </row>
    <row r="191" spans="6:8" x14ac:dyDescent="0.3">
      <c r="F191" s="7"/>
      <c r="G191" s="7"/>
      <c r="H191" s="3"/>
    </row>
    <row r="192" spans="6:8" x14ac:dyDescent="0.3">
      <c r="F192" s="7"/>
      <c r="G192" s="7"/>
      <c r="H192" s="3"/>
    </row>
    <row r="193" spans="6:8" x14ac:dyDescent="0.3">
      <c r="F193" s="7"/>
      <c r="G193" s="7"/>
      <c r="H193" s="3"/>
    </row>
    <row r="194" spans="6:8" x14ac:dyDescent="0.3">
      <c r="F194" s="7"/>
      <c r="G194" s="7"/>
      <c r="H194" s="3"/>
    </row>
    <row r="195" spans="6:8" x14ac:dyDescent="0.3">
      <c r="F195" s="7"/>
      <c r="G195" s="7"/>
      <c r="H195" s="3"/>
    </row>
    <row r="196" spans="6:8" x14ac:dyDescent="0.3">
      <c r="F196" s="7"/>
      <c r="G196" s="7"/>
      <c r="H196" s="3"/>
    </row>
    <row r="197" spans="6:8" x14ac:dyDescent="0.3">
      <c r="F197" s="7"/>
      <c r="G197" s="7"/>
      <c r="H197" s="3"/>
    </row>
    <row r="198" spans="6:8" x14ac:dyDescent="0.3">
      <c r="F198" s="7"/>
      <c r="G198" s="7"/>
      <c r="H198" s="3"/>
    </row>
    <row r="199" spans="6:8" x14ac:dyDescent="0.3">
      <c r="F199" s="7"/>
      <c r="G199" s="7"/>
      <c r="H199" s="3"/>
    </row>
    <row r="200" spans="6:8" x14ac:dyDescent="0.3">
      <c r="F200" s="7"/>
      <c r="G200" s="7"/>
      <c r="H200" s="3"/>
    </row>
    <row r="201" spans="6:8" x14ac:dyDescent="0.3">
      <c r="F201" s="7"/>
      <c r="G201" s="7"/>
      <c r="H201" s="3"/>
    </row>
    <row r="202" spans="6:8" x14ac:dyDescent="0.3">
      <c r="F202" s="7"/>
      <c r="G202" s="7"/>
      <c r="H202" s="3"/>
    </row>
    <row r="203" spans="6:8" x14ac:dyDescent="0.3">
      <c r="F203" s="7"/>
      <c r="G203" s="7"/>
      <c r="H203" s="3"/>
    </row>
    <row r="204" spans="6:8" x14ac:dyDescent="0.3">
      <c r="F204" s="7"/>
      <c r="G204" s="7"/>
      <c r="H204" s="3"/>
    </row>
    <row r="205" spans="6:8" x14ac:dyDescent="0.3">
      <c r="F205" s="7"/>
      <c r="G205" s="7"/>
      <c r="H205" s="3"/>
    </row>
    <row r="206" spans="6:8" x14ac:dyDescent="0.3">
      <c r="F206" s="7"/>
      <c r="G206" s="7"/>
      <c r="H206" s="3"/>
    </row>
    <row r="207" spans="6:8" x14ac:dyDescent="0.3">
      <c r="F207" s="7"/>
      <c r="G207" s="7"/>
      <c r="H207" s="3"/>
    </row>
    <row r="208" spans="6:8" x14ac:dyDescent="0.3">
      <c r="F208" s="7"/>
      <c r="G208" s="7"/>
      <c r="H208" s="3"/>
    </row>
    <row r="209" spans="6:8" x14ac:dyDescent="0.3">
      <c r="F209" s="7"/>
      <c r="G209" s="7"/>
      <c r="H209" s="3"/>
    </row>
    <row r="210" spans="6:8" x14ac:dyDescent="0.3">
      <c r="F210" s="7"/>
      <c r="G210" s="7"/>
      <c r="H210" s="3"/>
    </row>
    <row r="211" spans="6:8" x14ac:dyDescent="0.3">
      <c r="F211" s="7"/>
      <c r="G211" s="7"/>
      <c r="H211" s="3"/>
    </row>
    <row r="212" spans="6:8" x14ac:dyDescent="0.3">
      <c r="F212" s="7"/>
      <c r="G212" s="7"/>
      <c r="H212" s="3"/>
    </row>
    <row r="213" spans="6:8" x14ac:dyDescent="0.3">
      <c r="F213" s="7"/>
      <c r="G213" s="7"/>
      <c r="H213" s="3"/>
    </row>
    <row r="214" spans="6:8" x14ac:dyDescent="0.3">
      <c r="F214" s="7"/>
      <c r="G214" s="7"/>
      <c r="H214" s="3"/>
    </row>
    <row r="215" spans="6:8" x14ac:dyDescent="0.3">
      <c r="F215" s="7"/>
      <c r="G215" s="7"/>
      <c r="H215" s="3"/>
    </row>
    <row r="216" spans="6:8" x14ac:dyDescent="0.3">
      <c r="F216" s="7"/>
      <c r="G216" s="7"/>
      <c r="H216" s="3"/>
    </row>
    <row r="217" spans="6:8" x14ac:dyDescent="0.3">
      <c r="F217" s="7"/>
      <c r="G217" s="7"/>
      <c r="H217" s="3"/>
    </row>
    <row r="218" spans="6:8" x14ac:dyDescent="0.3">
      <c r="F218" s="7"/>
      <c r="G218" s="7"/>
      <c r="H218" s="3"/>
    </row>
    <row r="219" spans="6:8" x14ac:dyDescent="0.3">
      <c r="F219" s="7"/>
      <c r="G219" s="7"/>
      <c r="H219" s="3"/>
    </row>
    <row r="220" spans="6:8" x14ac:dyDescent="0.3">
      <c r="F220" s="7"/>
      <c r="G220" s="7"/>
      <c r="H220" s="3"/>
    </row>
    <row r="221" spans="6:8" x14ac:dyDescent="0.3">
      <c r="F221" s="7"/>
      <c r="G221" s="7"/>
      <c r="H221" s="3"/>
    </row>
    <row r="222" spans="6:8" x14ac:dyDescent="0.3">
      <c r="F222" s="7"/>
      <c r="G222" s="7"/>
      <c r="H222" s="3"/>
    </row>
    <row r="223" spans="6:8" x14ac:dyDescent="0.3">
      <c r="F223" s="7"/>
      <c r="G223" s="7"/>
      <c r="H223" s="3"/>
    </row>
    <row r="224" spans="6:8" x14ac:dyDescent="0.3">
      <c r="F224" s="7"/>
      <c r="G224" s="7"/>
      <c r="H224" s="3"/>
    </row>
    <row r="225" spans="6:8" x14ac:dyDescent="0.3">
      <c r="F225" s="7"/>
      <c r="G225" s="7"/>
      <c r="H225" s="3"/>
    </row>
    <row r="226" spans="6:8" x14ac:dyDescent="0.3">
      <c r="F226" s="7"/>
      <c r="G226" s="7"/>
      <c r="H226" s="3"/>
    </row>
    <row r="227" spans="6:8" x14ac:dyDescent="0.3">
      <c r="F227" s="7"/>
      <c r="G227" s="7"/>
      <c r="H227" s="3"/>
    </row>
    <row r="228" spans="6:8" x14ac:dyDescent="0.3">
      <c r="F228" s="7"/>
      <c r="G228" s="7"/>
      <c r="H228" s="3"/>
    </row>
    <row r="229" spans="6:8" x14ac:dyDescent="0.3">
      <c r="F229" s="7"/>
      <c r="G229" s="7"/>
      <c r="H229" s="3"/>
    </row>
    <row r="230" spans="6:8" x14ac:dyDescent="0.3">
      <c r="F230" s="7"/>
      <c r="G230" s="7"/>
      <c r="H230" s="3"/>
    </row>
    <row r="231" spans="6:8" x14ac:dyDescent="0.3">
      <c r="F231" s="7"/>
      <c r="G231" s="7"/>
      <c r="H231" s="3"/>
    </row>
    <row r="232" spans="6:8" x14ac:dyDescent="0.3">
      <c r="F232" s="7"/>
      <c r="G232" s="7"/>
      <c r="H232" s="3"/>
    </row>
    <row r="233" spans="6:8" x14ac:dyDescent="0.3">
      <c r="F233" s="7"/>
      <c r="G233" s="7"/>
      <c r="H233" s="3"/>
    </row>
    <row r="234" spans="6:8" x14ac:dyDescent="0.3">
      <c r="F234" s="7"/>
      <c r="G234" s="7"/>
      <c r="H234" s="3"/>
    </row>
    <row r="235" spans="6:8" x14ac:dyDescent="0.3">
      <c r="F235" s="7"/>
      <c r="G235" s="7"/>
      <c r="H235" s="3"/>
    </row>
    <row r="236" spans="6:8" x14ac:dyDescent="0.3">
      <c r="F236" s="7"/>
      <c r="G236" s="7"/>
      <c r="H236" s="3"/>
    </row>
    <row r="237" spans="6:8" x14ac:dyDescent="0.3">
      <c r="F237" s="7"/>
      <c r="G237" s="7"/>
      <c r="H237" s="3"/>
    </row>
    <row r="238" spans="6:8" x14ac:dyDescent="0.3">
      <c r="F238" s="7"/>
      <c r="G238" s="7"/>
      <c r="H238" s="3"/>
    </row>
    <row r="239" spans="6:8" x14ac:dyDescent="0.3">
      <c r="F239" s="7"/>
      <c r="G239" s="7"/>
      <c r="H239" s="3"/>
    </row>
    <row r="240" spans="6:8" x14ac:dyDescent="0.3">
      <c r="F240" s="7"/>
      <c r="G240" s="7"/>
      <c r="H240" s="3"/>
    </row>
    <row r="241" spans="6:8" x14ac:dyDescent="0.3">
      <c r="F241" s="7"/>
      <c r="G241" s="7"/>
      <c r="H241" s="3"/>
    </row>
    <row r="242" spans="6:8" x14ac:dyDescent="0.3">
      <c r="F242" s="7"/>
      <c r="G242" s="7"/>
      <c r="H242" s="3"/>
    </row>
    <row r="243" spans="6:8" x14ac:dyDescent="0.3">
      <c r="F243" s="7"/>
      <c r="G243" s="7"/>
      <c r="H243" s="3"/>
    </row>
    <row r="244" spans="6:8" x14ac:dyDescent="0.3">
      <c r="F244" s="7"/>
      <c r="G244" s="7"/>
      <c r="H244" s="3"/>
    </row>
    <row r="245" spans="6:8" x14ac:dyDescent="0.3">
      <c r="F245" s="7"/>
      <c r="G245" s="7"/>
      <c r="H245" s="3"/>
    </row>
    <row r="246" spans="6:8" x14ac:dyDescent="0.3">
      <c r="F246" s="7"/>
      <c r="G246" s="7"/>
      <c r="H246" s="3"/>
    </row>
    <row r="247" spans="6:8" x14ac:dyDescent="0.3">
      <c r="F247" s="7"/>
      <c r="G247" s="7"/>
      <c r="H247" s="3"/>
    </row>
    <row r="248" spans="6:8" x14ac:dyDescent="0.3">
      <c r="F248" s="7"/>
      <c r="G248" s="7"/>
      <c r="H248" s="3"/>
    </row>
    <row r="249" spans="6:8" x14ac:dyDescent="0.3">
      <c r="F249" s="7"/>
      <c r="G249" s="7"/>
      <c r="H249" s="3"/>
    </row>
    <row r="250" spans="6:8" x14ac:dyDescent="0.3">
      <c r="F250" s="7"/>
      <c r="G250" s="7"/>
      <c r="H250" s="3"/>
    </row>
    <row r="251" spans="6:8" x14ac:dyDescent="0.3">
      <c r="F251" s="7"/>
      <c r="G251" s="7"/>
      <c r="H251" s="3"/>
    </row>
    <row r="252" spans="6:8" x14ac:dyDescent="0.3">
      <c r="F252" s="7"/>
      <c r="G252" s="7"/>
      <c r="H252" s="3"/>
    </row>
    <row r="253" spans="6:8" x14ac:dyDescent="0.3">
      <c r="F253" s="7"/>
      <c r="G253" s="7"/>
      <c r="H253" s="3"/>
    </row>
    <row r="254" spans="6:8" x14ac:dyDescent="0.3">
      <c r="F254" s="7"/>
      <c r="G254" s="7"/>
      <c r="H254" s="3"/>
    </row>
    <row r="255" spans="6:8" x14ac:dyDescent="0.3">
      <c r="F255" s="7"/>
      <c r="G255" s="7"/>
      <c r="H255" s="3"/>
    </row>
    <row r="256" spans="6:8" x14ac:dyDescent="0.3">
      <c r="F256" s="7"/>
      <c r="G256" s="7"/>
      <c r="H256" s="3"/>
    </row>
    <row r="257" spans="6:8" x14ac:dyDescent="0.3">
      <c r="F257" s="7"/>
      <c r="G257" s="7"/>
      <c r="H257" s="3"/>
    </row>
    <row r="258" spans="6:8" x14ac:dyDescent="0.3">
      <c r="F258" s="7"/>
      <c r="G258" s="7"/>
      <c r="H258" s="3"/>
    </row>
    <row r="259" spans="6:8" x14ac:dyDescent="0.3">
      <c r="F259" s="7"/>
      <c r="G259" s="7"/>
      <c r="H259" s="3"/>
    </row>
    <row r="260" spans="6:8" x14ac:dyDescent="0.3">
      <c r="F260" s="7"/>
      <c r="G260" s="7"/>
      <c r="H260" s="3"/>
    </row>
    <row r="261" spans="6:8" x14ac:dyDescent="0.3">
      <c r="F261" s="7"/>
      <c r="G261" s="7"/>
      <c r="H261" s="3"/>
    </row>
    <row r="262" spans="6:8" x14ac:dyDescent="0.3">
      <c r="F262" s="7"/>
      <c r="G262" s="7"/>
      <c r="H262" s="3"/>
    </row>
    <row r="263" spans="6:8" x14ac:dyDescent="0.3">
      <c r="F263" s="7"/>
      <c r="G263" s="7"/>
      <c r="H263" s="3"/>
    </row>
    <row r="264" spans="6:8" x14ac:dyDescent="0.3">
      <c r="F264" s="7"/>
      <c r="G264" s="7"/>
      <c r="H264" s="3"/>
    </row>
    <row r="265" spans="6:8" x14ac:dyDescent="0.3">
      <c r="F265" s="7"/>
      <c r="G265" s="7"/>
      <c r="H265" s="3"/>
    </row>
    <row r="266" spans="6:8" x14ac:dyDescent="0.3">
      <c r="F266" s="7"/>
      <c r="G266" s="7"/>
      <c r="H266" s="3"/>
    </row>
    <row r="267" spans="6:8" x14ac:dyDescent="0.3">
      <c r="F267" s="7"/>
      <c r="G267" s="7"/>
      <c r="H267" s="3"/>
    </row>
    <row r="268" spans="6:8" x14ac:dyDescent="0.3">
      <c r="F268" s="7"/>
      <c r="G268" s="7"/>
      <c r="H268" s="3"/>
    </row>
    <row r="269" spans="6:8" x14ac:dyDescent="0.3">
      <c r="F269" s="7"/>
      <c r="G269" s="7"/>
      <c r="H269" s="3"/>
    </row>
    <row r="270" spans="6:8" x14ac:dyDescent="0.3">
      <c r="F270" s="7"/>
      <c r="G270" s="7"/>
      <c r="H270" s="3"/>
    </row>
    <row r="271" spans="6:8" x14ac:dyDescent="0.3">
      <c r="F271" s="7"/>
      <c r="G271" s="7"/>
      <c r="H271" s="3"/>
    </row>
    <row r="272" spans="6:8" x14ac:dyDescent="0.3">
      <c r="F272" s="7"/>
      <c r="G272" s="7"/>
      <c r="H272" s="3"/>
    </row>
    <row r="273" spans="6:8" x14ac:dyDescent="0.3">
      <c r="F273" s="7"/>
      <c r="G273" s="7"/>
      <c r="H273" s="3"/>
    </row>
    <row r="274" spans="6:8" x14ac:dyDescent="0.3">
      <c r="F274" s="7"/>
      <c r="G274" s="7"/>
      <c r="H274" s="3"/>
    </row>
    <row r="275" spans="6:8" x14ac:dyDescent="0.3">
      <c r="F275" s="7"/>
      <c r="G275" s="7"/>
      <c r="H275" s="3"/>
    </row>
    <row r="276" spans="6:8" x14ac:dyDescent="0.3">
      <c r="F276" s="7"/>
      <c r="G276" s="7"/>
      <c r="H276" s="3"/>
    </row>
    <row r="277" spans="6:8" x14ac:dyDescent="0.3">
      <c r="F277" s="7"/>
      <c r="G277" s="7"/>
      <c r="H277" s="3"/>
    </row>
    <row r="278" spans="6:8" x14ac:dyDescent="0.3">
      <c r="F278" s="7"/>
      <c r="G278" s="7"/>
      <c r="H278" s="3"/>
    </row>
    <row r="279" spans="6:8" x14ac:dyDescent="0.3">
      <c r="F279" s="7"/>
      <c r="G279" s="7"/>
      <c r="H279" s="3"/>
    </row>
    <row r="280" spans="6:8" x14ac:dyDescent="0.3">
      <c r="F280" s="7"/>
      <c r="G280" s="7"/>
      <c r="H280" s="3"/>
    </row>
    <row r="281" spans="6:8" x14ac:dyDescent="0.3">
      <c r="F281" s="7"/>
      <c r="G281" s="7"/>
      <c r="H281" s="3"/>
    </row>
    <row r="282" spans="6:8" x14ac:dyDescent="0.3">
      <c r="F282" s="7"/>
      <c r="G282" s="7"/>
      <c r="H282" s="3"/>
    </row>
    <row r="283" spans="6:8" x14ac:dyDescent="0.3">
      <c r="F283" s="7"/>
      <c r="G283" s="7"/>
      <c r="H283" s="3"/>
    </row>
    <row r="284" spans="6:8" x14ac:dyDescent="0.3">
      <c r="F284" s="7"/>
      <c r="G284" s="7"/>
      <c r="H284" s="3"/>
    </row>
    <row r="285" spans="6:8" x14ac:dyDescent="0.3">
      <c r="F285" s="7"/>
      <c r="G285" s="7"/>
      <c r="H285" s="3"/>
    </row>
    <row r="286" spans="6:8" x14ac:dyDescent="0.3">
      <c r="F286" s="7"/>
      <c r="G286" s="7"/>
      <c r="H286" s="3"/>
    </row>
    <row r="287" spans="6:8" x14ac:dyDescent="0.3">
      <c r="F287" s="7"/>
      <c r="G287" s="7"/>
      <c r="H287" s="3"/>
    </row>
    <row r="288" spans="6:8" x14ac:dyDescent="0.3">
      <c r="F288" s="7"/>
      <c r="G288" s="7"/>
      <c r="H288" s="3"/>
    </row>
    <row r="289" spans="6:8" x14ac:dyDescent="0.3">
      <c r="F289" s="7"/>
      <c r="G289" s="7"/>
      <c r="H289" s="3"/>
    </row>
    <row r="290" spans="6:8" x14ac:dyDescent="0.3">
      <c r="F290" s="7"/>
      <c r="G290" s="7"/>
      <c r="H290" s="3"/>
    </row>
    <row r="291" spans="6:8" x14ac:dyDescent="0.3">
      <c r="F291" s="7"/>
      <c r="G291" s="7"/>
      <c r="H291" s="3"/>
    </row>
    <row r="292" spans="6:8" x14ac:dyDescent="0.3">
      <c r="F292" s="7"/>
      <c r="G292" s="7"/>
      <c r="H292" s="3"/>
    </row>
    <row r="293" spans="6:8" x14ac:dyDescent="0.3">
      <c r="F293" s="7"/>
      <c r="G293" s="7"/>
      <c r="H293" s="3"/>
    </row>
    <row r="294" spans="6:8" x14ac:dyDescent="0.3">
      <c r="F294" s="7"/>
      <c r="G294" s="7"/>
      <c r="H294" s="3"/>
    </row>
    <row r="295" spans="6:8" x14ac:dyDescent="0.3">
      <c r="F295" s="7"/>
      <c r="G295" s="7"/>
      <c r="H295" s="3"/>
    </row>
    <row r="296" spans="6:8" x14ac:dyDescent="0.3">
      <c r="F296" s="7"/>
      <c r="G296" s="7"/>
      <c r="H296" s="3"/>
    </row>
    <row r="297" spans="6:8" x14ac:dyDescent="0.3">
      <c r="F297" s="7"/>
      <c r="G297" s="7"/>
      <c r="H297" s="3"/>
    </row>
    <row r="298" spans="6:8" x14ac:dyDescent="0.3">
      <c r="F298" s="7"/>
      <c r="G298" s="7"/>
      <c r="H298" s="3"/>
    </row>
    <row r="299" spans="6:8" x14ac:dyDescent="0.3">
      <c r="F299" s="7"/>
      <c r="G299" s="7"/>
      <c r="H299" s="3"/>
    </row>
    <row r="300" spans="6:8" x14ac:dyDescent="0.3">
      <c r="F300" s="7"/>
      <c r="G300" s="7"/>
      <c r="H300" s="3"/>
    </row>
    <row r="301" spans="6:8" x14ac:dyDescent="0.3">
      <c r="F301" s="7"/>
      <c r="G301" s="7"/>
      <c r="H301" s="3"/>
    </row>
    <row r="302" spans="6:8" x14ac:dyDescent="0.3">
      <c r="F302" s="7"/>
      <c r="G302" s="7"/>
      <c r="H302" s="3"/>
    </row>
    <row r="303" spans="6:8" x14ac:dyDescent="0.3">
      <c r="F303" s="7"/>
      <c r="G303" s="7"/>
      <c r="H303" s="3"/>
    </row>
    <row r="304" spans="6:8" x14ac:dyDescent="0.3">
      <c r="F304" s="7"/>
      <c r="G304" s="7"/>
      <c r="H304" s="3"/>
    </row>
    <row r="305" spans="6:8" x14ac:dyDescent="0.3">
      <c r="F305" s="7"/>
      <c r="G305" s="7"/>
      <c r="H305" s="3"/>
    </row>
    <row r="306" spans="6:8" x14ac:dyDescent="0.3">
      <c r="F306" s="7"/>
      <c r="G306" s="7"/>
      <c r="H306" s="3"/>
    </row>
    <row r="307" spans="6:8" x14ac:dyDescent="0.3">
      <c r="F307" s="7"/>
      <c r="G307" s="7"/>
      <c r="H307" s="3"/>
    </row>
    <row r="308" spans="6:8" x14ac:dyDescent="0.3">
      <c r="F308" s="7"/>
      <c r="G308" s="7"/>
      <c r="H308" s="3"/>
    </row>
    <row r="309" spans="6:8" x14ac:dyDescent="0.3">
      <c r="F309" s="7"/>
      <c r="G309" s="7"/>
      <c r="H309" s="3"/>
    </row>
    <row r="310" spans="6:8" x14ac:dyDescent="0.3">
      <c r="F310" s="7"/>
      <c r="G310" s="7"/>
      <c r="H310" s="3"/>
    </row>
    <row r="311" spans="6:8" x14ac:dyDescent="0.3">
      <c r="F311" s="7"/>
      <c r="G311" s="7"/>
      <c r="H311" s="3"/>
    </row>
    <row r="312" spans="6:8" x14ac:dyDescent="0.3">
      <c r="F312" s="7"/>
      <c r="G312" s="7"/>
      <c r="H312" s="3"/>
    </row>
    <row r="313" spans="6:8" x14ac:dyDescent="0.3">
      <c r="F313" s="7"/>
      <c r="G313" s="7"/>
      <c r="H313" s="3"/>
    </row>
    <row r="314" spans="6:8" x14ac:dyDescent="0.3">
      <c r="F314" s="7"/>
      <c r="G314" s="7"/>
      <c r="H314" s="3"/>
    </row>
    <row r="315" spans="6:8" x14ac:dyDescent="0.3">
      <c r="F315" s="7"/>
      <c r="G315" s="7"/>
      <c r="H315" s="3"/>
    </row>
    <row r="316" spans="6:8" x14ac:dyDescent="0.3">
      <c r="F316" s="7"/>
      <c r="G316" s="7"/>
      <c r="H316" s="3"/>
    </row>
    <row r="317" spans="6:8" x14ac:dyDescent="0.3">
      <c r="F317" s="7"/>
      <c r="G317" s="7"/>
      <c r="H317" s="3"/>
    </row>
    <row r="318" spans="6:8" x14ac:dyDescent="0.3">
      <c r="F318" s="7"/>
      <c r="G318" s="7"/>
      <c r="H318" s="3"/>
    </row>
    <row r="319" spans="6:8" x14ac:dyDescent="0.3">
      <c r="F319" s="7"/>
      <c r="G319" s="7"/>
      <c r="H319" s="3"/>
    </row>
    <row r="320" spans="6:8" x14ac:dyDescent="0.3">
      <c r="F320" s="7"/>
      <c r="G320" s="7"/>
      <c r="H320" s="3"/>
    </row>
    <row r="321" spans="6:8" x14ac:dyDescent="0.3">
      <c r="F321" s="7"/>
      <c r="G321" s="7"/>
      <c r="H321" s="3"/>
    </row>
    <row r="322" spans="6:8" x14ac:dyDescent="0.3">
      <c r="F322" s="7"/>
      <c r="G322" s="7"/>
      <c r="H322" s="3"/>
    </row>
    <row r="323" spans="6:8" x14ac:dyDescent="0.3">
      <c r="F323" s="7"/>
      <c r="G323" s="7"/>
      <c r="H323" s="3"/>
    </row>
    <row r="324" spans="6:8" x14ac:dyDescent="0.3">
      <c r="F324" s="7"/>
      <c r="G324" s="7"/>
      <c r="H324" s="3"/>
    </row>
    <row r="325" spans="6:8" x14ac:dyDescent="0.3">
      <c r="F325" s="7"/>
      <c r="G325" s="7"/>
      <c r="H325" s="3"/>
    </row>
    <row r="326" spans="6:8" x14ac:dyDescent="0.3">
      <c r="F326" s="7"/>
      <c r="G326" s="7"/>
      <c r="H326" s="3"/>
    </row>
    <row r="327" spans="6:8" x14ac:dyDescent="0.3">
      <c r="F327" s="7"/>
      <c r="G327" s="7"/>
      <c r="H327" s="3"/>
    </row>
    <row r="328" spans="6:8" x14ac:dyDescent="0.3">
      <c r="F328" s="7"/>
      <c r="G328" s="7"/>
      <c r="H328" s="3"/>
    </row>
    <row r="329" spans="6:8" x14ac:dyDescent="0.3">
      <c r="F329" s="7"/>
      <c r="G329" s="7"/>
      <c r="H329" s="3"/>
    </row>
    <row r="330" spans="6:8" x14ac:dyDescent="0.3">
      <c r="F330" s="7"/>
      <c r="G330" s="7"/>
      <c r="H330" s="3"/>
    </row>
    <row r="331" spans="6:8" x14ac:dyDescent="0.3">
      <c r="F331" s="7"/>
      <c r="G331" s="7"/>
      <c r="H331" s="3"/>
    </row>
    <row r="332" spans="6:8" x14ac:dyDescent="0.3">
      <c r="F332" s="7"/>
      <c r="G332" s="7"/>
      <c r="H332" s="3"/>
    </row>
    <row r="333" spans="6:8" x14ac:dyDescent="0.3">
      <c r="F333" s="7"/>
      <c r="G333" s="7"/>
      <c r="H333" s="3"/>
    </row>
    <row r="334" spans="6:8" x14ac:dyDescent="0.3">
      <c r="F334" s="7"/>
      <c r="G334" s="7"/>
      <c r="H334" s="3"/>
    </row>
    <row r="335" spans="6:8" x14ac:dyDescent="0.3">
      <c r="F335" s="7"/>
      <c r="G335" s="7"/>
      <c r="H335" s="3"/>
    </row>
    <row r="336" spans="6:8" x14ac:dyDescent="0.3">
      <c r="F336" s="7"/>
      <c r="G336" s="7"/>
      <c r="H336" s="3"/>
    </row>
    <row r="337" spans="6:8" x14ac:dyDescent="0.3">
      <c r="F337" s="7"/>
      <c r="G337" s="7"/>
      <c r="H337" s="3"/>
    </row>
    <row r="338" spans="6:8" x14ac:dyDescent="0.3">
      <c r="F338" s="7"/>
      <c r="G338" s="7"/>
      <c r="H338" s="3"/>
    </row>
    <row r="339" spans="6:8" x14ac:dyDescent="0.3">
      <c r="F339" s="7"/>
      <c r="G339" s="7"/>
      <c r="H339" s="3"/>
    </row>
    <row r="340" spans="6:8" x14ac:dyDescent="0.3">
      <c r="F340" s="7"/>
      <c r="G340" s="7"/>
      <c r="H340" s="3"/>
    </row>
    <row r="341" spans="6:8" x14ac:dyDescent="0.3">
      <c r="F341" s="7"/>
      <c r="G341" s="7"/>
      <c r="H341" s="3"/>
    </row>
    <row r="342" spans="6:8" x14ac:dyDescent="0.3">
      <c r="F342" s="7"/>
      <c r="G342" s="7"/>
      <c r="H342" s="3"/>
    </row>
    <row r="343" spans="6:8" x14ac:dyDescent="0.3">
      <c r="F343" s="7"/>
      <c r="G343" s="7"/>
      <c r="H343" s="3"/>
    </row>
    <row r="344" spans="6:8" x14ac:dyDescent="0.3">
      <c r="F344" s="7"/>
      <c r="G344" s="7"/>
      <c r="H344" s="3"/>
    </row>
    <row r="345" spans="6:8" x14ac:dyDescent="0.3">
      <c r="F345" s="7"/>
      <c r="G345" s="7"/>
      <c r="H345" s="3"/>
    </row>
    <row r="346" spans="6:8" x14ac:dyDescent="0.3">
      <c r="F346" s="7"/>
      <c r="G346" s="7"/>
      <c r="H346" s="3"/>
    </row>
    <row r="347" spans="6:8" x14ac:dyDescent="0.3">
      <c r="F347" s="7"/>
      <c r="G347" s="7"/>
      <c r="H347" s="3"/>
    </row>
    <row r="348" spans="6:8" x14ac:dyDescent="0.3">
      <c r="F348" s="7"/>
      <c r="G348" s="7"/>
      <c r="H348" s="3"/>
    </row>
    <row r="349" spans="6:8" x14ac:dyDescent="0.3">
      <c r="F349" s="7"/>
      <c r="G349" s="7"/>
      <c r="H349" s="3"/>
    </row>
    <row r="350" spans="6:8" x14ac:dyDescent="0.3">
      <c r="F350" s="7"/>
      <c r="G350" s="7"/>
      <c r="H350" s="3"/>
    </row>
    <row r="351" spans="6:8" x14ac:dyDescent="0.3">
      <c r="F351" s="7"/>
      <c r="G351" s="7"/>
      <c r="H351" s="3"/>
    </row>
    <row r="352" spans="6:8" x14ac:dyDescent="0.3">
      <c r="F352" s="7"/>
      <c r="G352" s="7"/>
      <c r="H352" s="3"/>
    </row>
    <row r="353" spans="6:8" x14ac:dyDescent="0.3">
      <c r="F353" s="7"/>
      <c r="G353" s="7"/>
      <c r="H353" s="3"/>
    </row>
    <row r="354" spans="6:8" x14ac:dyDescent="0.3">
      <c r="F354" s="7"/>
      <c r="G354" s="7"/>
      <c r="H354" s="3"/>
    </row>
    <row r="355" spans="6:8" x14ac:dyDescent="0.3">
      <c r="F355" s="7"/>
      <c r="G355" s="7"/>
      <c r="H355" s="3"/>
    </row>
    <row r="356" spans="6:8" x14ac:dyDescent="0.3">
      <c r="F356" s="7"/>
      <c r="G356" s="7"/>
      <c r="H356" s="3"/>
    </row>
    <row r="357" spans="6:8" x14ac:dyDescent="0.3">
      <c r="F357" s="7"/>
      <c r="G357" s="7"/>
      <c r="H357" s="3"/>
    </row>
    <row r="358" spans="6:8" x14ac:dyDescent="0.3">
      <c r="F358" s="7"/>
      <c r="G358" s="7"/>
      <c r="H358" s="3"/>
    </row>
    <row r="359" spans="6:8" x14ac:dyDescent="0.3">
      <c r="F359" s="7"/>
      <c r="G359" s="7"/>
      <c r="H359" s="3"/>
    </row>
    <row r="360" spans="6:8" x14ac:dyDescent="0.3">
      <c r="F360" s="7"/>
      <c r="G360" s="7"/>
      <c r="H360" s="3"/>
    </row>
    <row r="361" spans="6:8" x14ac:dyDescent="0.3">
      <c r="F361" s="7"/>
      <c r="G361" s="7"/>
      <c r="H361" s="3"/>
    </row>
    <row r="362" spans="6:8" x14ac:dyDescent="0.3">
      <c r="F362" s="7"/>
      <c r="G362" s="7"/>
      <c r="H362" s="3"/>
    </row>
    <row r="363" spans="6:8" x14ac:dyDescent="0.3">
      <c r="F363" s="7"/>
      <c r="G363" s="7"/>
      <c r="H363" s="3"/>
    </row>
    <row r="364" spans="6:8" x14ac:dyDescent="0.3">
      <c r="F364" s="7"/>
      <c r="G364" s="7"/>
      <c r="H364" s="3"/>
    </row>
    <row r="365" spans="6:8" x14ac:dyDescent="0.3">
      <c r="F365" s="7"/>
      <c r="G365" s="7"/>
      <c r="H365" s="3"/>
    </row>
    <row r="366" spans="6:8" x14ac:dyDescent="0.3">
      <c r="F366" s="7"/>
      <c r="G366" s="7"/>
      <c r="H366" s="3"/>
    </row>
    <row r="367" spans="6:8" x14ac:dyDescent="0.3">
      <c r="F367" s="7"/>
      <c r="G367" s="7"/>
      <c r="H367" s="3"/>
    </row>
    <row r="368" spans="6:8" x14ac:dyDescent="0.3">
      <c r="F368" s="7"/>
      <c r="G368" s="7"/>
      <c r="H368" s="3"/>
    </row>
    <row r="369" spans="1:47" x14ac:dyDescent="0.3">
      <c r="F369" s="7"/>
      <c r="G369" s="7"/>
      <c r="H369" s="3"/>
    </row>
    <row r="370" spans="1:47" x14ac:dyDescent="0.3">
      <c r="F370" s="7"/>
      <c r="G370" s="7"/>
      <c r="H370" s="3"/>
    </row>
    <row r="371" spans="1:47" x14ac:dyDescent="0.3">
      <c r="F371" s="7"/>
      <c r="G371" s="7"/>
      <c r="H371" s="3"/>
    </row>
    <row r="372" spans="1:47" x14ac:dyDescent="0.3">
      <c r="F372" s="7"/>
      <c r="G372" s="7"/>
      <c r="H372" s="3"/>
    </row>
    <row r="373" spans="1:47" x14ac:dyDescent="0.3">
      <c r="F373" s="7"/>
      <c r="G373" s="7"/>
      <c r="H373" s="3"/>
    </row>
    <row r="374" spans="1:47" x14ac:dyDescent="0.3">
      <c r="F374" s="7"/>
      <c r="G374" s="7"/>
      <c r="H374" s="3"/>
    </row>
    <row r="375" spans="1:47" x14ac:dyDescent="0.3">
      <c r="F375" s="7"/>
      <c r="G375" s="7"/>
      <c r="H375" s="3"/>
    </row>
    <row r="376" spans="1:47" x14ac:dyDescent="0.3">
      <c r="F376" s="7"/>
      <c r="G376" s="7"/>
      <c r="H376" s="3"/>
    </row>
    <row r="377" spans="1:47" x14ac:dyDescent="0.3">
      <c r="F377" s="7"/>
      <c r="G377" s="7"/>
      <c r="H377" s="3"/>
    </row>
    <row r="378" spans="1:47" x14ac:dyDescent="0.3">
      <c r="F378" s="7"/>
      <c r="G378" s="7"/>
      <c r="H378" s="3"/>
    </row>
    <row r="382" spans="1:47" x14ac:dyDescent="0.3">
      <c r="M382" s="13" t="s">
        <v>0</v>
      </c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Y382" s="13" t="s">
        <v>217</v>
      </c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K382" s="13" t="s">
        <v>2</v>
      </c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</row>
    <row r="383" spans="1:47" x14ac:dyDescent="0.3">
      <c r="F383" s="7" t="s">
        <v>219</v>
      </c>
      <c r="G383" s="7" t="s">
        <v>220</v>
      </c>
      <c r="H383" t="s">
        <v>214</v>
      </c>
      <c r="I383" t="s">
        <v>221</v>
      </c>
      <c r="J383" t="s">
        <v>222</v>
      </c>
      <c r="K383" t="s">
        <v>223</v>
      </c>
      <c r="L383" t="s">
        <v>224</v>
      </c>
      <c r="M383" s="2" t="s">
        <v>4</v>
      </c>
      <c r="N383" s="2" t="s">
        <v>5</v>
      </c>
      <c r="O383" s="2" t="s">
        <v>6</v>
      </c>
      <c r="P383" s="2" t="s">
        <v>7</v>
      </c>
      <c r="Q383" s="2" t="s">
        <v>8</v>
      </c>
      <c r="R383" s="2" t="s">
        <v>11</v>
      </c>
      <c r="S383" s="2" t="s">
        <v>12</v>
      </c>
      <c r="T383" s="2" t="s">
        <v>13</v>
      </c>
      <c r="U383" s="2" t="s">
        <v>14</v>
      </c>
      <c r="V383" s="2" t="s">
        <v>15</v>
      </c>
      <c r="W383" s="2" t="s">
        <v>16</v>
      </c>
      <c r="Y383" s="2" t="s">
        <v>4</v>
      </c>
      <c r="Z383" s="2" t="s">
        <v>5</v>
      </c>
      <c r="AA383" s="2" t="s">
        <v>6</v>
      </c>
      <c r="AB383" s="2" t="s">
        <v>7</v>
      </c>
      <c r="AC383" s="2" t="s">
        <v>8</v>
      </c>
      <c r="AD383" s="2" t="s">
        <v>11</v>
      </c>
      <c r="AE383" s="2" t="s">
        <v>12</v>
      </c>
      <c r="AF383" s="2" t="s">
        <v>13</v>
      </c>
      <c r="AG383" s="2" t="s">
        <v>14</v>
      </c>
      <c r="AH383" s="2" t="s">
        <v>15</v>
      </c>
      <c r="AI383" s="2" t="s">
        <v>16</v>
      </c>
      <c r="AK383" s="2" t="s">
        <v>4</v>
      </c>
      <c r="AL383" s="2" t="s">
        <v>5</v>
      </c>
      <c r="AM383" s="2" t="s">
        <v>6</v>
      </c>
      <c r="AN383" s="2" t="s">
        <v>7</v>
      </c>
      <c r="AO383" s="2" t="s">
        <v>8</v>
      </c>
      <c r="AP383" s="2" t="s">
        <v>11</v>
      </c>
      <c r="AQ383" s="2" t="s">
        <v>12</v>
      </c>
      <c r="AR383" s="2" t="s">
        <v>13</v>
      </c>
      <c r="AS383" s="2" t="s">
        <v>14</v>
      </c>
      <c r="AT383" s="2" t="s">
        <v>15</v>
      </c>
      <c r="AU383" s="2" t="s">
        <v>16</v>
      </c>
    </row>
    <row r="384" spans="1:47" x14ac:dyDescent="0.3">
      <c r="A384">
        <v>21</v>
      </c>
      <c r="B384" t="s">
        <v>18</v>
      </c>
      <c r="C384" t="s">
        <v>19</v>
      </c>
      <c r="D384" t="s">
        <v>20</v>
      </c>
      <c r="F384" s="7">
        <v>0</v>
      </c>
      <c r="G384" s="7">
        <v>0</v>
      </c>
      <c r="H384" s="3">
        <v>1</v>
      </c>
      <c r="I384">
        <f>I3</f>
        <v>1</v>
      </c>
      <c r="J384">
        <f>J3</f>
        <v>0</v>
      </c>
      <c r="K384">
        <v>4</v>
      </c>
      <c r="L384">
        <v>4</v>
      </c>
      <c r="M384">
        <f>IF($AY3 &gt; 0, M3, M3)</f>
        <v>984737.8</v>
      </c>
      <c r="N384">
        <f>IF($AY3 &gt; 0, N3, M3)</f>
        <v>984737.8</v>
      </c>
      <c r="O384">
        <f>IF($AY3 &gt; 0, O3, M3)</f>
        <v>984737.8</v>
      </c>
      <c r="P384">
        <f>IF($AY3 &gt; 0, P3, P3)</f>
        <v>1004122.8</v>
      </c>
      <c r="Q384">
        <f>IF($AY3 &gt; 0, Q3, P3)</f>
        <v>1004122.8</v>
      </c>
      <c r="R384">
        <f>IF($AY3 &gt; 0, R3, R3)</f>
        <v>881239.4</v>
      </c>
      <c r="S384">
        <f>IF($AY3 &gt; 0, S3, R3)</f>
        <v>881239.4</v>
      </c>
      <c r="T384">
        <f>IF($AY3 &gt; 0, T3, T3)</f>
        <v>4185627.2</v>
      </c>
      <c r="U384">
        <f>IF($AY3 &gt; 0, U3, T3)</f>
        <v>4185627.2</v>
      </c>
      <c r="V384">
        <f>IF($AY3 &gt; 0, V3, V3)</f>
        <v>1396199.2</v>
      </c>
      <c r="W384">
        <f>IF($AY3 &gt; 0, W3, V3)</f>
        <v>1396199.2</v>
      </c>
      <c r="Y384">
        <f>IF($AY3 &gt; 0, Y3, Y3)</f>
        <v>1.3528373396024109</v>
      </c>
      <c r="Z384">
        <f>IF($AY3 &gt; 0, Z3, Y3)</f>
        <v>1.3528373396024109</v>
      </c>
      <c r="AA384">
        <f>IF($AY3 &gt; 0, AA3, Y3)</f>
        <v>1.3528373396024109</v>
      </c>
      <c r="AB384">
        <f>IF($AY3 &gt; 0, AB3, AB3)</f>
        <v>1.608503560605459</v>
      </c>
      <c r="AC384">
        <f>IF($AY3 &gt; 0, AC3, AB3)</f>
        <v>1.608503560605459</v>
      </c>
      <c r="AD384">
        <f>IF($AY3 &gt; 0, AD3, AD3)</f>
        <v>1.0889937022002409</v>
      </c>
      <c r="AE384">
        <f>IF($AY3 &gt; 0, AE3, AD3)</f>
        <v>1.0889937022002409</v>
      </c>
      <c r="AF384">
        <f>IF($AY3 &gt; 0, AF3, AF3)</f>
        <v>1.5281491631991231</v>
      </c>
      <c r="AG384">
        <f>IF($AY3 &gt; 0, AG3, AF3)</f>
        <v>1.5281491631991231</v>
      </c>
      <c r="AH384">
        <f>IF($AY3 &gt; 0, AH3, AH3)</f>
        <v>3.040689163608477</v>
      </c>
      <c r="AI384">
        <f>IF($AY3 &gt; 0, AI3, AH3)</f>
        <v>3.040689163608477</v>
      </c>
      <c r="AK384">
        <f>IF($AY3 &gt; 0, AK3, AK3)</f>
        <v>1.3528373396024109</v>
      </c>
      <c r="AL384">
        <f>IF($AY3 &gt; 0, AL3, AK3)</f>
        <v>1.3528373396024109</v>
      </c>
      <c r="AM384">
        <f>IF($AY3 &gt; 0, AM3, AK3)</f>
        <v>1.3528373396024109</v>
      </c>
      <c r="AN384">
        <f>IF($AY3 &gt; 0, AN3, AN3)</f>
        <v>1.608503560605459</v>
      </c>
      <c r="AO384">
        <f>IF($AY3 &gt; 0, AO3, AN3)</f>
        <v>1.608503560605459</v>
      </c>
      <c r="AP384">
        <f>IF($AY3 &gt; 0, AP3, AP3)</f>
        <v>1.0889937022002409</v>
      </c>
      <c r="AQ384">
        <f>IF($AY3 &gt; 0, AQ3, AP3)</f>
        <v>1.0889937022002409</v>
      </c>
      <c r="AR384">
        <f>IF($AY3 &gt; 0, AR3, AR3)</f>
        <v>0.9788533970015123</v>
      </c>
      <c r="AS384">
        <f>IF($AY3 &gt; 0, AS3, AR3)</f>
        <v>0.9788533970015123</v>
      </c>
      <c r="AT384">
        <f>IF($AY3 &gt; 0, AT3, AT3)</f>
        <v>3.040689163608477</v>
      </c>
      <c r="AU384">
        <f>IF($AY3 &gt; 0, AU3, AT3)</f>
        <v>3.040689163608477</v>
      </c>
    </row>
    <row r="385" spans="1:47" x14ac:dyDescent="0.3">
      <c r="A385">
        <v>21</v>
      </c>
      <c r="B385" t="s">
        <v>21</v>
      </c>
      <c r="C385" t="s">
        <v>19</v>
      </c>
      <c r="D385" t="s">
        <v>20</v>
      </c>
      <c r="F385" s="7">
        <v>0</v>
      </c>
      <c r="G385" s="7">
        <v>1</v>
      </c>
      <c r="H385" s="3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9774060</v>
      </c>
      <c r="O385">
        <f t="shared" ref="O385:O448" si="9">IF($AY4 &gt; 0, O4, M4)</f>
        <v>9774060</v>
      </c>
      <c r="P385">
        <f t="shared" ref="P385:P448" si="10">IF($AY4 &gt; 0, P4, P4)</f>
        <v>14747945.4</v>
      </c>
      <c r="Q385">
        <f t="shared" ref="Q385:Q448" si="11">IF($AY4 &gt; 0, Q4, P4)</f>
        <v>14747945.4</v>
      </c>
      <c r="R385">
        <f t="shared" ref="R385:R448" si="12">IF($AY4 &gt; 0, R4, R4)</f>
        <v>16571915</v>
      </c>
      <c r="S385">
        <f t="shared" ref="S385:S448" si="13">IF($AY4 &gt; 0, S4, R4)</f>
        <v>16571915</v>
      </c>
      <c r="T385">
        <f t="shared" ref="T385:T448" si="14">IF($AY4 &gt; 0, T4, T4)</f>
        <v>4907318.2</v>
      </c>
      <c r="U385">
        <f t="shared" ref="U385:U448" si="15">IF($AY4 &gt; 0, U4, T4)</f>
        <v>4907318.2</v>
      </c>
      <c r="V385">
        <f t="shared" ref="V385:V448" si="16">IF($AY4 &gt; 0, V4, V4)</f>
        <v>21091677.399999999</v>
      </c>
      <c r="W385">
        <f t="shared" ref="W385:W448" si="17">IF($AY4 &gt; 0, W4, V4)</f>
        <v>21091677.399999999</v>
      </c>
      <c r="Y385">
        <f t="shared" ref="Y385:Y448" si="18">IF($AY4 &gt; 0, Y4, Y4)</f>
        <v>8.3987103667925105</v>
      </c>
      <c r="Z385">
        <f t="shared" ref="Z385:Z448" si="19">IF($AY4 &gt; 0, Z4, Y4)</f>
        <v>8.3987103667925105</v>
      </c>
      <c r="AA385">
        <f t="shared" ref="AA385:AA448" si="20">IF($AY4 &gt; 0, AA4, Y4)</f>
        <v>8.3987103667925105</v>
      </c>
      <c r="AB385">
        <f t="shared" ref="AB385:AB448" si="21">IF($AY4 &gt; 0, AB4, AB4)</f>
        <v>7.9635833644017113</v>
      </c>
      <c r="AC385">
        <f t="shared" ref="AC385:AC448" si="22">IF($AY4 &gt; 0, AC4, AB4)</f>
        <v>7.9635833644017113</v>
      </c>
      <c r="AD385">
        <f t="shared" ref="AD385:AD448" si="23">IF($AY4 &gt; 0, AD4, AD4)</f>
        <v>11.354685336013789</v>
      </c>
      <c r="AE385">
        <f t="shared" ref="AE385:AE448" si="24">IF($AY4 &gt; 0, AE4, AD4)</f>
        <v>11.354685336013789</v>
      </c>
      <c r="AF385">
        <f t="shared" ref="AF385:AF448" si="25">IF($AY4 &gt; 0, AF4, AF4)</f>
        <v>2.2395781444269232</v>
      </c>
      <c r="AG385">
        <f t="shared" ref="AG385:AG448" si="26">IF($AY4 &gt; 0, AG4, AF4)</f>
        <v>2.2395781444269232</v>
      </c>
      <c r="AH385">
        <f t="shared" ref="AH385:AH448" si="27">IF($AY4 &gt; 0, AH4, AH4)</f>
        <v>8.281184553203639</v>
      </c>
      <c r="AI385">
        <f t="shared" ref="AI385:AI448" si="28">IF($AY4 &gt; 0, AI4, AH4)</f>
        <v>8.281184553203639</v>
      </c>
      <c r="AK385">
        <f t="shared" ref="AK385:AK448" si="29">IF($AY4 &gt; 0, AK4, AK4)</f>
        <v>8.3987103667925105</v>
      </c>
      <c r="AL385">
        <f t="shared" ref="AL385:AL448" si="30">IF($AY4 &gt; 0, AL4, AK4)</f>
        <v>8.3987103667925105</v>
      </c>
      <c r="AM385">
        <f t="shared" ref="AM385:AM448" si="31">IF($AY4 &gt; 0, AM4, AK4)</f>
        <v>8.3987103667925105</v>
      </c>
      <c r="AN385">
        <f t="shared" ref="AN385:AN448" si="32">IF($AY4 &gt; 0, AN4, AN4)</f>
        <v>7.9635833644017113</v>
      </c>
      <c r="AO385">
        <f t="shared" ref="AO385:AO448" si="33">IF($AY4 &gt; 0, AO4, AN4)</f>
        <v>7.9635833644017113</v>
      </c>
      <c r="AP385">
        <f t="shared" ref="AP385:AP448" si="34">IF($AY4 &gt; 0, AP4, AP4)</f>
        <v>11.354685336013789</v>
      </c>
      <c r="AQ385">
        <f t="shared" ref="AQ385:AQ448" si="35">IF($AY4 &gt; 0, AQ4, AP4)</f>
        <v>11.354685336013789</v>
      </c>
      <c r="AR385">
        <f t="shared" ref="AR385:AR448" si="36">IF($AY4 &gt; 0, AR4, AR4)</f>
        <v>1.2717490690294651</v>
      </c>
      <c r="AS385">
        <f t="shared" ref="AS385:AS448" si="37">IF($AY4 &gt; 0, AS4, AR4)</f>
        <v>1.2717490690294651</v>
      </c>
      <c r="AT385">
        <f t="shared" ref="AT385:AT448" si="38">IF($AY4 &gt; 0, AT4, AT4)</f>
        <v>8.281184553203639</v>
      </c>
      <c r="AU385">
        <f t="shared" ref="AU385:AU448" si="39">IF($AY4 &gt; 0, AU4, AT4)</f>
        <v>8.281184553203639</v>
      </c>
    </row>
    <row r="386" spans="1:47" x14ac:dyDescent="0.3">
      <c r="A386">
        <v>21</v>
      </c>
      <c r="B386" t="s">
        <v>22</v>
      </c>
      <c r="C386" t="s">
        <v>19</v>
      </c>
      <c r="D386" t="s">
        <v>20</v>
      </c>
      <c r="F386" s="7">
        <v>0</v>
      </c>
      <c r="G386" s="7">
        <v>1</v>
      </c>
      <c r="H386" s="3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>
        <f t="shared" si="7"/>
        <v>4329316.4000000004</v>
      </c>
      <c r="N386">
        <f t="shared" si="8"/>
        <v>4329316.4000000004</v>
      </c>
      <c r="O386">
        <f t="shared" si="9"/>
        <v>4329316.4000000004</v>
      </c>
      <c r="P386">
        <f t="shared" si="10"/>
        <v>1278792.2</v>
      </c>
      <c r="Q386">
        <f t="shared" si="11"/>
        <v>1278792.2</v>
      </c>
      <c r="R386">
        <f t="shared" si="12"/>
        <v>616378.19999999995</v>
      </c>
      <c r="S386">
        <f t="shared" si="13"/>
        <v>616378.19999999995</v>
      </c>
      <c r="T386">
        <f t="shared" si="14"/>
        <v>4215981.4000000004</v>
      </c>
      <c r="U386">
        <f t="shared" si="15"/>
        <v>4215981.4000000004</v>
      </c>
      <c r="V386">
        <f t="shared" si="16"/>
        <v>2636300</v>
      </c>
      <c r="W386">
        <f t="shared" si="17"/>
        <v>2636300</v>
      </c>
      <c r="Y386">
        <f t="shared" si="18"/>
        <v>3.8965803782106381</v>
      </c>
      <c r="Z386">
        <f t="shared" si="19"/>
        <v>3.8965803782106381</v>
      </c>
      <c r="AA386">
        <f t="shared" si="20"/>
        <v>3.8965803782106381</v>
      </c>
      <c r="AB386">
        <f t="shared" si="21"/>
        <v>2.315118458593497</v>
      </c>
      <c r="AC386">
        <f t="shared" si="22"/>
        <v>2.315118458593497</v>
      </c>
      <c r="AD386">
        <f t="shared" si="23"/>
        <v>1.7500886223861021</v>
      </c>
      <c r="AE386">
        <f t="shared" si="24"/>
        <v>1.7500886223861021</v>
      </c>
      <c r="AF386">
        <f t="shared" si="25"/>
        <v>1.5827514785924</v>
      </c>
      <c r="AG386">
        <f t="shared" si="26"/>
        <v>1.5827514785924</v>
      </c>
      <c r="AH386">
        <f t="shared" si="27"/>
        <v>3.8325771741918291</v>
      </c>
      <c r="AI386">
        <f t="shared" si="28"/>
        <v>3.8325771741918291</v>
      </c>
      <c r="AK386">
        <f t="shared" si="29"/>
        <v>3.8965803782106381</v>
      </c>
      <c r="AL386">
        <f t="shared" si="30"/>
        <v>3.8965803782106381</v>
      </c>
      <c r="AM386">
        <f t="shared" si="31"/>
        <v>3.8965803782106381</v>
      </c>
      <c r="AN386">
        <f t="shared" si="32"/>
        <v>2.315118458593497</v>
      </c>
      <c r="AO386">
        <f t="shared" si="33"/>
        <v>2.315118458593497</v>
      </c>
      <c r="AP386">
        <f t="shared" si="34"/>
        <v>1.7500886223861021</v>
      </c>
      <c r="AQ386">
        <f t="shared" si="35"/>
        <v>1.7500886223861021</v>
      </c>
      <c r="AR386">
        <f t="shared" si="36"/>
        <v>1.054822362796404</v>
      </c>
      <c r="AS386">
        <f t="shared" si="37"/>
        <v>1.054822362796404</v>
      </c>
      <c r="AT386">
        <f t="shared" si="38"/>
        <v>3.8325771741918291</v>
      </c>
      <c r="AU386">
        <f t="shared" si="39"/>
        <v>3.8325771741918291</v>
      </c>
    </row>
    <row r="387" spans="1:47" x14ac:dyDescent="0.3">
      <c r="A387">
        <v>21</v>
      </c>
      <c r="B387" t="s">
        <v>23</v>
      </c>
      <c r="C387" t="s">
        <v>19</v>
      </c>
      <c r="D387" t="s">
        <v>20</v>
      </c>
      <c r="F387" s="7">
        <v>0</v>
      </c>
      <c r="G387" s="7">
        <v>0</v>
      </c>
      <c r="H387" s="3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3169061.2</v>
      </c>
      <c r="O387">
        <f t="shared" si="9"/>
        <v>3209813.8</v>
      </c>
      <c r="P387">
        <f t="shared" si="10"/>
        <v>1475770.8</v>
      </c>
      <c r="Q387">
        <f t="shared" si="11"/>
        <v>1107489.6000000001</v>
      </c>
      <c r="R387">
        <f t="shared" si="12"/>
        <v>1030299.8</v>
      </c>
      <c r="S387">
        <f t="shared" si="13"/>
        <v>843579.4</v>
      </c>
      <c r="T387">
        <f t="shared" si="14"/>
        <v>4594408.8</v>
      </c>
      <c r="U387">
        <f t="shared" si="15"/>
        <v>3273800.2</v>
      </c>
      <c r="V387">
        <f t="shared" si="16"/>
        <v>8246724.5999999996</v>
      </c>
      <c r="W387">
        <f t="shared" si="17"/>
        <v>912914.4</v>
      </c>
      <c r="Y387">
        <f t="shared" si="18"/>
        <v>4.455371153389569</v>
      </c>
      <c r="Z387">
        <f t="shared" si="19"/>
        <v>2.7874208733555861</v>
      </c>
      <c r="AA387">
        <f t="shared" si="20"/>
        <v>2.7923472332069652</v>
      </c>
      <c r="AB387">
        <f t="shared" si="21"/>
        <v>2.5663724343816279</v>
      </c>
      <c r="AC387">
        <f t="shared" si="22"/>
        <v>1.7913467591803061</v>
      </c>
      <c r="AD387">
        <f t="shared" si="23"/>
        <v>2.8465807877946649</v>
      </c>
      <c r="AE387">
        <f t="shared" si="24"/>
        <v>2.2059849691460842</v>
      </c>
      <c r="AF387">
        <f t="shared" si="25"/>
        <v>1.8588769910507841</v>
      </c>
      <c r="AG387">
        <f t="shared" si="26"/>
        <v>1.604660156287719</v>
      </c>
      <c r="AH387">
        <f t="shared" si="27"/>
        <v>5.5633515223977152</v>
      </c>
      <c r="AI387">
        <f t="shared" si="28"/>
        <v>3.1314773581107151</v>
      </c>
      <c r="AK387">
        <f t="shared" si="29"/>
        <v>4.455371153389569</v>
      </c>
      <c r="AL387">
        <f t="shared" si="30"/>
        <v>0.84792237937217574</v>
      </c>
      <c r="AM387">
        <f t="shared" si="31"/>
        <v>0.85889340618159626</v>
      </c>
      <c r="AN387">
        <f t="shared" si="32"/>
        <v>2.5663724343816279</v>
      </c>
      <c r="AO387">
        <f t="shared" si="33"/>
        <v>0.52177113161887978</v>
      </c>
      <c r="AP387">
        <f t="shared" si="34"/>
        <v>2.8465807877946649</v>
      </c>
      <c r="AQ387">
        <f t="shared" si="35"/>
        <v>0.62075654538348313</v>
      </c>
      <c r="AR387">
        <f t="shared" si="36"/>
        <v>1.076573239231948</v>
      </c>
      <c r="AS387">
        <f t="shared" si="37"/>
        <v>0.35352483538445079</v>
      </c>
      <c r="AT387">
        <f t="shared" si="38"/>
        <v>5.5633515223977152</v>
      </c>
      <c r="AU387">
        <f t="shared" si="39"/>
        <v>1.7565720292390321</v>
      </c>
    </row>
    <row r="388" spans="1:47" x14ac:dyDescent="0.3">
      <c r="A388">
        <v>21</v>
      </c>
      <c r="B388" t="s">
        <v>24</v>
      </c>
      <c r="C388" t="s">
        <v>19</v>
      </c>
      <c r="D388" t="s">
        <v>20</v>
      </c>
      <c r="F388" s="7">
        <v>0</v>
      </c>
      <c r="G388" s="7">
        <v>1</v>
      </c>
      <c r="H388" s="3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854464.6</v>
      </c>
      <c r="O388">
        <f t="shared" si="9"/>
        <v>865056</v>
      </c>
      <c r="P388">
        <f t="shared" si="10"/>
        <v>3405256</v>
      </c>
      <c r="Q388">
        <f t="shared" si="11"/>
        <v>420193.2</v>
      </c>
      <c r="R388">
        <f t="shared" si="12"/>
        <v>1465331.4</v>
      </c>
      <c r="S388">
        <f t="shared" si="13"/>
        <v>452451.4</v>
      </c>
      <c r="T388">
        <f t="shared" si="14"/>
        <v>4677209.5999999996</v>
      </c>
      <c r="U388">
        <f t="shared" si="15"/>
        <v>3486548</v>
      </c>
      <c r="V388">
        <f t="shared" si="16"/>
        <v>7657925.2000000002</v>
      </c>
      <c r="W388">
        <f t="shared" si="17"/>
        <v>607417.4</v>
      </c>
      <c r="Y388">
        <f t="shared" si="18"/>
        <v>1.7351721730083229</v>
      </c>
      <c r="Z388">
        <f t="shared" si="19"/>
        <v>1.118558106559794</v>
      </c>
      <c r="AA388">
        <f t="shared" si="20"/>
        <v>1.1202910740277729</v>
      </c>
      <c r="AB388">
        <f t="shared" si="21"/>
        <v>3.1639450802060312</v>
      </c>
      <c r="AC388">
        <f t="shared" si="22"/>
        <v>0.90857709880801851</v>
      </c>
      <c r="AD388">
        <f t="shared" si="23"/>
        <v>2.86036666398868</v>
      </c>
      <c r="AE388">
        <f t="shared" si="24"/>
        <v>1.0576216837973329</v>
      </c>
      <c r="AF388">
        <f t="shared" si="25"/>
        <v>2.0229268369963389</v>
      </c>
      <c r="AG388">
        <f t="shared" si="26"/>
        <v>1.9813764414633619</v>
      </c>
      <c r="AH388">
        <f t="shared" si="27"/>
        <v>5.3503981631831268</v>
      </c>
      <c r="AI388">
        <f t="shared" si="28"/>
        <v>1.687006904627196</v>
      </c>
      <c r="AK388">
        <f t="shared" si="29"/>
        <v>1.7351721730083229</v>
      </c>
      <c r="AL388">
        <f t="shared" si="30"/>
        <v>0.37783065639669078</v>
      </c>
      <c r="AM388">
        <f t="shared" si="31"/>
        <v>0.37746638160897422</v>
      </c>
      <c r="AN388">
        <f t="shared" si="32"/>
        <v>3.1639450802060312</v>
      </c>
      <c r="AO388">
        <f t="shared" si="33"/>
        <v>0.29410913540050382</v>
      </c>
      <c r="AP388">
        <f t="shared" si="34"/>
        <v>2.86036666398868</v>
      </c>
      <c r="AQ388">
        <f t="shared" si="35"/>
        <v>0.35026507200673218</v>
      </c>
      <c r="AR388">
        <f t="shared" si="36"/>
        <v>1.106998604990076</v>
      </c>
      <c r="AS388">
        <f t="shared" si="37"/>
        <v>0.34609187606256447</v>
      </c>
      <c r="AT388">
        <f t="shared" si="38"/>
        <v>5.3503981631831268</v>
      </c>
      <c r="AU388">
        <f t="shared" si="39"/>
        <v>0.89005566457053642</v>
      </c>
    </row>
    <row r="389" spans="1:47" x14ac:dyDescent="0.3">
      <c r="A389">
        <v>21</v>
      </c>
      <c r="B389" t="s">
        <v>25</v>
      </c>
      <c r="C389" t="s">
        <v>19</v>
      </c>
      <c r="D389" t="s">
        <v>20</v>
      </c>
      <c r="F389" s="7">
        <v>0</v>
      </c>
      <c r="G389" s="7">
        <v>0</v>
      </c>
      <c r="H389" s="3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9194756.5999999996</v>
      </c>
      <c r="O389">
        <f t="shared" si="9"/>
        <v>9225581.5999999996</v>
      </c>
      <c r="P389">
        <f t="shared" si="10"/>
        <v>5594837.2000000002</v>
      </c>
      <c r="Q389">
        <f t="shared" si="11"/>
        <v>5151482.2</v>
      </c>
      <c r="R389">
        <f t="shared" si="12"/>
        <v>4114032.2</v>
      </c>
      <c r="S389">
        <f t="shared" si="13"/>
        <v>9043081.1999999993</v>
      </c>
      <c r="T389">
        <f t="shared" si="14"/>
        <v>4018927.8</v>
      </c>
      <c r="U389">
        <f t="shared" si="15"/>
        <v>4749899.5999999996</v>
      </c>
      <c r="V389">
        <f t="shared" si="16"/>
        <v>24198068.199999999</v>
      </c>
      <c r="W389">
        <f t="shared" si="17"/>
        <v>10271220.199999999</v>
      </c>
      <c r="Y389">
        <f t="shared" si="18"/>
        <v>5.2229898261837659</v>
      </c>
      <c r="Z389">
        <f t="shared" si="19"/>
        <v>6.6303169521735983</v>
      </c>
      <c r="AA389">
        <f t="shared" si="20"/>
        <v>6.6486502304207544</v>
      </c>
      <c r="AB389">
        <f t="shared" si="21"/>
        <v>6.9515799830027394</v>
      </c>
      <c r="AC389">
        <f t="shared" si="22"/>
        <v>3.5294612241967109</v>
      </c>
      <c r="AD389">
        <f t="shared" si="23"/>
        <v>6.2021829653996976</v>
      </c>
      <c r="AE389">
        <f t="shared" si="24"/>
        <v>6.1441774275968779</v>
      </c>
      <c r="AF389">
        <f t="shared" si="25"/>
        <v>1.5137357046129181</v>
      </c>
      <c r="AG389">
        <f t="shared" si="26"/>
        <v>3.3892190851387571</v>
      </c>
      <c r="AH389">
        <f t="shared" si="27"/>
        <v>8.7058219229918912</v>
      </c>
      <c r="AI389">
        <f t="shared" si="28"/>
        <v>10.90990057318704</v>
      </c>
      <c r="AK389">
        <f t="shared" si="29"/>
        <v>5.2229898261837659</v>
      </c>
      <c r="AL389">
        <f t="shared" si="30"/>
        <v>1.7391514812014071</v>
      </c>
      <c r="AM389">
        <f t="shared" si="31"/>
        <v>1.755064099829178</v>
      </c>
      <c r="AN389">
        <f t="shared" si="32"/>
        <v>6.9515799830027394</v>
      </c>
      <c r="AO389">
        <f t="shared" si="33"/>
        <v>1.033669698587619</v>
      </c>
      <c r="AP389">
        <f t="shared" si="34"/>
        <v>6.2021829653996976</v>
      </c>
      <c r="AQ389">
        <f t="shared" si="35"/>
        <v>1.418732193170581</v>
      </c>
      <c r="AR389">
        <f t="shared" si="36"/>
        <v>1.01062221461907</v>
      </c>
      <c r="AS389">
        <f t="shared" si="37"/>
        <v>0.57144634817959739</v>
      </c>
      <c r="AT389">
        <f t="shared" si="38"/>
        <v>8.7058219229918912</v>
      </c>
      <c r="AU389">
        <f t="shared" si="39"/>
        <v>7.8596672058221886</v>
      </c>
    </row>
    <row r="390" spans="1:47" x14ac:dyDescent="0.3">
      <c r="A390">
        <v>21</v>
      </c>
      <c r="B390" t="s">
        <v>26</v>
      </c>
      <c r="C390" t="s">
        <v>19</v>
      </c>
      <c r="D390" t="s">
        <v>20</v>
      </c>
      <c r="F390" s="7">
        <v>0</v>
      </c>
      <c r="G390" s="7">
        <v>0</v>
      </c>
      <c r="H390" s="3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>
        <f t="shared" si="7"/>
        <v>2186441.2000000002</v>
      </c>
      <c r="N390">
        <f t="shared" si="8"/>
        <v>1668403.8</v>
      </c>
      <c r="O390">
        <f t="shared" si="9"/>
        <v>1682591.4</v>
      </c>
      <c r="P390">
        <f t="shared" si="10"/>
        <v>1589889</v>
      </c>
      <c r="Q390">
        <f t="shared" si="11"/>
        <v>514547</v>
      </c>
      <c r="R390">
        <f t="shared" si="12"/>
        <v>616867</v>
      </c>
      <c r="S390">
        <f t="shared" si="13"/>
        <v>338645.6</v>
      </c>
      <c r="T390">
        <f t="shared" si="14"/>
        <v>4560935.4000000004</v>
      </c>
      <c r="U390">
        <f t="shared" si="15"/>
        <v>3373792.6</v>
      </c>
      <c r="V390">
        <f t="shared" si="16"/>
        <v>575641.80000000005</v>
      </c>
      <c r="W390">
        <f t="shared" si="17"/>
        <v>331350.8</v>
      </c>
      <c r="Y390">
        <f t="shared" si="18"/>
        <v>2.1961747827939688</v>
      </c>
      <c r="Z390">
        <f t="shared" si="19"/>
        <v>1.645241902803537</v>
      </c>
      <c r="AA390">
        <f t="shared" si="20"/>
        <v>1.6530100714066061</v>
      </c>
      <c r="AB390">
        <f t="shared" si="21"/>
        <v>2.030671906995122</v>
      </c>
      <c r="AC390">
        <f t="shared" si="22"/>
        <v>1.022431558190146</v>
      </c>
      <c r="AD390">
        <f t="shared" si="23"/>
        <v>1.690759791794699</v>
      </c>
      <c r="AE390">
        <f t="shared" si="24"/>
        <v>1.4326805879944</v>
      </c>
      <c r="AF390">
        <f t="shared" si="25"/>
        <v>1.848728867224418</v>
      </c>
      <c r="AG390">
        <f t="shared" si="26"/>
        <v>1.745733705488965</v>
      </c>
      <c r="AH390">
        <f t="shared" si="27"/>
        <v>2.956690071395133</v>
      </c>
      <c r="AI390">
        <f t="shared" si="28"/>
        <v>1.8409903625841251</v>
      </c>
      <c r="AK390">
        <f t="shared" si="29"/>
        <v>2.1961747827939688</v>
      </c>
      <c r="AL390">
        <f t="shared" si="30"/>
        <v>0.53567567119607706</v>
      </c>
      <c r="AM390">
        <f t="shared" si="31"/>
        <v>0.54233909540344027</v>
      </c>
      <c r="AN390">
        <f t="shared" si="32"/>
        <v>2.030671906995122</v>
      </c>
      <c r="AO390">
        <f t="shared" si="33"/>
        <v>0.34388079319614923</v>
      </c>
      <c r="AP390">
        <f t="shared" si="34"/>
        <v>1.690759791794699</v>
      </c>
      <c r="AQ390">
        <f t="shared" si="35"/>
        <v>0.41130288580898189</v>
      </c>
      <c r="AR390">
        <f t="shared" si="36"/>
        <v>1.0833852204261349</v>
      </c>
      <c r="AS390">
        <f t="shared" si="37"/>
        <v>0.3506864580092951</v>
      </c>
      <c r="AT390">
        <f t="shared" si="38"/>
        <v>2.956690071395133</v>
      </c>
      <c r="AU390">
        <f t="shared" si="39"/>
        <v>1.0378046663827261</v>
      </c>
    </row>
    <row r="391" spans="1:47" x14ac:dyDescent="0.3">
      <c r="A391">
        <v>21</v>
      </c>
      <c r="B391" t="s">
        <v>27</v>
      </c>
      <c r="C391" t="s">
        <v>19</v>
      </c>
      <c r="D391" t="s">
        <v>20</v>
      </c>
      <c r="F391" s="7">
        <v>0</v>
      </c>
      <c r="G391" s="7">
        <v>1</v>
      </c>
      <c r="H391" s="3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>
        <f t="shared" si="7"/>
        <v>1359597.6</v>
      </c>
      <c r="N391">
        <f t="shared" si="8"/>
        <v>1359597.6</v>
      </c>
      <c r="O391">
        <f t="shared" si="9"/>
        <v>1359597.6</v>
      </c>
      <c r="P391">
        <f t="shared" si="10"/>
        <v>602084</v>
      </c>
      <c r="Q391">
        <f t="shared" si="11"/>
        <v>602084</v>
      </c>
      <c r="R391">
        <f t="shared" si="12"/>
        <v>362702.6</v>
      </c>
      <c r="S391">
        <f t="shared" si="13"/>
        <v>362702.6</v>
      </c>
      <c r="T391">
        <f t="shared" si="14"/>
        <v>3787607.6</v>
      </c>
      <c r="U391">
        <f t="shared" si="15"/>
        <v>3787607.6</v>
      </c>
      <c r="V391">
        <f t="shared" si="16"/>
        <v>230918.39999999999</v>
      </c>
      <c r="W391">
        <f t="shared" si="17"/>
        <v>230918.39999999999</v>
      </c>
      <c r="Y391">
        <f t="shared" si="18"/>
        <v>1.671562900790013</v>
      </c>
      <c r="Z391">
        <f t="shared" si="19"/>
        <v>1.671562900790013</v>
      </c>
      <c r="AA391">
        <f t="shared" si="20"/>
        <v>1.671562900790013</v>
      </c>
      <c r="AB391">
        <f t="shared" si="21"/>
        <v>1.3107680390006859</v>
      </c>
      <c r="AC391">
        <f t="shared" si="22"/>
        <v>1.3107680390006859</v>
      </c>
      <c r="AD391">
        <f t="shared" si="23"/>
        <v>1.763260207790881</v>
      </c>
      <c r="AE391">
        <f t="shared" si="24"/>
        <v>1.763260207790881</v>
      </c>
      <c r="AF391">
        <f t="shared" si="25"/>
        <v>1.2172114051878451</v>
      </c>
      <c r="AG391">
        <f t="shared" si="26"/>
        <v>1.2172114051878451</v>
      </c>
      <c r="AH391">
        <f t="shared" si="27"/>
        <v>1.6473160200053829</v>
      </c>
      <c r="AI391">
        <f t="shared" si="28"/>
        <v>1.6473160200053829</v>
      </c>
      <c r="AK391">
        <f t="shared" si="29"/>
        <v>1.671562900790013</v>
      </c>
      <c r="AL391">
        <f t="shared" si="30"/>
        <v>1.671562900790013</v>
      </c>
      <c r="AM391">
        <f t="shared" si="31"/>
        <v>1.671562900790013</v>
      </c>
      <c r="AN391">
        <f t="shared" si="32"/>
        <v>1.3107680390006859</v>
      </c>
      <c r="AO391">
        <f t="shared" si="33"/>
        <v>1.3107680390006859</v>
      </c>
      <c r="AP391">
        <f t="shared" si="34"/>
        <v>1.763260207790881</v>
      </c>
      <c r="AQ391">
        <f t="shared" si="35"/>
        <v>1.763260207790881</v>
      </c>
      <c r="AR391">
        <f t="shared" si="36"/>
        <v>0.78862273618578915</v>
      </c>
      <c r="AS391">
        <f t="shared" si="37"/>
        <v>0.78862273618578915</v>
      </c>
      <c r="AT391">
        <f t="shared" si="38"/>
        <v>1.6473160200053829</v>
      </c>
      <c r="AU391">
        <f t="shared" si="39"/>
        <v>1.6473160200053829</v>
      </c>
    </row>
    <row r="392" spans="1:47" x14ac:dyDescent="0.3">
      <c r="A392">
        <v>21</v>
      </c>
      <c r="B392" t="s">
        <v>28</v>
      </c>
      <c r="C392" t="s">
        <v>19</v>
      </c>
      <c r="D392" t="s">
        <v>20</v>
      </c>
      <c r="F392" s="7">
        <v>0</v>
      </c>
      <c r="G392" s="7">
        <v>1</v>
      </c>
      <c r="H392" s="3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>
        <f t="shared" si="7"/>
        <v>6171416.2000000002</v>
      </c>
      <c r="N392">
        <f t="shared" si="8"/>
        <v>6171416.2000000002</v>
      </c>
      <c r="O392">
        <f t="shared" si="9"/>
        <v>6171416.2000000002</v>
      </c>
      <c r="P392">
        <f t="shared" si="10"/>
        <v>8419143.5999999996</v>
      </c>
      <c r="Q392">
        <f t="shared" si="11"/>
        <v>8419143.5999999996</v>
      </c>
      <c r="R392">
        <f t="shared" si="12"/>
        <v>9256532.1999999993</v>
      </c>
      <c r="S392">
        <f t="shared" si="13"/>
        <v>9256532.1999999993</v>
      </c>
      <c r="T392">
        <f t="shared" si="14"/>
        <v>4215910.2</v>
      </c>
      <c r="U392">
        <f t="shared" si="15"/>
        <v>4215910.2</v>
      </c>
      <c r="V392">
        <f t="shared" si="16"/>
        <v>19259379.600000001</v>
      </c>
      <c r="W392">
        <f t="shared" si="17"/>
        <v>19259379.600000001</v>
      </c>
      <c r="Y392">
        <f t="shared" si="18"/>
        <v>6.5223588401917372</v>
      </c>
      <c r="Z392">
        <f t="shared" si="19"/>
        <v>6.5223588401917372</v>
      </c>
      <c r="AA392">
        <f t="shared" si="20"/>
        <v>6.5223588401917372</v>
      </c>
      <c r="AB392">
        <f t="shared" si="21"/>
        <v>9.8975206730014182</v>
      </c>
      <c r="AC392">
        <f t="shared" si="22"/>
        <v>9.8975206730014182</v>
      </c>
      <c r="AD392">
        <f t="shared" si="23"/>
        <v>9.0448170699994073</v>
      </c>
      <c r="AE392">
        <f t="shared" si="24"/>
        <v>9.0448170699994073</v>
      </c>
      <c r="AF392">
        <f t="shared" si="25"/>
        <v>1.663739652419463</v>
      </c>
      <c r="AG392">
        <f t="shared" si="26"/>
        <v>1.663739652419463</v>
      </c>
      <c r="AH392">
        <f t="shared" si="27"/>
        <v>11.03726069498807</v>
      </c>
      <c r="AI392">
        <f t="shared" si="28"/>
        <v>11.03726069498807</v>
      </c>
      <c r="AK392">
        <f t="shared" si="29"/>
        <v>6.5223588401917372</v>
      </c>
      <c r="AL392">
        <f t="shared" si="30"/>
        <v>6.5223588401917372</v>
      </c>
      <c r="AM392">
        <f t="shared" si="31"/>
        <v>6.5223588401917372</v>
      </c>
      <c r="AN392">
        <f t="shared" si="32"/>
        <v>9.8975206730014182</v>
      </c>
      <c r="AO392">
        <f t="shared" si="33"/>
        <v>9.8975206730014182</v>
      </c>
      <c r="AP392">
        <f t="shared" si="34"/>
        <v>9.0448170699994073</v>
      </c>
      <c r="AQ392">
        <f t="shared" si="35"/>
        <v>9.0448170699994073</v>
      </c>
      <c r="AR392">
        <f t="shared" si="36"/>
        <v>1.0548461542231959</v>
      </c>
      <c r="AS392">
        <f t="shared" si="37"/>
        <v>1.0548461542231959</v>
      </c>
      <c r="AT392">
        <f t="shared" si="38"/>
        <v>11.03726069498807</v>
      </c>
      <c r="AU392">
        <f t="shared" si="39"/>
        <v>11.03726069498807</v>
      </c>
    </row>
    <row r="393" spans="1:47" x14ac:dyDescent="0.3">
      <c r="A393">
        <v>21</v>
      </c>
      <c r="B393" t="s">
        <v>29</v>
      </c>
      <c r="C393" t="s">
        <v>19</v>
      </c>
      <c r="D393" t="s">
        <v>20</v>
      </c>
      <c r="F393" s="7">
        <v>0</v>
      </c>
      <c r="G393" s="7">
        <v>0</v>
      </c>
      <c r="H393" s="3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>
        <f t="shared" si="7"/>
        <v>6077126.4000000004</v>
      </c>
      <c r="N393">
        <f t="shared" si="8"/>
        <v>4788292.2</v>
      </c>
      <c r="O393">
        <f t="shared" si="9"/>
        <v>4908316.5999999996</v>
      </c>
      <c r="P393">
        <f t="shared" si="10"/>
        <v>14297375.6</v>
      </c>
      <c r="Q393">
        <f t="shared" si="11"/>
        <v>4634993</v>
      </c>
      <c r="R393">
        <f t="shared" si="12"/>
        <v>9345182.5999999996</v>
      </c>
      <c r="S393">
        <f t="shared" si="13"/>
        <v>3977858.2</v>
      </c>
      <c r="T393">
        <f t="shared" si="14"/>
        <v>4852422.4000000004</v>
      </c>
      <c r="U393">
        <f t="shared" si="15"/>
        <v>3896412.2</v>
      </c>
      <c r="V393">
        <f t="shared" si="16"/>
        <v>31495538.800000001</v>
      </c>
      <c r="W393">
        <f t="shared" si="17"/>
        <v>8837163.8000000007</v>
      </c>
      <c r="Y393">
        <f t="shared" si="18"/>
        <v>6.2782799296081064</v>
      </c>
      <c r="Z393">
        <f t="shared" si="19"/>
        <v>3.9825320875970651</v>
      </c>
      <c r="AA393">
        <f t="shared" si="20"/>
        <v>4.0014622471760957</v>
      </c>
      <c r="AB393">
        <f t="shared" si="21"/>
        <v>12.602407535398379</v>
      </c>
      <c r="AC393">
        <f t="shared" si="22"/>
        <v>4.8429510944290088</v>
      </c>
      <c r="AD393">
        <f t="shared" si="23"/>
        <v>10.168707988201639</v>
      </c>
      <c r="AE393">
        <f t="shared" si="24"/>
        <v>4.9109572124434644</v>
      </c>
      <c r="AF393">
        <f t="shared" si="25"/>
        <v>2.248768721381202</v>
      </c>
      <c r="AG393">
        <f t="shared" si="26"/>
        <v>2.4664406865835189</v>
      </c>
      <c r="AH393">
        <f t="shared" si="27"/>
        <v>12.011527992587069</v>
      </c>
      <c r="AI393">
        <f t="shared" si="28"/>
        <v>7.1827713553560901</v>
      </c>
      <c r="AK393">
        <f t="shared" si="29"/>
        <v>6.2782799296081064</v>
      </c>
      <c r="AL393">
        <f t="shared" si="30"/>
        <v>1.6904926356044601</v>
      </c>
      <c r="AM393">
        <f t="shared" si="31"/>
        <v>1.7273518602014519</v>
      </c>
      <c r="AN393">
        <f t="shared" si="32"/>
        <v>12.602407535398379</v>
      </c>
      <c r="AO393">
        <f t="shared" si="33"/>
        <v>2.0950829108012838</v>
      </c>
      <c r="AP393">
        <f t="shared" si="34"/>
        <v>10.168707988201639</v>
      </c>
      <c r="AQ393">
        <f t="shared" si="35"/>
        <v>1.8527610194054429</v>
      </c>
      <c r="AR393">
        <f t="shared" si="36"/>
        <v>1.2610892075812441</v>
      </c>
      <c r="AS393">
        <f t="shared" si="37"/>
        <v>0.48172693635569891</v>
      </c>
      <c r="AT393">
        <f t="shared" si="38"/>
        <v>12.011527992587069</v>
      </c>
      <c r="AU393">
        <f t="shared" si="39"/>
        <v>4.8324111601919864</v>
      </c>
    </row>
    <row r="394" spans="1:47" x14ac:dyDescent="0.3">
      <c r="A394">
        <v>21</v>
      </c>
      <c r="B394" t="s">
        <v>30</v>
      </c>
      <c r="C394" t="s">
        <v>19</v>
      </c>
      <c r="D394" t="s">
        <v>20</v>
      </c>
      <c r="F394" s="7">
        <v>0</v>
      </c>
      <c r="G394" s="7">
        <v>0</v>
      </c>
      <c r="H394" s="3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5166110.2</v>
      </c>
      <c r="O394">
        <f t="shared" si="9"/>
        <v>5196902.2</v>
      </c>
      <c r="P394">
        <f t="shared" si="10"/>
        <v>4791875</v>
      </c>
      <c r="Q394">
        <f t="shared" si="11"/>
        <v>3060713.4</v>
      </c>
      <c r="R394">
        <f t="shared" si="12"/>
        <v>3330299.8</v>
      </c>
      <c r="S394">
        <f t="shared" si="13"/>
        <v>2322256</v>
      </c>
      <c r="T394">
        <f t="shared" si="14"/>
        <v>4221177.5999999996</v>
      </c>
      <c r="U394">
        <f t="shared" si="15"/>
        <v>3961783.8</v>
      </c>
      <c r="V394">
        <f t="shared" si="16"/>
        <v>5883243.7999999998</v>
      </c>
      <c r="W394">
        <f t="shared" si="17"/>
        <v>4457433.8</v>
      </c>
      <c r="Y394">
        <f t="shared" si="18"/>
        <v>4.0905486718052986</v>
      </c>
      <c r="Z394">
        <f t="shared" si="19"/>
        <v>4.0030112009728329</v>
      </c>
      <c r="AA394">
        <f t="shared" si="20"/>
        <v>4.0161635790835133</v>
      </c>
      <c r="AB394">
        <f t="shared" si="21"/>
        <v>3.0819295883993618</v>
      </c>
      <c r="AC394">
        <f t="shared" si="22"/>
        <v>2.056968798581511</v>
      </c>
      <c r="AD394">
        <f t="shared" si="23"/>
        <v>3.0702918950235469</v>
      </c>
      <c r="AE394">
        <f t="shared" si="24"/>
        <v>2.4800828957697378</v>
      </c>
      <c r="AF394">
        <f t="shared" si="25"/>
        <v>1.639070466195699</v>
      </c>
      <c r="AG394">
        <f t="shared" si="26"/>
        <v>2.2868723903433419</v>
      </c>
      <c r="AH394">
        <f t="shared" si="27"/>
        <v>4.6049950696062298</v>
      </c>
      <c r="AI394">
        <f t="shared" si="28"/>
        <v>5.1316579387173986</v>
      </c>
      <c r="AK394">
        <f t="shared" si="29"/>
        <v>4.0905486718052986</v>
      </c>
      <c r="AL394">
        <f t="shared" si="30"/>
        <v>0.98756992439739411</v>
      </c>
      <c r="AM394">
        <f t="shared" si="31"/>
        <v>1.000329108210281</v>
      </c>
      <c r="AN394">
        <f t="shared" si="32"/>
        <v>3.0819295883993618</v>
      </c>
      <c r="AO394">
        <f t="shared" si="33"/>
        <v>0.59641164361964916</v>
      </c>
      <c r="AP394">
        <f t="shared" si="34"/>
        <v>3.0702918950235469</v>
      </c>
      <c r="AQ394">
        <f t="shared" si="35"/>
        <v>0.68027284699492152</v>
      </c>
      <c r="AR394">
        <f t="shared" si="36"/>
        <v>1.091127738985233</v>
      </c>
      <c r="AS394">
        <f t="shared" si="37"/>
        <v>0.45440455853240558</v>
      </c>
      <c r="AT394">
        <f t="shared" si="38"/>
        <v>4.6049950696062298</v>
      </c>
      <c r="AU394">
        <f t="shared" si="39"/>
        <v>3.1770340226241389</v>
      </c>
    </row>
    <row r="395" spans="1:47" x14ac:dyDescent="0.3">
      <c r="A395">
        <v>21</v>
      </c>
      <c r="B395" t="s">
        <v>31</v>
      </c>
      <c r="C395" t="s">
        <v>19</v>
      </c>
      <c r="D395" t="s">
        <v>20</v>
      </c>
      <c r="F395" s="7">
        <v>0</v>
      </c>
      <c r="G395" s="7">
        <v>1</v>
      </c>
      <c r="H395" s="3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902504.8</v>
      </c>
      <c r="O395">
        <f t="shared" si="9"/>
        <v>910647</v>
      </c>
      <c r="P395">
        <f t="shared" si="10"/>
        <v>3424600.8</v>
      </c>
      <c r="Q395">
        <f t="shared" si="11"/>
        <v>368793.2</v>
      </c>
      <c r="R395">
        <f t="shared" si="12"/>
        <v>2642237</v>
      </c>
      <c r="S395">
        <f t="shared" si="13"/>
        <v>300920.2</v>
      </c>
      <c r="T395">
        <f t="shared" si="14"/>
        <v>4575869</v>
      </c>
      <c r="U395">
        <f t="shared" si="15"/>
        <v>3203077.8</v>
      </c>
      <c r="V395">
        <f t="shared" si="16"/>
        <v>7388502.4000000004</v>
      </c>
      <c r="W395">
        <f t="shared" si="17"/>
        <v>456413</v>
      </c>
      <c r="Y395">
        <f t="shared" si="18"/>
        <v>1.9183216638048179</v>
      </c>
      <c r="Z395">
        <f t="shared" si="19"/>
        <v>1.1066080082091501</v>
      </c>
      <c r="AA395">
        <f t="shared" si="20"/>
        <v>1.1134914700058289</v>
      </c>
      <c r="AB395">
        <f t="shared" si="21"/>
        <v>2.949492090195418</v>
      </c>
      <c r="AC395">
        <f t="shared" si="22"/>
        <v>0.8287126103765331</v>
      </c>
      <c r="AD395">
        <f t="shared" si="23"/>
        <v>3.329058999777772</v>
      </c>
      <c r="AE395">
        <f t="shared" si="24"/>
        <v>1.449643788975663</v>
      </c>
      <c r="AF395">
        <f t="shared" si="25"/>
        <v>1.865135136595927</v>
      </c>
      <c r="AG395">
        <f t="shared" si="26"/>
        <v>1.5719113001483489</v>
      </c>
      <c r="AH395">
        <f t="shared" si="27"/>
        <v>5.2431721363915127</v>
      </c>
      <c r="AI395">
        <f t="shared" si="28"/>
        <v>1.2671094201970849</v>
      </c>
      <c r="AK395">
        <f t="shared" si="29"/>
        <v>1.9183216638048179</v>
      </c>
      <c r="AL395">
        <f t="shared" si="30"/>
        <v>0.37765025020344178</v>
      </c>
      <c r="AM395">
        <f t="shared" si="31"/>
        <v>0.37994315361138431</v>
      </c>
      <c r="AN395">
        <f t="shared" si="32"/>
        <v>2.949492090195418</v>
      </c>
      <c r="AO395">
        <f t="shared" si="33"/>
        <v>0.31626447598682722</v>
      </c>
      <c r="AP395">
        <f t="shared" si="34"/>
        <v>3.329058999777772</v>
      </c>
      <c r="AQ395">
        <f t="shared" si="35"/>
        <v>0.44560159140964972</v>
      </c>
      <c r="AR395">
        <f t="shared" si="36"/>
        <v>1.0808783571934331</v>
      </c>
      <c r="AS395">
        <f t="shared" si="37"/>
        <v>0.33644002219662072</v>
      </c>
      <c r="AT395">
        <f t="shared" si="38"/>
        <v>5.2431721363915127</v>
      </c>
      <c r="AU395">
        <f t="shared" si="39"/>
        <v>0.68625467719975863</v>
      </c>
    </row>
    <row r="396" spans="1:47" x14ac:dyDescent="0.3">
      <c r="A396">
        <v>21</v>
      </c>
      <c r="B396" t="s">
        <v>32</v>
      </c>
      <c r="C396" t="s">
        <v>19</v>
      </c>
      <c r="D396" t="s">
        <v>20</v>
      </c>
      <c r="F396" s="7">
        <v>0</v>
      </c>
      <c r="G396" s="7">
        <v>0</v>
      </c>
      <c r="H396" s="3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8604232.1999999993</v>
      </c>
      <c r="O396">
        <f t="shared" si="9"/>
        <v>8798558</v>
      </c>
      <c r="P396">
        <f t="shared" si="10"/>
        <v>18218009.600000001</v>
      </c>
      <c r="Q396">
        <f t="shared" si="11"/>
        <v>5430949.4000000004</v>
      </c>
      <c r="R396">
        <f t="shared" si="12"/>
        <v>17723012.199999999</v>
      </c>
      <c r="S396">
        <f t="shared" si="13"/>
        <v>7229972.4000000004</v>
      </c>
      <c r="T396">
        <f t="shared" si="14"/>
        <v>4731131.5999999996</v>
      </c>
      <c r="U396">
        <f t="shared" si="15"/>
        <v>3754608.6</v>
      </c>
      <c r="V396">
        <f t="shared" si="16"/>
        <v>26229788.399999999</v>
      </c>
      <c r="W396">
        <f t="shared" si="17"/>
        <v>9031623.8000000007</v>
      </c>
      <c r="Y396">
        <f t="shared" si="18"/>
        <v>10.504705405200371</v>
      </c>
      <c r="Z396">
        <f t="shared" si="19"/>
        <v>6.8043313811882404</v>
      </c>
      <c r="AA396">
        <f t="shared" si="20"/>
        <v>6.9200539899757132</v>
      </c>
      <c r="AB396">
        <f t="shared" si="21"/>
        <v>11.089513875800179</v>
      </c>
      <c r="AC396">
        <f t="shared" si="22"/>
        <v>6.0690174125775229</v>
      </c>
      <c r="AD396">
        <f t="shared" si="23"/>
        <v>14.61799232958583</v>
      </c>
      <c r="AE396">
        <f t="shared" si="24"/>
        <v>7.9701549204066398</v>
      </c>
      <c r="AF396">
        <f t="shared" si="25"/>
        <v>2.1378655940294271</v>
      </c>
      <c r="AG396">
        <f t="shared" si="26"/>
        <v>2.308709275431466</v>
      </c>
      <c r="AH396">
        <f t="shared" si="27"/>
        <v>12.31799476800952</v>
      </c>
      <c r="AI396">
        <f t="shared" si="28"/>
        <v>10.22149313681293</v>
      </c>
      <c r="AK396">
        <f t="shared" si="29"/>
        <v>10.504705405200371</v>
      </c>
      <c r="AL396">
        <f t="shared" si="30"/>
        <v>2.3568731625797228</v>
      </c>
      <c r="AM396">
        <f t="shared" si="31"/>
        <v>2.4398899859981609</v>
      </c>
      <c r="AN396">
        <f t="shared" si="32"/>
        <v>11.089513875800179</v>
      </c>
      <c r="AO396">
        <f t="shared" si="33"/>
        <v>2.1246231938013809</v>
      </c>
      <c r="AP396">
        <f t="shared" si="34"/>
        <v>14.61799232958583</v>
      </c>
      <c r="AQ396">
        <f t="shared" si="35"/>
        <v>2.7405586694134398</v>
      </c>
      <c r="AR396">
        <f t="shared" si="36"/>
        <v>1.168097629630938</v>
      </c>
      <c r="AS396">
        <f t="shared" si="37"/>
        <v>0.4580335225444287</v>
      </c>
      <c r="AT396">
        <f t="shared" si="38"/>
        <v>12.31799476800952</v>
      </c>
      <c r="AU396">
        <f t="shared" si="39"/>
        <v>6.9923935631988572</v>
      </c>
    </row>
    <row r="397" spans="1:47" x14ac:dyDescent="0.3">
      <c r="A397">
        <v>21</v>
      </c>
      <c r="B397" t="s">
        <v>33</v>
      </c>
      <c r="C397" t="s">
        <v>19</v>
      </c>
      <c r="D397" t="s">
        <v>20</v>
      </c>
      <c r="F397" s="7">
        <v>0</v>
      </c>
      <c r="G397" s="7">
        <v>1</v>
      </c>
      <c r="H397" s="3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>
        <f t="shared" si="7"/>
        <v>4086782.6</v>
      </c>
      <c r="N397">
        <f t="shared" si="8"/>
        <v>4086782.6</v>
      </c>
      <c r="O397">
        <f t="shared" si="9"/>
        <v>4086782.6</v>
      </c>
      <c r="P397">
        <f t="shared" si="10"/>
        <v>3127021.2</v>
      </c>
      <c r="Q397">
        <f t="shared" si="11"/>
        <v>3127021.2</v>
      </c>
      <c r="R397">
        <f t="shared" si="12"/>
        <v>3627884.8</v>
      </c>
      <c r="S397">
        <f t="shared" si="13"/>
        <v>3627884.8</v>
      </c>
      <c r="T397">
        <f t="shared" si="14"/>
        <v>4001025.4</v>
      </c>
      <c r="U397">
        <f t="shared" si="15"/>
        <v>4001025.4</v>
      </c>
      <c r="V397">
        <f t="shared" si="16"/>
        <v>15964690.4</v>
      </c>
      <c r="W397">
        <f t="shared" si="17"/>
        <v>15964690.4</v>
      </c>
      <c r="Y397">
        <f t="shared" si="18"/>
        <v>4.5074937374098223</v>
      </c>
      <c r="Z397">
        <f t="shared" si="19"/>
        <v>4.5074937374098223</v>
      </c>
      <c r="AA397">
        <f t="shared" si="20"/>
        <v>4.5074937374098223</v>
      </c>
      <c r="AB397">
        <f t="shared" si="21"/>
        <v>4.1755316810042133</v>
      </c>
      <c r="AC397">
        <f t="shared" si="22"/>
        <v>4.1755316810042133</v>
      </c>
      <c r="AD397">
        <f t="shared" si="23"/>
        <v>5.2116906589828433</v>
      </c>
      <c r="AE397">
        <f t="shared" si="24"/>
        <v>5.2116906589828433</v>
      </c>
      <c r="AF397">
        <f t="shared" si="25"/>
        <v>1.51136911859503</v>
      </c>
      <c r="AG397">
        <f t="shared" si="26"/>
        <v>1.51136911859503</v>
      </c>
      <c r="AH397">
        <f t="shared" si="27"/>
        <v>6.954115575610194</v>
      </c>
      <c r="AI397">
        <f t="shared" si="28"/>
        <v>6.954115575610194</v>
      </c>
      <c r="AK397">
        <f t="shared" si="29"/>
        <v>4.5074937374098223</v>
      </c>
      <c r="AL397">
        <f t="shared" si="30"/>
        <v>4.5074937374098223</v>
      </c>
      <c r="AM397">
        <f t="shared" si="31"/>
        <v>4.5074937374098223</v>
      </c>
      <c r="AN397">
        <f t="shared" si="32"/>
        <v>4.1755316810042133</v>
      </c>
      <c r="AO397">
        <f t="shared" si="33"/>
        <v>4.1755316810042133</v>
      </c>
      <c r="AP397">
        <f t="shared" si="34"/>
        <v>5.2116906589828433</v>
      </c>
      <c r="AQ397">
        <f t="shared" si="35"/>
        <v>5.2116906589828433</v>
      </c>
      <c r="AR397">
        <f t="shared" si="36"/>
        <v>1.017611422587652</v>
      </c>
      <c r="AS397">
        <f t="shared" si="37"/>
        <v>1.017611422587652</v>
      </c>
      <c r="AT397">
        <f t="shared" si="38"/>
        <v>6.954115575610194</v>
      </c>
      <c r="AU397">
        <f t="shared" si="39"/>
        <v>6.954115575610194</v>
      </c>
    </row>
    <row r="398" spans="1:47" x14ac:dyDescent="0.3">
      <c r="A398">
        <v>21</v>
      </c>
      <c r="B398" t="s">
        <v>34</v>
      </c>
      <c r="C398" t="s">
        <v>19</v>
      </c>
      <c r="D398" t="s">
        <v>20</v>
      </c>
      <c r="F398" s="7">
        <v>0</v>
      </c>
      <c r="G398" s="7">
        <v>1</v>
      </c>
      <c r="H398" s="3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>
        <f t="shared" si="7"/>
        <v>7112853</v>
      </c>
      <c r="N398">
        <f t="shared" si="8"/>
        <v>7112853</v>
      </c>
      <c r="O398">
        <f t="shared" si="9"/>
        <v>7112853</v>
      </c>
      <c r="P398">
        <f t="shared" si="10"/>
        <v>8723892</v>
      </c>
      <c r="Q398">
        <f t="shared" si="11"/>
        <v>8723892</v>
      </c>
      <c r="R398">
        <f t="shared" si="12"/>
        <v>6128639</v>
      </c>
      <c r="S398">
        <f t="shared" si="13"/>
        <v>6128639</v>
      </c>
      <c r="T398">
        <f t="shared" si="14"/>
        <v>4576948.2</v>
      </c>
      <c r="U398">
        <f t="shared" si="15"/>
        <v>4576948.2</v>
      </c>
      <c r="V398">
        <f t="shared" si="16"/>
        <v>5662981.7999999998</v>
      </c>
      <c r="W398">
        <f t="shared" si="17"/>
        <v>5662981.7999999998</v>
      </c>
      <c r="Y398">
        <f t="shared" si="18"/>
        <v>6.0520860933931546</v>
      </c>
      <c r="Z398">
        <f t="shared" si="19"/>
        <v>6.0520860933931546</v>
      </c>
      <c r="AA398">
        <f t="shared" si="20"/>
        <v>6.0520860933931546</v>
      </c>
      <c r="AB398">
        <f t="shared" si="21"/>
        <v>4.6959266285877677</v>
      </c>
      <c r="AC398">
        <f t="shared" si="22"/>
        <v>4.6959266285877677</v>
      </c>
      <c r="AD398">
        <f t="shared" si="23"/>
        <v>4.4824458633898754</v>
      </c>
      <c r="AE398">
        <f t="shared" si="24"/>
        <v>4.4824458633898754</v>
      </c>
      <c r="AF398">
        <f t="shared" si="25"/>
        <v>1.913030897045974</v>
      </c>
      <c r="AG398">
        <f t="shared" si="26"/>
        <v>1.913030897045974</v>
      </c>
      <c r="AH398">
        <f t="shared" si="27"/>
        <v>4.5007799746003014</v>
      </c>
      <c r="AI398">
        <f t="shared" si="28"/>
        <v>4.5007799746003014</v>
      </c>
      <c r="AK398">
        <f t="shared" si="29"/>
        <v>6.0520860933931546</v>
      </c>
      <c r="AL398">
        <f t="shared" si="30"/>
        <v>6.0520860933931546</v>
      </c>
      <c r="AM398">
        <f t="shared" si="31"/>
        <v>6.0520860933931546</v>
      </c>
      <c r="AN398">
        <f t="shared" si="32"/>
        <v>4.6959266285877677</v>
      </c>
      <c r="AO398">
        <f t="shared" si="33"/>
        <v>4.6959266285877677</v>
      </c>
      <c r="AP398">
        <f t="shared" si="34"/>
        <v>4.4824458633898754</v>
      </c>
      <c r="AQ398">
        <f t="shared" si="35"/>
        <v>4.4824458633898754</v>
      </c>
      <c r="AR398">
        <f t="shared" si="36"/>
        <v>1.1264935518614949</v>
      </c>
      <c r="AS398">
        <f t="shared" si="37"/>
        <v>1.1264935518614949</v>
      </c>
      <c r="AT398">
        <f t="shared" si="38"/>
        <v>4.5007799746003014</v>
      </c>
      <c r="AU398">
        <f t="shared" si="39"/>
        <v>4.5007799746003014</v>
      </c>
    </row>
    <row r="399" spans="1:47" x14ac:dyDescent="0.3">
      <c r="A399">
        <v>21</v>
      </c>
      <c r="B399" t="s">
        <v>35</v>
      </c>
      <c r="C399" t="s">
        <v>19</v>
      </c>
      <c r="D399" t="s">
        <v>20</v>
      </c>
      <c r="F399" s="7">
        <v>0</v>
      </c>
      <c r="G399" s="7">
        <v>0</v>
      </c>
      <c r="H399" s="3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>
        <f t="shared" si="7"/>
        <v>492450</v>
      </c>
      <c r="N399">
        <f t="shared" si="8"/>
        <v>492450</v>
      </c>
      <c r="O399">
        <f t="shared" si="9"/>
        <v>492450</v>
      </c>
      <c r="P399">
        <f t="shared" si="10"/>
        <v>264522.40000000002</v>
      </c>
      <c r="Q399">
        <f t="shared" si="11"/>
        <v>264522.40000000002</v>
      </c>
      <c r="R399">
        <f t="shared" si="12"/>
        <v>253435.8</v>
      </c>
      <c r="S399">
        <f t="shared" si="13"/>
        <v>253435.8</v>
      </c>
      <c r="T399">
        <f t="shared" si="14"/>
        <v>3780204.6</v>
      </c>
      <c r="U399">
        <f t="shared" si="15"/>
        <v>3780204.6</v>
      </c>
      <c r="V399">
        <f t="shared" si="16"/>
        <v>6495.2</v>
      </c>
      <c r="W399">
        <f t="shared" si="17"/>
        <v>6495.2</v>
      </c>
      <c r="Y399">
        <f t="shared" si="18"/>
        <v>0.65460875479038805</v>
      </c>
      <c r="Z399">
        <f t="shared" si="19"/>
        <v>0.65460875479038805</v>
      </c>
      <c r="AA399">
        <f t="shared" si="20"/>
        <v>0.65460875479038805</v>
      </c>
      <c r="AB399">
        <f t="shared" si="21"/>
        <v>0.50944366499315952</v>
      </c>
      <c r="AC399">
        <f t="shared" si="22"/>
        <v>0.50944366499315952</v>
      </c>
      <c r="AD399">
        <f t="shared" si="23"/>
        <v>1.200504202814773</v>
      </c>
      <c r="AE399">
        <f t="shared" si="24"/>
        <v>1.200504202814773</v>
      </c>
      <c r="AF399">
        <f t="shared" si="25"/>
        <v>1.2404026458039881</v>
      </c>
      <c r="AG399">
        <f t="shared" si="26"/>
        <v>1.2404026458039881</v>
      </c>
      <c r="AH399">
        <f t="shared" si="27"/>
        <v>3.5182309581432439E-2</v>
      </c>
      <c r="AI399">
        <f t="shared" si="28"/>
        <v>3.5182309581432439E-2</v>
      </c>
      <c r="AK399">
        <f t="shared" si="29"/>
        <v>0.65460875479038805</v>
      </c>
      <c r="AL399">
        <f t="shared" si="30"/>
        <v>0.65460875479038805</v>
      </c>
      <c r="AM399">
        <f t="shared" si="31"/>
        <v>0.65460875479038805</v>
      </c>
      <c r="AN399">
        <f t="shared" si="32"/>
        <v>0.50944366499315952</v>
      </c>
      <c r="AO399">
        <f t="shared" si="33"/>
        <v>0.50944366499315952</v>
      </c>
      <c r="AP399">
        <f t="shared" si="34"/>
        <v>1.200504202814773</v>
      </c>
      <c r="AQ399">
        <f t="shared" si="35"/>
        <v>1.200504202814773</v>
      </c>
      <c r="AR399">
        <f t="shared" si="36"/>
        <v>0.80880469481926409</v>
      </c>
      <c r="AS399">
        <f t="shared" si="37"/>
        <v>0.80880469481926409</v>
      </c>
      <c r="AT399">
        <f t="shared" si="38"/>
        <v>3.5182309581432439E-2</v>
      </c>
      <c r="AU399">
        <f t="shared" si="39"/>
        <v>3.5182309581432439E-2</v>
      </c>
    </row>
    <row r="400" spans="1:47" x14ac:dyDescent="0.3">
      <c r="A400">
        <v>22</v>
      </c>
      <c r="B400" t="s">
        <v>36</v>
      </c>
      <c r="C400" t="s">
        <v>37</v>
      </c>
      <c r="D400" t="s">
        <v>38</v>
      </c>
      <c r="F400" s="7">
        <v>0</v>
      </c>
      <c r="G400" s="7">
        <v>0</v>
      </c>
      <c r="H400" s="3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>
        <f t="shared" si="7"/>
        <v>6218015.5999999996</v>
      </c>
      <c r="N400">
        <f t="shared" si="8"/>
        <v>6218015.5999999996</v>
      </c>
      <c r="O400">
        <f t="shared" si="9"/>
        <v>6218015.5999999996</v>
      </c>
      <c r="P400">
        <f t="shared" si="10"/>
        <v>14902021.800000001</v>
      </c>
      <c r="Q400">
        <f t="shared" si="11"/>
        <v>14902021.800000001</v>
      </c>
      <c r="R400">
        <f t="shared" si="12"/>
        <v>15785104.199999999</v>
      </c>
      <c r="S400">
        <f t="shared" si="13"/>
        <v>15785104.199999999</v>
      </c>
      <c r="T400">
        <f t="shared" si="14"/>
        <v>4656903.2</v>
      </c>
      <c r="U400">
        <f t="shared" si="15"/>
        <v>4656903.2</v>
      </c>
      <c r="V400">
        <f t="shared" si="16"/>
        <v>15292114.800000001</v>
      </c>
      <c r="W400">
        <f t="shared" si="17"/>
        <v>15292114.800000001</v>
      </c>
      <c r="Y400">
        <f t="shared" si="18"/>
        <v>5.5889950709883127</v>
      </c>
      <c r="Z400">
        <f t="shared" si="19"/>
        <v>5.5889950709883127</v>
      </c>
      <c r="AA400">
        <f t="shared" si="20"/>
        <v>5.5889950709883127</v>
      </c>
      <c r="AB400">
        <f t="shared" si="21"/>
        <v>14.72793162278831</v>
      </c>
      <c r="AC400">
        <f t="shared" si="22"/>
        <v>14.72793162278831</v>
      </c>
      <c r="AD400">
        <f t="shared" si="23"/>
        <v>11.82769113739487</v>
      </c>
      <c r="AE400">
        <f t="shared" si="24"/>
        <v>11.82769113739487</v>
      </c>
      <c r="AF400">
        <f t="shared" si="25"/>
        <v>2.2780822913860899</v>
      </c>
      <c r="AG400">
        <f t="shared" si="26"/>
        <v>2.2780822913860899</v>
      </c>
      <c r="AH400">
        <f t="shared" si="27"/>
        <v>7.9651831269846296</v>
      </c>
      <c r="AI400">
        <f t="shared" si="28"/>
        <v>7.9651831269846296</v>
      </c>
      <c r="AK400">
        <f t="shared" si="29"/>
        <v>5.5889950709883127</v>
      </c>
      <c r="AL400">
        <f t="shared" si="30"/>
        <v>5.5889950709883127</v>
      </c>
      <c r="AM400">
        <f t="shared" si="31"/>
        <v>5.5889950709883127</v>
      </c>
      <c r="AN400">
        <f t="shared" si="32"/>
        <v>14.72793162278831</v>
      </c>
      <c r="AO400">
        <f t="shared" si="33"/>
        <v>14.72793162278831</v>
      </c>
      <c r="AP400">
        <f t="shared" si="34"/>
        <v>11.82769113739487</v>
      </c>
      <c r="AQ400">
        <f t="shared" si="35"/>
        <v>11.82769113739487</v>
      </c>
      <c r="AR400">
        <f t="shared" si="36"/>
        <v>1.1811125459964389</v>
      </c>
      <c r="AS400">
        <f t="shared" si="37"/>
        <v>1.1811125459964389</v>
      </c>
      <c r="AT400">
        <f t="shared" si="38"/>
        <v>7.9651831269846296</v>
      </c>
      <c r="AU400">
        <f t="shared" si="39"/>
        <v>7.9651831269846296</v>
      </c>
    </row>
    <row r="401" spans="1:47" x14ac:dyDescent="0.3">
      <c r="A401">
        <v>22</v>
      </c>
      <c r="B401" t="s">
        <v>39</v>
      </c>
      <c r="C401" t="s">
        <v>37</v>
      </c>
      <c r="D401" t="s">
        <v>38</v>
      </c>
      <c r="F401" s="7">
        <v>0</v>
      </c>
      <c r="G401" s="7">
        <v>1</v>
      </c>
      <c r="H401" s="3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375399.8</v>
      </c>
      <c r="O401">
        <f t="shared" si="9"/>
        <v>376361.2</v>
      </c>
      <c r="P401">
        <f t="shared" si="10"/>
        <v>531781.6</v>
      </c>
      <c r="Q401">
        <f t="shared" si="11"/>
        <v>233361</v>
      </c>
      <c r="R401">
        <f t="shared" si="12"/>
        <v>425951</v>
      </c>
      <c r="S401">
        <f t="shared" si="13"/>
        <v>38913</v>
      </c>
      <c r="T401">
        <f t="shared" si="14"/>
        <v>4641178.5999999996</v>
      </c>
      <c r="U401">
        <f t="shared" si="15"/>
        <v>3424636</v>
      </c>
      <c r="V401">
        <f t="shared" si="16"/>
        <v>2057883</v>
      </c>
      <c r="W401">
        <f t="shared" si="17"/>
        <v>144039.79999999999</v>
      </c>
      <c r="Y401">
        <f t="shared" si="18"/>
        <v>0.89020973159931605</v>
      </c>
      <c r="Z401">
        <f t="shared" si="19"/>
        <v>0.71760175699600948</v>
      </c>
      <c r="AA401">
        <f t="shared" si="20"/>
        <v>0.70875674240523945</v>
      </c>
      <c r="AB401">
        <f t="shared" si="21"/>
        <v>0.94084328919998372</v>
      </c>
      <c r="AC401">
        <f t="shared" si="22"/>
        <v>0.67224014120874931</v>
      </c>
      <c r="AD401">
        <f t="shared" si="23"/>
        <v>0.57559892538702118</v>
      </c>
      <c r="AE401">
        <f t="shared" si="24"/>
        <v>0.36582353240810328</v>
      </c>
      <c r="AF401">
        <f t="shared" si="25"/>
        <v>2.2647269072243938</v>
      </c>
      <c r="AG401">
        <f t="shared" si="26"/>
        <v>2.0022185326903128</v>
      </c>
      <c r="AH401">
        <f t="shared" si="27"/>
        <v>3.4194355600047861</v>
      </c>
      <c r="AI401">
        <f t="shared" si="28"/>
        <v>0.73573900486808275</v>
      </c>
      <c r="AK401">
        <f t="shared" si="29"/>
        <v>0.89020973159931605</v>
      </c>
      <c r="AL401">
        <f t="shared" si="30"/>
        <v>0.35324678140459581</v>
      </c>
      <c r="AM401">
        <f t="shared" si="31"/>
        <v>0.34367622160352762</v>
      </c>
      <c r="AN401">
        <f t="shared" si="32"/>
        <v>0.94084328919998372</v>
      </c>
      <c r="AO401">
        <f t="shared" si="33"/>
        <v>0.3253171030024532</v>
      </c>
      <c r="AP401">
        <f t="shared" si="34"/>
        <v>0.57559892538702118</v>
      </c>
      <c r="AQ401">
        <f t="shared" si="35"/>
        <v>0.2707552859908901</v>
      </c>
      <c r="AR401">
        <f t="shared" si="36"/>
        <v>1.1807839478133251</v>
      </c>
      <c r="AS401">
        <f t="shared" si="37"/>
        <v>0.46746338736265902</v>
      </c>
      <c r="AT401">
        <f t="shared" si="38"/>
        <v>3.4194355600047861</v>
      </c>
      <c r="AU401">
        <f t="shared" si="39"/>
        <v>0.54646902165841316</v>
      </c>
    </row>
    <row r="402" spans="1:47" x14ac:dyDescent="0.3">
      <c r="A402">
        <v>22</v>
      </c>
      <c r="B402" t="s">
        <v>40</v>
      </c>
      <c r="C402" t="s">
        <v>37</v>
      </c>
      <c r="D402" t="s">
        <v>38</v>
      </c>
      <c r="F402" s="7">
        <v>0</v>
      </c>
      <c r="G402" s="7">
        <v>1</v>
      </c>
      <c r="H402" s="3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>
        <f t="shared" si="7"/>
        <v>4386124.8</v>
      </c>
      <c r="N402">
        <f t="shared" si="8"/>
        <v>4386124.8</v>
      </c>
      <c r="O402">
        <f t="shared" si="9"/>
        <v>4386124.8</v>
      </c>
      <c r="P402">
        <f t="shared" si="10"/>
        <v>2573293.2000000002</v>
      </c>
      <c r="Q402">
        <f t="shared" si="11"/>
        <v>2573293.2000000002</v>
      </c>
      <c r="R402">
        <f t="shared" si="12"/>
        <v>7628471.2000000002</v>
      </c>
      <c r="S402">
        <f t="shared" si="13"/>
        <v>7628471.2000000002</v>
      </c>
      <c r="T402">
        <f t="shared" si="14"/>
        <v>4391893.8</v>
      </c>
      <c r="U402">
        <f t="shared" si="15"/>
        <v>4391893.8</v>
      </c>
      <c r="V402">
        <f t="shared" si="16"/>
        <v>7755154.4000000004</v>
      </c>
      <c r="W402">
        <f t="shared" si="17"/>
        <v>7755154.4000000004</v>
      </c>
      <c r="Y402">
        <f t="shared" si="18"/>
        <v>3.8146690099965781</v>
      </c>
      <c r="Z402">
        <f t="shared" si="19"/>
        <v>3.8146690099965781</v>
      </c>
      <c r="AA402">
        <f t="shared" si="20"/>
        <v>3.8146690099965781</v>
      </c>
      <c r="AB402">
        <f t="shared" si="21"/>
        <v>3.3290618086059109</v>
      </c>
      <c r="AC402">
        <f t="shared" si="22"/>
        <v>3.3290618086059109</v>
      </c>
      <c r="AD402">
        <f t="shared" si="23"/>
        <v>6.5628365718061108</v>
      </c>
      <c r="AE402">
        <f t="shared" si="24"/>
        <v>6.5628365718061108</v>
      </c>
      <c r="AF402">
        <f t="shared" si="25"/>
        <v>2.106261884630658</v>
      </c>
      <c r="AG402">
        <f t="shared" si="26"/>
        <v>2.106261884630658</v>
      </c>
      <c r="AH402">
        <f t="shared" si="27"/>
        <v>5.1372832861845383</v>
      </c>
      <c r="AI402">
        <f t="shared" si="28"/>
        <v>5.1372832861845383</v>
      </c>
      <c r="AK402">
        <f t="shared" si="29"/>
        <v>3.8146690099965781</v>
      </c>
      <c r="AL402">
        <f t="shared" si="30"/>
        <v>3.8146690099965781</v>
      </c>
      <c r="AM402">
        <f t="shared" si="31"/>
        <v>3.8146690099965781</v>
      </c>
      <c r="AN402">
        <f t="shared" si="32"/>
        <v>3.3290618086059109</v>
      </c>
      <c r="AO402">
        <f t="shared" si="33"/>
        <v>3.3290618086059109</v>
      </c>
      <c r="AP402">
        <f t="shared" si="34"/>
        <v>6.5628365718061108</v>
      </c>
      <c r="AQ402">
        <f t="shared" si="35"/>
        <v>6.5628365718061108</v>
      </c>
      <c r="AR402">
        <f t="shared" si="36"/>
        <v>1.200278752832673</v>
      </c>
      <c r="AS402">
        <f t="shared" si="37"/>
        <v>1.200278752832673</v>
      </c>
      <c r="AT402">
        <f t="shared" si="38"/>
        <v>5.1372832861845383</v>
      </c>
      <c r="AU402">
        <f t="shared" si="39"/>
        <v>5.1372832861845383</v>
      </c>
    </row>
    <row r="403" spans="1:47" x14ac:dyDescent="0.3">
      <c r="A403">
        <v>22</v>
      </c>
      <c r="B403" t="s">
        <v>41</v>
      </c>
      <c r="C403" t="s">
        <v>37</v>
      </c>
      <c r="D403" t="s">
        <v>38</v>
      </c>
      <c r="F403" s="7">
        <v>0</v>
      </c>
      <c r="G403" s="7">
        <v>0</v>
      </c>
      <c r="H403" s="3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>
        <f t="shared" si="7"/>
        <v>1288357.8</v>
      </c>
      <c r="N403">
        <f t="shared" si="8"/>
        <v>1288357.8</v>
      </c>
      <c r="O403">
        <f t="shared" si="9"/>
        <v>1288357.8</v>
      </c>
      <c r="P403">
        <f t="shared" si="10"/>
        <v>8049014.7999999998</v>
      </c>
      <c r="Q403">
        <f t="shared" si="11"/>
        <v>8049014.7999999998</v>
      </c>
      <c r="R403">
        <f t="shared" si="12"/>
        <v>2096160</v>
      </c>
      <c r="S403">
        <f t="shared" si="13"/>
        <v>2096160</v>
      </c>
      <c r="T403">
        <f t="shared" si="14"/>
        <v>4381979.4000000004</v>
      </c>
      <c r="U403">
        <f t="shared" si="15"/>
        <v>4381979.4000000004</v>
      </c>
      <c r="V403">
        <f t="shared" si="16"/>
        <v>3344334.4</v>
      </c>
      <c r="W403">
        <f t="shared" si="17"/>
        <v>3344334.4</v>
      </c>
      <c r="Y403">
        <f t="shared" si="18"/>
        <v>1.4395265910075981</v>
      </c>
      <c r="Z403">
        <f t="shared" si="19"/>
        <v>1.4395265910075981</v>
      </c>
      <c r="AA403">
        <f t="shared" si="20"/>
        <v>1.4395265910075981</v>
      </c>
      <c r="AB403">
        <f t="shared" si="21"/>
        <v>3.4800496205978559</v>
      </c>
      <c r="AC403">
        <f t="shared" si="22"/>
        <v>3.4800496205978559</v>
      </c>
      <c r="AD403">
        <f t="shared" si="23"/>
        <v>2.1673130862065588</v>
      </c>
      <c r="AE403">
        <f t="shared" si="24"/>
        <v>2.1673130862065588</v>
      </c>
      <c r="AF403">
        <f t="shared" si="25"/>
        <v>2.0980703911744061</v>
      </c>
      <c r="AG403">
        <f t="shared" si="26"/>
        <v>2.0980703911744061</v>
      </c>
      <c r="AH403">
        <f t="shared" si="27"/>
        <v>3.7527047845884232</v>
      </c>
      <c r="AI403">
        <f t="shared" si="28"/>
        <v>3.7527047845884232</v>
      </c>
      <c r="AK403">
        <f t="shared" si="29"/>
        <v>1.4395265910075981</v>
      </c>
      <c r="AL403">
        <f t="shared" si="30"/>
        <v>1.4395265910075981</v>
      </c>
      <c r="AM403">
        <f t="shared" si="31"/>
        <v>1.4395265910075981</v>
      </c>
      <c r="AN403">
        <f t="shared" si="32"/>
        <v>3.4800496205978559</v>
      </c>
      <c r="AO403">
        <f t="shared" si="33"/>
        <v>3.4800496205978559</v>
      </c>
      <c r="AP403">
        <f t="shared" si="34"/>
        <v>2.1673130862065588</v>
      </c>
      <c r="AQ403">
        <f t="shared" si="35"/>
        <v>2.1673130862065588</v>
      </c>
      <c r="AR403">
        <f t="shared" si="36"/>
        <v>1.190871158160735</v>
      </c>
      <c r="AS403">
        <f t="shared" si="37"/>
        <v>1.190871158160735</v>
      </c>
      <c r="AT403">
        <f t="shared" si="38"/>
        <v>3.7527047845884232</v>
      </c>
      <c r="AU403">
        <f t="shared" si="39"/>
        <v>3.7527047845884232</v>
      </c>
    </row>
    <row r="404" spans="1:47" x14ac:dyDescent="0.3">
      <c r="A404">
        <v>22</v>
      </c>
      <c r="B404" t="s">
        <v>42</v>
      </c>
      <c r="C404" t="s">
        <v>37</v>
      </c>
      <c r="D404" t="s">
        <v>38</v>
      </c>
      <c r="F404" s="7">
        <v>0</v>
      </c>
      <c r="G404" s="7">
        <v>1</v>
      </c>
      <c r="H404" s="3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>
        <f t="shared" si="7"/>
        <v>878753.2</v>
      </c>
      <c r="N404">
        <f t="shared" si="8"/>
        <v>878753.2</v>
      </c>
      <c r="O404">
        <f t="shared" si="9"/>
        <v>878753.2</v>
      </c>
      <c r="P404">
        <f t="shared" si="10"/>
        <v>1835525</v>
      </c>
      <c r="Q404">
        <f t="shared" si="11"/>
        <v>1835525</v>
      </c>
      <c r="R404">
        <f t="shared" si="12"/>
        <v>1062859</v>
      </c>
      <c r="S404">
        <f t="shared" si="13"/>
        <v>1062859</v>
      </c>
      <c r="T404">
        <f t="shared" si="14"/>
        <v>4322342.5999999996</v>
      </c>
      <c r="U404">
        <f t="shared" si="15"/>
        <v>4322342.5999999996</v>
      </c>
      <c r="V404">
        <f t="shared" si="16"/>
        <v>4812924.4000000004</v>
      </c>
      <c r="W404">
        <f t="shared" si="17"/>
        <v>4812924.4000000004</v>
      </c>
      <c r="Y404">
        <f t="shared" si="18"/>
        <v>1.1558645096025431</v>
      </c>
      <c r="Z404">
        <f t="shared" si="19"/>
        <v>1.1558645096025431</v>
      </c>
      <c r="AA404">
        <f t="shared" si="20"/>
        <v>1.1558645096025431</v>
      </c>
      <c r="AB404">
        <f t="shared" si="21"/>
        <v>2.0845649896014948</v>
      </c>
      <c r="AC404">
        <f t="shared" si="22"/>
        <v>2.0845649896014948</v>
      </c>
      <c r="AD404">
        <f t="shared" si="23"/>
        <v>1.2431251265923491</v>
      </c>
      <c r="AE404">
        <f t="shared" si="24"/>
        <v>1.2431251265923491</v>
      </c>
      <c r="AF404">
        <f t="shared" si="25"/>
        <v>2.148098510201089</v>
      </c>
      <c r="AG404">
        <f t="shared" si="26"/>
        <v>2.148098510201089</v>
      </c>
      <c r="AH404">
        <f t="shared" si="27"/>
        <v>4.4215661300113416</v>
      </c>
      <c r="AI404">
        <f t="shared" si="28"/>
        <v>4.4215661300113416</v>
      </c>
      <c r="AK404">
        <f t="shared" si="29"/>
        <v>1.1558645096025431</v>
      </c>
      <c r="AL404">
        <f t="shared" si="30"/>
        <v>1.1558645096025431</v>
      </c>
      <c r="AM404">
        <f t="shared" si="31"/>
        <v>1.1558645096025431</v>
      </c>
      <c r="AN404">
        <f t="shared" si="32"/>
        <v>2.0845649896014948</v>
      </c>
      <c r="AO404">
        <f t="shared" si="33"/>
        <v>2.0845649896014948</v>
      </c>
      <c r="AP404">
        <f t="shared" si="34"/>
        <v>1.2431251265923491</v>
      </c>
      <c r="AQ404">
        <f t="shared" si="35"/>
        <v>1.2431251265923491</v>
      </c>
      <c r="AR404">
        <f t="shared" si="36"/>
        <v>1.235417473595589</v>
      </c>
      <c r="AS404">
        <f t="shared" si="37"/>
        <v>1.235417473595589</v>
      </c>
      <c r="AT404">
        <f t="shared" si="38"/>
        <v>4.4215661300113416</v>
      </c>
      <c r="AU404">
        <f t="shared" si="39"/>
        <v>4.4215661300113416</v>
      </c>
    </row>
    <row r="405" spans="1:47" x14ac:dyDescent="0.3">
      <c r="A405">
        <v>22</v>
      </c>
      <c r="B405" t="s">
        <v>43</v>
      </c>
      <c r="C405" t="s">
        <v>37</v>
      </c>
      <c r="D405" t="s">
        <v>38</v>
      </c>
      <c r="F405" s="7">
        <v>0</v>
      </c>
      <c r="G405" s="7">
        <v>0</v>
      </c>
      <c r="H405" s="3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>
        <f t="shared" si="7"/>
        <v>1877990.2</v>
      </c>
      <c r="N405">
        <f t="shared" si="8"/>
        <v>1877990.2</v>
      </c>
      <c r="O405">
        <f t="shared" si="9"/>
        <v>1877990.2</v>
      </c>
      <c r="P405">
        <f t="shared" si="10"/>
        <v>1753422.2</v>
      </c>
      <c r="Q405">
        <f t="shared" si="11"/>
        <v>1753422.2</v>
      </c>
      <c r="R405">
        <f t="shared" si="12"/>
        <v>1693590.8</v>
      </c>
      <c r="S405">
        <f t="shared" si="13"/>
        <v>1693590.8</v>
      </c>
      <c r="T405">
        <f t="shared" si="14"/>
        <v>4319504.5999999996</v>
      </c>
      <c r="U405">
        <f t="shared" si="15"/>
        <v>4319504.5999999996</v>
      </c>
      <c r="V405">
        <f t="shared" si="16"/>
        <v>6489848.2000000002</v>
      </c>
      <c r="W405">
        <f t="shared" si="17"/>
        <v>6489848.2000000002</v>
      </c>
      <c r="Y405">
        <f t="shared" si="18"/>
        <v>1.9229706075857389</v>
      </c>
      <c r="Z405">
        <f t="shared" si="19"/>
        <v>1.9229706075857389</v>
      </c>
      <c r="AA405">
        <f t="shared" si="20"/>
        <v>1.9229706075857389</v>
      </c>
      <c r="AB405">
        <f t="shared" si="21"/>
        <v>2.0794064060086379</v>
      </c>
      <c r="AC405">
        <f t="shared" si="22"/>
        <v>2.0794064060086379</v>
      </c>
      <c r="AD405">
        <f t="shared" si="23"/>
        <v>1.9256839380133901</v>
      </c>
      <c r="AE405">
        <f t="shared" si="24"/>
        <v>1.9256839380133901</v>
      </c>
      <c r="AF405">
        <f t="shared" si="25"/>
        <v>2.1373917083605192</v>
      </c>
      <c r="AG405">
        <f t="shared" si="26"/>
        <v>2.1373917083605192</v>
      </c>
      <c r="AH405">
        <f t="shared" si="27"/>
        <v>4.8848833257914519</v>
      </c>
      <c r="AI405">
        <f t="shared" si="28"/>
        <v>4.8848833257914519</v>
      </c>
      <c r="AK405">
        <f t="shared" si="29"/>
        <v>1.9229706075857389</v>
      </c>
      <c r="AL405">
        <f t="shared" si="30"/>
        <v>1.9229706075857389</v>
      </c>
      <c r="AM405">
        <f t="shared" si="31"/>
        <v>1.9229706075857389</v>
      </c>
      <c r="AN405">
        <f t="shared" si="32"/>
        <v>2.0794064060086379</v>
      </c>
      <c r="AO405">
        <f t="shared" si="33"/>
        <v>2.0794064060086379</v>
      </c>
      <c r="AP405">
        <f t="shared" si="34"/>
        <v>1.9256839380133901</v>
      </c>
      <c r="AQ405">
        <f t="shared" si="35"/>
        <v>1.9256839380133901</v>
      </c>
      <c r="AR405">
        <f t="shared" si="36"/>
        <v>1.2290764639852569</v>
      </c>
      <c r="AS405">
        <f t="shared" si="37"/>
        <v>1.2290764639852569</v>
      </c>
      <c r="AT405">
        <f t="shared" si="38"/>
        <v>4.8848833257914519</v>
      </c>
      <c r="AU405">
        <f t="shared" si="39"/>
        <v>4.8848833257914519</v>
      </c>
    </row>
    <row r="406" spans="1:47" x14ac:dyDescent="0.3">
      <c r="A406">
        <v>22</v>
      </c>
      <c r="B406" t="s">
        <v>44</v>
      </c>
      <c r="C406" t="s">
        <v>37</v>
      </c>
      <c r="D406" t="s">
        <v>38</v>
      </c>
      <c r="F406" s="7">
        <v>0</v>
      </c>
      <c r="G406" s="7">
        <v>0</v>
      </c>
      <c r="H406" s="3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343398.40000000002</v>
      </c>
      <c r="O406">
        <f t="shared" si="9"/>
        <v>344526.2</v>
      </c>
      <c r="P406">
        <f t="shared" si="10"/>
        <v>240817.6</v>
      </c>
      <c r="Q406">
        <f t="shared" si="11"/>
        <v>216188.2</v>
      </c>
      <c r="R406">
        <f t="shared" si="12"/>
        <v>47009</v>
      </c>
      <c r="S406">
        <f t="shared" si="13"/>
        <v>46935</v>
      </c>
      <c r="T406">
        <f t="shared" si="14"/>
        <v>4421463</v>
      </c>
      <c r="U406">
        <f t="shared" si="15"/>
        <v>3322838.8</v>
      </c>
      <c r="V406">
        <f t="shared" si="16"/>
        <v>381348.6</v>
      </c>
      <c r="W406">
        <f t="shared" si="17"/>
        <v>126769.8</v>
      </c>
      <c r="Y406">
        <f t="shared" si="18"/>
        <v>0.59828492818633094</v>
      </c>
      <c r="Z406">
        <f t="shared" si="19"/>
        <v>0.74047691095620394</v>
      </c>
      <c r="AA406">
        <f t="shared" si="20"/>
        <v>0.72988046560203657</v>
      </c>
      <c r="AB406">
        <f t="shared" si="21"/>
        <v>0.55254255340551028</v>
      </c>
      <c r="AC406">
        <f t="shared" si="22"/>
        <v>0.68503056300687604</v>
      </c>
      <c r="AD406">
        <f t="shared" si="23"/>
        <v>0.1733117774128913</v>
      </c>
      <c r="AE406">
        <f t="shared" si="24"/>
        <v>0.42310022168094291</v>
      </c>
      <c r="AF406">
        <f t="shared" si="25"/>
        <v>2.1609752216027118</v>
      </c>
      <c r="AG406">
        <f t="shared" si="26"/>
        <v>1.983766100648791</v>
      </c>
      <c r="AH406">
        <f t="shared" si="27"/>
        <v>1.0427957601961679</v>
      </c>
      <c r="AI406">
        <f t="shared" si="28"/>
        <v>0.73372422925895076</v>
      </c>
      <c r="AK406">
        <f t="shared" si="29"/>
        <v>0.59828492818633094</v>
      </c>
      <c r="AL406">
        <f t="shared" si="30"/>
        <v>0.36957914381055162</v>
      </c>
      <c r="AM406">
        <f t="shared" si="31"/>
        <v>0.35989046121248969</v>
      </c>
      <c r="AN406">
        <f t="shared" si="32"/>
        <v>0.55254255340551028</v>
      </c>
      <c r="AO406">
        <f t="shared" si="33"/>
        <v>0.34126780540682372</v>
      </c>
      <c r="AP406">
        <f t="shared" si="34"/>
        <v>0.1733117774128913</v>
      </c>
      <c r="AQ406">
        <f t="shared" si="35"/>
        <v>0.30233840743312612</v>
      </c>
      <c r="AR406">
        <f t="shared" si="36"/>
        <v>1.2429993476136589</v>
      </c>
      <c r="AS406">
        <f t="shared" si="37"/>
        <v>0.48482191518414758</v>
      </c>
      <c r="AT406">
        <f t="shared" si="38"/>
        <v>1.0427957601961679</v>
      </c>
      <c r="AU406">
        <f t="shared" si="39"/>
        <v>0.48680867459624999</v>
      </c>
    </row>
    <row r="407" spans="1:47" x14ac:dyDescent="0.3">
      <c r="A407">
        <v>22</v>
      </c>
      <c r="B407" t="s">
        <v>45</v>
      </c>
      <c r="C407" t="s">
        <v>37</v>
      </c>
      <c r="D407" t="s">
        <v>38</v>
      </c>
      <c r="F407" s="7">
        <v>0</v>
      </c>
      <c r="G407" s="7">
        <v>1</v>
      </c>
      <c r="H407" s="3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>
        <f t="shared" si="7"/>
        <v>1837465.8</v>
      </c>
      <c r="N407">
        <f t="shared" si="8"/>
        <v>1837465.8</v>
      </c>
      <c r="O407">
        <f t="shared" si="9"/>
        <v>1837465.8</v>
      </c>
      <c r="P407">
        <f t="shared" si="10"/>
        <v>2405833.6</v>
      </c>
      <c r="Q407">
        <f t="shared" si="11"/>
        <v>2405833.6</v>
      </c>
      <c r="R407">
        <f t="shared" si="12"/>
        <v>2353739.6</v>
      </c>
      <c r="S407">
        <f t="shared" si="13"/>
        <v>2353739.6</v>
      </c>
      <c r="T407">
        <f t="shared" si="14"/>
        <v>4447722.5999999996</v>
      </c>
      <c r="U407">
        <f t="shared" si="15"/>
        <v>4447722.5999999996</v>
      </c>
      <c r="V407">
        <f t="shared" si="16"/>
        <v>6130407.5999999996</v>
      </c>
      <c r="W407">
        <f t="shared" si="17"/>
        <v>6130407.5999999996</v>
      </c>
      <c r="Y407">
        <f t="shared" si="18"/>
        <v>1.934240008587949</v>
      </c>
      <c r="Z407">
        <f t="shared" si="19"/>
        <v>1.934240008587949</v>
      </c>
      <c r="AA407">
        <f t="shared" si="20"/>
        <v>1.934240008587949</v>
      </c>
      <c r="AB407">
        <f t="shared" si="21"/>
        <v>1.811879475205205</v>
      </c>
      <c r="AC407">
        <f t="shared" si="22"/>
        <v>1.811879475205205</v>
      </c>
      <c r="AD407">
        <f t="shared" si="23"/>
        <v>2.8660558150033468</v>
      </c>
      <c r="AE407">
        <f t="shared" si="24"/>
        <v>2.8660558150033468</v>
      </c>
      <c r="AF407">
        <f t="shared" si="25"/>
        <v>2.1704034527763718</v>
      </c>
      <c r="AG407">
        <f t="shared" si="26"/>
        <v>2.1704034527763718</v>
      </c>
      <c r="AH407">
        <f t="shared" si="27"/>
        <v>4.9003782937768836</v>
      </c>
      <c r="AI407">
        <f t="shared" si="28"/>
        <v>4.9003782937768836</v>
      </c>
      <c r="AK407">
        <f t="shared" si="29"/>
        <v>1.934240008587949</v>
      </c>
      <c r="AL407">
        <f t="shared" si="30"/>
        <v>1.934240008587949</v>
      </c>
      <c r="AM407">
        <f t="shared" si="31"/>
        <v>1.934240008587949</v>
      </c>
      <c r="AN407">
        <f t="shared" si="32"/>
        <v>1.811879475205205</v>
      </c>
      <c r="AO407">
        <f t="shared" si="33"/>
        <v>1.811879475205205</v>
      </c>
      <c r="AP407">
        <f t="shared" si="34"/>
        <v>2.8660558150033468</v>
      </c>
      <c r="AQ407">
        <f t="shared" si="35"/>
        <v>2.8660558150033468</v>
      </c>
      <c r="AR407">
        <f t="shared" si="36"/>
        <v>1.269318034977186</v>
      </c>
      <c r="AS407">
        <f t="shared" si="37"/>
        <v>1.269318034977186</v>
      </c>
      <c r="AT407">
        <f t="shared" si="38"/>
        <v>4.9003782937768836</v>
      </c>
      <c r="AU407">
        <f t="shared" si="39"/>
        <v>4.9003782937768836</v>
      </c>
    </row>
    <row r="408" spans="1:47" x14ac:dyDescent="0.3">
      <c r="A408">
        <v>23</v>
      </c>
      <c r="B408" t="s">
        <v>46</v>
      </c>
      <c r="C408" t="s">
        <v>47</v>
      </c>
      <c r="D408" t="s">
        <v>48</v>
      </c>
      <c r="F408" s="7">
        <v>0</v>
      </c>
      <c r="G408" s="7">
        <v>0</v>
      </c>
      <c r="H408" s="3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>
        <f t="shared" si="7"/>
        <v>2025390.8</v>
      </c>
      <c r="N408">
        <f t="shared" si="8"/>
        <v>2025390.8</v>
      </c>
      <c r="O408">
        <f t="shared" si="9"/>
        <v>2025390.8</v>
      </c>
      <c r="P408">
        <f t="shared" si="10"/>
        <v>2641017.4</v>
      </c>
      <c r="Q408">
        <f t="shared" si="11"/>
        <v>2641017.4</v>
      </c>
      <c r="R408">
        <f t="shared" si="12"/>
        <v>1830487.8</v>
      </c>
      <c r="S408">
        <f t="shared" si="13"/>
        <v>1830487.8</v>
      </c>
      <c r="T408">
        <f t="shared" si="14"/>
        <v>4660083.8</v>
      </c>
      <c r="U408">
        <f t="shared" si="15"/>
        <v>4660083.8</v>
      </c>
      <c r="V408">
        <f t="shared" si="16"/>
        <v>3086489.6000000001</v>
      </c>
      <c r="W408">
        <f t="shared" si="17"/>
        <v>3086489.6000000001</v>
      </c>
      <c r="Y408">
        <f t="shared" si="18"/>
        <v>2.394523791200482</v>
      </c>
      <c r="Z408">
        <f t="shared" si="19"/>
        <v>2.394523791200482</v>
      </c>
      <c r="AA408">
        <f t="shared" si="20"/>
        <v>2.394523791200482</v>
      </c>
      <c r="AB408">
        <f t="shared" si="21"/>
        <v>3.8469693112012471</v>
      </c>
      <c r="AC408">
        <f t="shared" si="22"/>
        <v>3.8469693112012471</v>
      </c>
      <c r="AD408">
        <f t="shared" si="23"/>
        <v>2.6979409953928548</v>
      </c>
      <c r="AE408">
        <f t="shared" si="24"/>
        <v>2.6979409953928548</v>
      </c>
      <c r="AF408">
        <f t="shared" si="25"/>
        <v>3.0557383904117161</v>
      </c>
      <c r="AG408">
        <f t="shared" si="26"/>
        <v>3.0557383904117161</v>
      </c>
      <c r="AH408">
        <f t="shared" si="27"/>
        <v>4.3449657396064136</v>
      </c>
      <c r="AI408">
        <f t="shared" si="28"/>
        <v>4.3449657396064136</v>
      </c>
      <c r="AK408">
        <f t="shared" si="29"/>
        <v>2.394523791200482</v>
      </c>
      <c r="AL408">
        <f t="shared" si="30"/>
        <v>2.394523791200482</v>
      </c>
      <c r="AM408">
        <f t="shared" si="31"/>
        <v>2.394523791200482</v>
      </c>
      <c r="AN408">
        <f t="shared" si="32"/>
        <v>3.8469693112012471</v>
      </c>
      <c r="AO408">
        <f t="shared" si="33"/>
        <v>3.8469693112012471</v>
      </c>
      <c r="AP408">
        <f t="shared" si="34"/>
        <v>2.6979409953928548</v>
      </c>
      <c r="AQ408">
        <f t="shared" si="35"/>
        <v>2.6979409953928548</v>
      </c>
      <c r="AR408">
        <f t="shared" si="36"/>
        <v>1.570949186407961</v>
      </c>
      <c r="AS408">
        <f t="shared" si="37"/>
        <v>1.570949186407961</v>
      </c>
      <c r="AT408">
        <f t="shared" si="38"/>
        <v>4.3449657396064136</v>
      </c>
      <c r="AU408">
        <f t="shared" si="39"/>
        <v>4.3449657396064136</v>
      </c>
    </row>
    <row r="409" spans="1:47" x14ac:dyDescent="0.3">
      <c r="A409">
        <v>23</v>
      </c>
      <c r="B409" t="s">
        <v>49</v>
      </c>
      <c r="C409" t="s">
        <v>47</v>
      </c>
      <c r="D409" t="s">
        <v>48</v>
      </c>
      <c r="F409" s="7">
        <v>0</v>
      </c>
      <c r="G409" s="7">
        <v>1</v>
      </c>
      <c r="H409" s="3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>
        <f t="shared" si="7"/>
        <v>510392.8</v>
      </c>
      <c r="N409">
        <f t="shared" si="8"/>
        <v>510392.8</v>
      </c>
      <c r="O409">
        <f t="shared" si="9"/>
        <v>510392.8</v>
      </c>
      <c r="P409">
        <f t="shared" si="10"/>
        <v>376094.8</v>
      </c>
      <c r="Q409">
        <f t="shared" si="11"/>
        <v>376094.8</v>
      </c>
      <c r="R409">
        <f t="shared" si="12"/>
        <v>129116.6</v>
      </c>
      <c r="S409">
        <f t="shared" si="13"/>
        <v>129116.6</v>
      </c>
      <c r="T409">
        <f t="shared" si="14"/>
        <v>4658087</v>
      </c>
      <c r="U409">
        <f t="shared" si="15"/>
        <v>4658087</v>
      </c>
      <c r="V409">
        <f t="shared" si="16"/>
        <v>306763.40000000002</v>
      </c>
      <c r="W409">
        <f t="shared" si="17"/>
        <v>306763.40000000002</v>
      </c>
      <c r="Y409">
        <f t="shared" si="18"/>
        <v>0.89793768681120123</v>
      </c>
      <c r="Z409">
        <f t="shared" si="19"/>
        <v>0.89793768681120123</v>
      </c>
      <c r="AA409">
        <f t="shared" si="20"/>
        <v>0.89793768681120123</v>
      </c>
      <c r="AB409">
        <f t="shared" si="21"/>
        <v>0.894650272798026</v>
      </c>
      <c r="AC409">
        <f t="shared" si="22"/>
        <v>0.894650272798026</v>
      </c>
      <c r="AD409">
        <f t="shared" si="23"/>
        <v>0.27804024020442741</v>
      </c>
      <c r="AE409">
        <f t="shared" si="24"/>
        <v>0.27804024020442741</v>
      </c>
      <c r="AF409">
        <f t="shared" si="25"/>
        <v>3.029188693000469</v>
      </c>
      <c r="AG409">
        <f t="shared" si="26"/>
        <v>3.029188693000469</v>
      </c>
      <c r="AH409">
        <f t="shared" si="27"/>
        <v>0.90919390500057484</v>
      </c>
      <c r="AI409">
        <f t="shared" si="28"/>
        <v>0.90919390500057484</v>
      </c>
      <c r="AK409">
        <f t="shared" si="29"/>
        <v>0.89793768681120123</v>
      </c>
      <c r="AL409">
        <f t="shared" si="30"/>
        <v>0.89793768681120123</v>
      </c>
      <c r="AM409">
        <f t="shared" si="31"/>
        <v>0.89793768681120123</v>
      </c>
      <c r="AN409">
        <f t="shared" si="32"/>
        <v>0.894650272798026</v>
      </c>
      <c r="AO409">
        <f t="shared" si="33"/>
        <v>0.894650272798026</v>
      </c>
      <c r="AP409">
        <f t="shared" si="34"/>
        <v>0.27804024020442741</v>
      </c>
      <c r="AQ409">
        <f t="shared" si="35"/>
        <v>0.27804024020442741</v>
      </c>
      <c r="AR409">
        <f t="shared" si="36"/>
        <v>1.5757317378069271</v>
      </c>
      <c r="AS409">
        <f t="shared" si="37"/>
        <v>1.5757317378069271</v>
      </c>
      <c r="AT409">
        <f t="shared" si="38"/>
        <v>0.90919390500057484</v>
      </c>
      <c r="AU409">
        <f t="shared" si="39"/>
        <v>0.90919390500057484</v>
      </c>
    </row>
    <row r="410" spans="1:47" x14ac:dyDescent="0.3">
      <c r="A410">
        <v>23</v>
      </c>
      <c r="B410" t="s">
        <v>50</v>
      </c>
      <c r="C410" t="s">
        <v>47</v>
      </c>
      <c r="D410" t="s">
        <v>48</v>
      </c>
      <c r="F410" s="7">
        <v>0</v>
      </c>
      <c r="G410" s="7">
        <v>1</v>
      </c>
      <c r="H410" s="3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1965615.4</v>
      </c>
      <c r="O410">
        <f t="shared" si="9"/>
        <v>1980007.0666666669</v>
      </c>
      <c r="P410">
        <f t="shared" si="10"/>
        <v>2545954.4</v>
      </c>
      <c r="Q410">
        <f t="shared" si="11"/>
        <v>1086761.333333333</v>
      </c>
      <c r="R410">
        <f t="shared" si="12"/>
        <v>1544494.4</v>
      </c>
      <c r="S410">
        <f t="shared" si="13"/>
        <v>735181.53333333333</v>
      </c>
      <c r="T410">
        <f t="shared" si="14"/>
        <v>5350565.4000000004</v>
      </c>
      <c r="U410">
        <f t="shared" si="15"/>
        <v>4479676.1333333338</v>
      </c>
      <c r="V410">
        <f t="shared" si="16"/>
        <v>5329729.2</v>
      </c>
      <c r="W410">
        <f t="shared" si="17"/>
        <v>1667066.533333333</v>
      </c>
      <c r="Y410">
        <f t="shared" si="18"/>
        <v>2.1257680462091231</v>
      </c>
      <c r="Z410">
        <f t="shared" si="19"/>
        <v>2.1151503697969019</v>
      </c>
      <c r="AA410">
        <f t="shared" si="20"/>
        <v>2.1241430885740562</v>
      </c>
      <c r="AB410">
        <f t="shared" si="21"/>
        <v>3.2679051615996291</v>
      </c>
      <c r="AC410">
        <f t="shared" si="22"/>
        <v>1.6616098300728479</v>
      </c>
      <c r="AD410">
        <f t="shared" si="23"/>
        <v>3.003722781199031</v>
      </c>
      <c r="AE410">
        <f t="shared" si="24"/>
        <v>1.992024615942501</v>
      </c>
      <c r="AF410">
        <f t="shared" si="25"/>
        <v>3.5133266895893032</v>
      </c>
      <c r="AG410">
        <f t="shared" si="26"/>
        <v>3.5268823566885348</v>
      </c>
      <c r="AH410">
        <f t="shared" si="27"/>
        <v>4.8060718195978556</v>
      </c>
      <c r="AI410">
        <f t="shared" si="28"/>
        <v>3.087140767772993</v>
      </c>
      <c r="AK410">
        <f t="shared" si="29"/>
        <v>2.1257680462091231</v>
      </c>
      <c r="AL410">
        <f t="shared" si="30"/>
        <v>0.71418605007541669</v>
      </c>
      <c r="AM410">
        <f t="shared" si="31"/>
        <v>0.72326182059089961</v>
      </c>
      <c r="AN410">
        <f t="shared" si="32"/>
        <v>3.2679051615996291</v>
      </c>
      <c r="AO410">
        <f t="shared" si="33"/>
        <v>0.64915919519844467</v>
      </c>
      <c r="AP410">
        <f t="shared" si="34"/>
        <v>3.003722781199031</v>
      </c>
      <c r="AQ410">
        <f t="shared" si="35"/>
        <v>0.75995206186780706</v>
      </c>
      <c r="AR410">
        <f t="shared" si="36"/>
        <v>1.837582277588081</v>
      </c>
      <c r="AS410">
        <f t="shared" si="37"/>
        <v>0.61016181598339858</v>
      </c>
      <c r="AT410">
        <f t="shared" si="38"/>
        <v>4.8060718195978556</v>
      </c>
      <c r="AU410">
        <f t="shared" si="39"/>
        <v>1.599172983268121</v>
      </c>
    </row>
    <row r="411" spans="1:47" x14ac:dyDescent="0.3">
      <c r="A411">
        <v>23</v>
      </c>
      <c r="B411" t="s">
        <v>51</v>
      </c>
      <c r="C411" t="s">
        <v>47</v>
      </c>
      <c r="D411" t="s">
        <v>48</v>
      </c>
      <c r="F411" s="7">
        <v>0</v>
      </c>
      <c r="G411" s="7">
        <v>0</v>
      </c>
      <c r="H411" s="3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1195124.333333333</v>
      </c>
      <c r="O411">
        <f t="shared" si="9"/>
        <v>1196892.333333333</v>
      </c>
      <c r="P411">
        <f t="shared" si="10"/>
        <v>238307</v>
      </c>
      <c r="Q411">
        <f t="shared" si="11"/>
        <v>336663</v>
      </c>
      <c r="R411">
        <f t="shared" si="12"/>
        <v>153050.6</v>
      </c>
      <c r="S411">
        <f t="shared" si="13"/>
        <v>254710.66666666669</v>
      </c>
      <c r="T411">
        <f t="shared" si="14"/>
        <v>5344374.2</v>
      </c>
      <c r="U411">
        <f t="shared" si="15"/>
        <v>4450111.4666666668</v>
      </c>
      <c r="V411">
        <f t="shared" si="16"/>
        <v>69272.600000000006</v>
      </c>
      <c r="W411">
        <f t="shared" si="17"/>
        <v>270920.53333333333</v>
      </c>
      <c r="Y411">
        <f t="shared" si="18"/>
        <v>1.107755100994837</v>
      </c>
      <c r="Z411">
        <f t="shared" si="19"/>
        <v>1.436987768412413</v>
      </c>
      <c r="AA411">
        <f t="shared" si="20"/>
        <v>1.429381437165042</v>
      </c>
      <c r="AB411">
        <f t="shared" si="21"/>
        <v>0.72753683039918537</v>
      </c>
      <c r="AC411">
        <f t="shared" si="22"/>
        <v>0.85017136159197748</v>
      </c>
      <c r="AD411">
        <f t="shared" si="23"/>
        <v>0.92788259719964117</v>
      </c>
      <c r="AE411">
        <f t="shared" si="24"/>
        <v>1.2366811902456289</v>
      </c>
      <c r="AF411">
        <f t="shared" si="25"/>
        <v>3.4471514430129901</v>
      </c>
      <c r="AG411">
        <f t="shared" si="26"/>
        <v>3.4754440447199162</v>
      </c>
      <c r="AH411">
        <f t="shared" si="27"/>
        <v>0.24908551099942999</v>
      </c>
      <c r="AI411">
        <f t="shared" si="28"/>
        <v>1.465256934248222</v>
      </c>
      <c r="AK411">
        <f t="shared" si="29"/>
        <v>1.107755100994837</v>
      </c>
      <c r="AL411">
        <f t="shared" si="30"/>
        <v>0.54508202599827205</v>
      </c>
      <c r="AM411">
        <f t="shared" si="31"/>
        <v>0.53940503253446281</v>
      </c>
      <c r="AN411">
        <f t="shared" si="32"/>
        <v>0.72753683039918537</v>
      </c>
      <c r="AO411">
        <f t="shared" si="33"/>
        <v>0.35689856866956687</v>
      </c>
      <c r="AP411">
        <f t="shared" si="34"/>
        <v>0.92788259719964117</v>
      </c>
      <c r="AQ411">
        <f t="shared" si="35"/>
        <v>0.5228601246684168</v>
      </c>
      <c r="AR411">
        <f t="shared" si="36"/>
        <v>1.803055020817556</v>
      </c>
      <c r="AS411">
        <f t="shared" si="37"/>
        <v>0.60147440368697669</v>
      </c>
      <c r="AT411">
        <f t="shared" si="38"/>
        <v>0.24908551099942999</v>
      </c>
      <c r="AU411">
        <f t="shared" si="39"/>
        <v>0.79042374452886488</v>
      </c>
    </row>
    <row r="412" spans="1:47" x14ac:dyDescent="0.3">
      <c r="A412">
        <v>23</v>
      </c>
      <c r="B412" t="s">
        <v>52</v>
      </c>
      <c r="C412" t="s">
        <v>47</v>
      </c>
      <c r="D412" t="s">
        <v>48</v>
      </c>
      <c r="F412" s="7">
        <v>0</v>
      </c>
      <c r="G412" s="7">
        <v>1</v>
      </c>
      <c r="H412" s="3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1815831.666666667</v>
      </c>
      <c r="O412">
        <f t="shared" si="9"/>
        <v>1829352.4</v>
      </c>
      <c r="P412">
        <f t="shared" si="10"/>
        <v>869035.6</v>
      </c>
      <c r="Q412">
        <f t="shared" si="11"/>
        <v>746225.73333333328</v>
      </c>
      <c r="R412">
        <f t="shared" si="12"/>
        <v>692113</v>
      </c>
      <c r="S412">
        <f t="shared" si="13"/>
        <v>629609.19999999995</v>
      </c>
      <c r="T412">
        <f t="shared" si="14"/>
        <v>4485341.8</v>
      </c>
      <c r="U412">
        <f t="shared" si="15"/>
        <v>4013361.933333334</v>
      </c>
      <c r="V412">
        <f t="shared" si="16"/>
        <v>2299098.2000000002</v>
      </c>
      <c r="W412">
        <f t="shared" si="17"/>
        <v>971731</v>
      </c>
      <c r="Y412">
        <f t="shared" si="18"/>
        <v>2.4244357363902962</v>
      </c>
      <c r="Z412">
        <f t="shared" si="19"/>
        <v>2.049262263408552</v>
      </c>
      <c r="AA412">
        <f t="shared" si="20"/>
        <v>2.0523741088031482</v>
      </c>
      <c r="AB412">
        <f t="shared" si="21"/>
        <v>1.6278640292002819</v>
      </c>
      <c r="AC412">
        <f t="shared" si="22"/>
        <v>1.3238248451263639</v>
      </c>
      <c r="AD412">
        <f t="shared" si="23"/>
        <v>2.12040552739054</v>
      </c>
      <c r="AE412">
        <f t="shared" si="24"/>
        <v>2.0601064164152678</v>
      </c>
      <c r="AF412">
        <f t="shared" si="25"/>
        <v>2.7790167954633942</v>
      </c>
      <c r="AG412">
        <f t="shared" si="26"/>
        <v>3.0894428522714099</v>
      </c>
      <c r="AH412">
        <f t="shared" si="27"/>
        <v>3.7769304535933772</v>
      </c>
      <c r="AI412">
        <f t="shared" si="28"/>
        <v>2.8128486974591702</v>
      </c>
      <c r="AK412">
        <f t="shared" si="29"/>
        <v>2.4244357363902962</v>
      </c>
      <c r="AL412">
        <f t="shared" si="30"/>
        <v>0.64661764085758477</v>
      </c>
      <c r="AM412">
        <f t="shared" si="31"/>
        <v>0.65226220074497787</v>
      </c>
      <c r="AN412">
        <f t="shared" si="32"/>
        <v>1.6278640292002819</v>
      </c>
      <c r="AO412">
        <f t="shared" si="33"/>
        <v>0.52319397779647259</v>
      </c>
      <c r="AP412">
        <f t="shared" si="34"/>
        <v>2.12040552739054</v>
      </c>
      <c r="AQ412">
        <f t="shared" si="35"/>
        <v>0.72388135521517438</v>
      </c>
      <c r="AR412">
        <f t="shared" si="36"/>
        <v>1.438905514474027</v>
      </c>
      <c r="AS412">
        <f t="shared" si="37"/>
        <v>0.56124525659251956</v>
      </c>
      <c r="AT412">
        <f t="shared" si="38"/>
        <v>3.7769304535933772</v>
      </c>
      <c r="AU412">
        <f t="shared" si="39"/>
        <v>1.5454933544543259</v>
      </c>
    </row>
    <row r="413" spans="1:47" x14ac:dyDescent="0.3">
      <c r="A413">
        <v>23</v>
      </c>
      <c r="B413" t="s">
        <v>53</v>
      </c>
      <c r="C413" t="s">
        <v>47</v>
      </c>
      <c r="D413" t="s">
        <v>48</v>
      </c>
      <c r="F413" s="7">
        <v>0</v>
      </c>
      <c r="G413" s="7">
        <v>0</v>
      </c>
      <c r="H413" s="3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1081772.6000000001</v>
      </c>
      <c r="O413">
        <f t="shared" si="9"/>
        <v>1085926.466666667</v>
      </c>
      <c r="P413">
        <f t="shared" si="10"/>
        <v>357592.6</v>
      </c>
      <c r="Q413">
        <f t="shared" si="11"/>
        <v>369370.26666666672</v>
      </c>
      <c r="R413">
        <f t="shared" si="12"/>
        <v>274926.2</v>
      </c>
      <c r="S413">
        <f t="shared" si="13"/>
        <v>309621</v>
      </c>
      <c r="T413">
        <f t="shared" si="14"/>
        <v>4488895</v>
      </c>
      <c r="U413">
        <f t="shared" si="15"/>
        <v>3992435.4666666659</v>
      </c>
      <c r="V413">
        <f t="shared" si="16"/>
        <v>213845.8</v>
      </c>
      <c r="W413">
        <f t="shared" si="17"/>
        <v>314377.8</v>
      </c>
      <c r="Y413">
        <f t="shared" si="18"/>
        <v>1.148140886810143</v>
      </c>
      <c r="Z413">
        <f t="shared" si="19"/>
        <v>1.4074398657268219</v>
      </c>
      <c r="AA413">
        <f t="shared" si="20"/>
        <v>1.407501759566367</v>
      </c>
      <c r="AB413">
        <f t="shared" si="21"/>
        <v>0.82528053441783411</v>
      </c>
      <c r="AC413">
        <f t="shared" si="22"/>
        <v>0.85808459858720509</v>
      </c>
      <c r="AD413">
        <f t="shared" si="23"/>
        <v>1.367724247183651</v>
      </c>
      <c r="AE413">
        <f t="shared" si="24"/>
        <v>1.5762042942806149</v>
      </c>
      <c r="AF413">
        <f t="shared" si="25"/>
        <v>2.7687044983846141</v>
      </c>
      <c r="AG413">
        <f t="shared" si="26"/>
        <v>3.0714199679282799</v>
      </c>
      <c r="AH413">
        <f t="shared" si="27"/>
        <v>0.89986339100869372</v>
      </c>
      <c r="AI413">
        <f t="shared" si="28"/>
        <v>1.648448762542102</v>
      </c>
      <c r="AK413">
        <f t="shared" si="29"/>
        <v>1.148140886810143</v>
      </c>
      <c r="AL413">
        <f t="shared" si="30"/>
        <v>0.49799145160165298</v>
      </c>
      <c r="AM413">
        <f t="shared" si="31"/>
        <v>0.49900919093439972</v>
      </c>
      <c r="AN413">
        <f t="shared" si="32"/>
        <v>0.82528053441783411</v>
      </c>
      <c r="AO413">
        <f t="shared" si="33"/>
        <v>0.34602850386484829</v>
      </c>
      <c r="AP413">
        <f t="shared" si="34"/>
        <v>1.367724247183651</v>
      </c>
      <c r="AQ413">
        <f t="shared" si="35"/>
        <v>0.53646015712680906</v>
      </c>
      <c r="AR413">
        <f t="shared" si="36"/>
        <v>1.4299813337856899</v>
      </c>
      <c r="AS413">
        <f t="shared" si="37"/>
        <v>0.55269152115797626</v>
      </c>
      <c r="AT413">
        <f t="shared" si="38"/>
        <v>0.89986339100869372</v>
      </c>
      <c r="AU413">
        <f t="shared" si="39"/>
        <v>0.90159826502203944</v>
      </c>
    </row>
    <row r="414" spans="1:47" x14ac:dyDescent="0.3">
      <c r="A414">
        <v>23</v>
      </c>
      <c r="B414" t="s">
        <v>54</v>
      </c>
      <c r="C414" t="s">
        <v>47</v>
      </c>
      <c r="D414" t="s">
        <v>48</v>
      </c>
      <c r="F414" s="7">
        <v>0</v>
      </c>
      <c r="G414" s="7">
        <v>0</v>
      </c>
      <c r="H414" s="3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>
        <f t="shared" si="7"/>
        <v>3045439.2</v>
      </c>
      <c r="N414">
        <f t="shared" si="8"/>
        <v>3045439.2</v>
      </c>
      <c r="O414">
        <f t="shared" si="9"/>
        <v>3045439.2</v>
      </c>
      <c r="P414">
        <f t="shared" si="10"/>
        <v>535062</v>
      </c>
      <c r="Q414">
        <f t="shared" si="11"/>
        <v>535062</v>
      </c>
      <c r="R414">
        <f t="shared" si="12"/>
        <v>531586.4</v>
      </c>
      <c r="S414">
        <f t="shared" si="13"/>
        <v>531586.4</v>
      </c>
      <c r="T414">
        <f t="shared" si="14"/>
        <v>5304660</v>
      </c>
      <c r="U414">
        <f t="shared" si="15"/>
        <v>5304660</v>
      </c>
      <c r="V414">
        <f t="shared" si="16"/>
        <v>1574101</v>
      </c>
      <c r="W414">
        <f t="shared" si="17"/>
        <v>1574101</v>
      </c>
      <c r="Y414">
        <f t="shared" si="18"/>
        <v>2.8190078565967269</v>
      </c>
      <c r="Z414">
        <f t="shared" si="19"/>
        <v>2.8190078565967269</v>
      </c>
      <c r="AA414">
        <f t="shared" si="20"/>
        <v>2.8190078565967269</v>
      </c>
      <c r="AB414">
        <f t="shared" si="21"/>
        <v>1.053774399595568</v>
      </c>
      <c r="AC414">
        <f t="shared" si="22"/>
        <v>1.053774399595568</v>
      </c>
      <c r="AD414">
        <f t="shared" si="23"/>
        <v>1.7692972150165589</v>
      </c>
      <c r="AE414">
        <f t="shared" si="24"/>
        <v>1.7692972150165589</v>
      </c>
      <c r="AF414">
        <f t="shared" si="25"/>
        <v>3.4017364847706628</v>
      </c>
      <c r="AG414">
        <f t="shared" si="26"/>
        <v>3.4017364847706628</v>
      </c>
      <c r="AH414">
        <f t="shared" si="27"/>
        <v>3.518118800222874</v>
      </c>
      <c r="AI414">
        <f t="shared" si="28"/>
        <v>3.518118800222874</v>
      </c>
      <c r="AK414">
        <f t="shared" si="29"/>
        <v>2.8190078565967269</v>
      </c>
      <c r="AL414">
        <f t="shared" si="30"/>
        <v>2.8190078565967269</v>
      </c>
      <c r="AM414">
        <f t="shared" si="31"/>
        <v>2.8190078565967269</v>
      </c>
      <c r="AN414">
        <f t="shared" si="32"/>
        <v>1.053774399595568</v>
      </c>
      <c r="AO414">
        <f t="shared" si="33"/>
        <v>1.053774399595568</v>
      </c>
      <c r="AP414">
        <f t="shared" si="34"/>
        <v>1.7692972150165589</v>
      </c>
      <c r="AQ414">
        <f t="shared" si="35"/>
        <v>1.7692972150165589</v>
      </c>
      <c r="AR414">
        <f t="shared" si="36"/>
        <v>1.763412201951724</v>
      </c>
      <c r="AS414">
        <f t="shared" si="37"/>
        <v>1.763412201951724</v>
      </c>
      <c r="AT414">
        <f t="shared" si="38"/>
        <v>3.518118800222874</v>
      </c>
      <c r="AU414">
        <f t="shared" si="39"/>
        <v>3.518118800222874</v>
      </c>
    </row>
    <row r="415" spans="1:47" x14ac:dyDescent="0.3">
      <c r="A415">
        <v>23</v>
      </c>
      <c r="B415" t="s">
        <v>55</v>
      </c>
      <c r="C415" t="s">
        <v>47</v>
      </c>
      <c r="D415" t="s">
        <v>48</v>
      </c>
      <c r="F415" s="7">
        <v>0</v>
      </c>
      <c r="G415" s="7">
        <v>1</v>
      </c>
      <c r="H415" s="3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>
        <f t="shared" si="7"/>
        <v>2290113.4</v>
      </c>
      <c r="N415">
        <f t="shared" si="8"/>
        <v>2290113.4</v>
      </c>
      <c r="O415">
        <f t="shared" si="9"/>
        <v>2290113.4</v>
      </c>
      <c r="P415">
        <f t="shared" si="10"/>
        <v>270661.59999999998</v>
      </c>
      <c r="Q415">
        <f t="shared" si="11"/>
        <v>270661.59999999998</v>
      </c>
      <c r="R415">
        <f t="shared" si="12"/>
        <v>266982.40000000002</v>
      </c>
      <c r="S415">
        <f t="shared" si="13"/>
        <v>266982.40000000002</v>
      </c>
      <c r="T415">
        <f t="shared" si="14"/>
        <v>5285159.8</v>
      </c>
      <c r="U415">
        <f t="shared" si="15"/>
        <v>5285159.8</v>
      </c>
      <c r="V415">
        <f t="shared" si="16"/>
        <v>40982.6</v>
      </c>
      <c r="W415">
        <f t="shared" si="17"/>
        <v>40982.6</v>
      </c>
      <c r="Y415">
        <f t="shared" si="18"/>
        <v>1.981944674195256</v>
      </c>
      <c r="Z415">
        <f t="shared" si="19"/>
        <v>1.981944674195256</v>
      </c>
      <c r="AA415">
        <f t="shared" si="20"/>
        <v>1.981944674195256</v>
      </c>
      <c r="AB415">
        <f t="shared" si="21"/>
        <v>0.59981989359948784</v>
      </c>
      <c r="AC415">
        <f t="shared" si="22"/>
        <v>0.59981989359948784</v>
      </c>
      <c r="AD415">
        <f t="shared" si="23"/>
        <v>1.2414881571894509</v>
      </c>
      <c r="AE415">
        <f t="shared" si="24"/>
        <v>1.2414881571894509</v>
      </c>
      <c r="AF415">
        <f t="shared" si="25"/>
        <v>3.376028915378265</v>
      </c>
      <c r="AG415">
        <f t="shared" si="26"/>
        <v>3.376028915378265</v>
      </c>
      <c r="AH415">
        <f t="shared" si="27"/>
        <v>0.22996726379496979</v>
      </c>
      <c r="AI415">
        <f t="shared" si="28"/>
        <v>0.22996726379496979</v>
      </c>
      <c r="AK415">
        <f t="shared" si="29"/>
        <v>1.981944674195256</v>
      </c>
      <c r="AL415">
        <f t="shared" si="30"/>
        <v>1.981944674195256</v>
      </c>
      <c r="AM415">
        <f t="shared" si="31"/>
        <v>1.981944674195256</v>
      </c>
      <c r="AN415">
        <f t="shared" si="32"/>
        <v>0.59981989359948784</v>
      </c>
      <c r="AO415">
        <f t="shared" si="33"/>
        <v>0.59981989359948784</v>
      </c>
      <c r="AP415">
        <f t="shared" si="34"/>
        <v>1.2414881571894509</v>
      </c>
      <c r="AQ415">
        <f t="shared" si="35"/>
        <v>1.2414881571894509</v>
      </c>
      <c r="AR415">
        <f t="shared" si="36"/>
        <v>1.734788404381834</v>
      </c>
      <c r="AS415">
        <f t="shared" si="37"/>
        <v>1.734788404381834</v>
      </c>
      <c r="AT415">
        <f t="shared" si="38"/>
        <v>0.22996726379496979</v>
      </c>
      <c r="AU415">
        <f t="shared" si="39"/>
        <v>0.22996726379496979</v>
      </c>
    </row>
    <row r="416" spans="1:47" x14ac:dyDescent="0.3">
      <c r="A416">
        <v>23</v>
      </c>
      <c r="B416" t="s">
        <v>56</v>
      </c>
      <c r="C416" t="s">
        <v>47</v>
      </c>
      <c r="D416" t="s">
        <v>48</v>
      </c>
      <c r="F416" s="7">
        <v>0</v>
      </c>
      <c r="G416" s="7">
        <v>1</v>
      </c>
      <c r="H416" s="3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>
        <f t="shared" si="7"/>
        <v>8055849.7999999998</v>
      </c>
      <c r="N416">
        <f t="shared" si="8"/>
        <v>8055849.7999999998</v>
      </c>
      <c r="O416">
        <f t="shared" si="9"/>
        <v>8055849.7999999998</v>
      </c>
      <c r="P416">
        <f t="shared" si="10"/>
        <v>44794298</v>
      </c>
      <c r="Q416">
        <f t="shared" si="11"/>
        <v>44794298</v>
      </c>
      <c r="R416">
        <f t="shared" si="12"/>
        <v>12997115.6</v>
      </c>
      <c r="S416">
        <f t="shared" si="13"/>
        <v>12997115.6</v>
      </c>
      <c r="T416">
        <f t="shared" si="14"/>
        <v>8289557.2000000002</v>
      </c>
      <c r="U416">
        <f t="shared" si="15"/>
        <v>8289557.2000000002</v>
      </c>
      <c r="V416">
        <f t="shared" si="16"/>
        <v>74116162.400000006</v>
      </c>
      <c r="W416">
        <f t="shared" si="17"/>
        <v>74116162.400000006</v>
      </c>
      <c r="Y416">
        <f t="shared" si="18"/>
        <v>7.785596277809236</v>
      </c>
      <c r="Z416">
        <f t="shared" si="19"/>
        <v>7.785596277809236</v>
      </c>
      <c r="AA416">
        <f t="shared" si="20"/>
        <v>7.785596277809236</v>
      </c>
      <c r="AB416">
        <f t="shared" si="21"/>
        <v>39.918929240590657</v>
      </c>
      <c r="AC416">
        <f t="shared" si="22"/>
        <v>39.918929240590657</v>
      </c>
      <c r="AD416">
        <f t="shared" si="23"/>
        <v>10.47838429522235</v>
      </c>
      <c r="AE416">
        <f t="shared" si="24"/>
        <v>10.47838429522235</v>
      </c>
      <c r="AF416">
        <f t="shared" si="25"/>
        <v>7.2003158954204993</v>
      </c>
      <c r="AG416">
        <f t="shared" si="26"/>
        <v>7.2003158954204993</v>
      </c>
      <c r="AH416">
        <f t="shared" si="27"/>
        <v>34.682288339792287</v>
      </c>
      <c r="AI416">
        <f t="shared" si="28"/>
        <v>34.682288339792287</v>
      </c>
      <c r="AK416">
        <f t="shared" si="29"/>
        <v>7.785596277809236</v>
      </c>
      <c r="AL416">
        <f t="shared" si="30"/>
        <v>7.785596277809236</v>
      </c>
      <c r="AM416">
        <f t="shared" si="31"/>
        <v>7.785596277809236</v>
      </c>
      <c r="AN416">
        <f t="shared" si="32"/>
        <v>39.918929240590657</v>
      </c>
      <c r="AO416">
        <f t="shared" si="33"/>
        <v>39.918929240590657</v>
      </c>
      <c r="AP416">
        <f t="shared" si="34"/>
        <v>10.47838429522235</v>
      </c>
      <c r="AQ416">
        <f t="shared" si="35"/>
        <v>10.47838429522235</v>
      </c>
      <c r="AR416">
        <f t="shared" si="36"/>
        <v>3.7874333680025298</v>
      </c>
      <c r="AS416">
        <f t="shared" si="37"/>
        <v>3.7874333680025298</v>
      </c>
      <c r="AT416">
        <f t="shared" si="38"/>
        <v>34.682288339792287</v>
      </c>
      <c r="AU416">
        <f t="shared" si="39"/>
        <v>34.682288339792287</v>
      </c>
    </row>
    <row r="417" spans="1:47" x14ac:dyDescent="0.3">
      <c r="A417">
        <v>23</v>
      </c>
      <c r="B417" t="s">
        <v>57</v>
      </c>
      <c r="C417" t="s">
        <v>47</v>
      </c>
      <c r="D417" t="s">
        <v>48</v>
      </c>
      <c r="F417" s="7">
        <v>0</v>
      </c>
      <c r="G417" s="7">
        <v>0</v>
      </c>
      <c r="H417" s="3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>
        <f t="shared" si="7"/>
        <v>11188592.4</v>
      </c>
      <c r="N417">
        <f t="shared" si="8"/>
        <v>11188592.4</v>
      </c>
      <c r="O417">
        <f t="shared" si="9"/>
        <v>11188592.4</v>
      </c>
      <c r="P417">
        <f t="shared" si="10"/>
        <v>65436608.200000003</v>
      </c>
      <c r="Q417">
        <f t="shared" si="11"/>
        <v>65436608.200000003</v>
      </c>
      <c r="R417">
        <f t="shared" si="12"/>
        <v>13756660.6</v>
      </c>
      <c r="S417">
        <f t="shared" si="13"/>
        <v>13756660.6</v>
      </c>
      <c r="T417">
        <f t="shared" si="14"/>
        <v>8299787.7999999998</v>
      </c>
      <c r="U417">
        <f t="shared" si="15"/>
        <v>8299787.7999999998</v>
      </c>
      <c r="V417">
        <f t="shared" si="16"/>
        <v>97544876.200000003</v>
      </c>
      <c r="W417">
        <f t="shared" si="17"/>
        <v>97544876.200000003</v>
      </c>
      <c r="Y417">
        <f t="shared" si="18"/>
        <v>10.331943650403989</v>
      </c>
      <c r="Z417">
        <f t="shared" si="19"/>
        <v>10.331943650403989</v>
      </c>
      <c r="AA417">
        <f t="shared" si="20"/>
        <v>10.331943650403989</v>
      </c>
      <c r="AB417">
        <f t="shared" si="21"/>
        <v>58.153846679604612</v>
      </c>
      <c r="AC417">
        <f t="shared" si="22"/>
        <v>58.153846679604612</v>
      </c>
      <c r="AD417">
        <f t="shared" si="23"/>
        <v>11.594236287614329</v>
      </c>
      <c r="AE417">
        <f t="shared" si="24"/>
        <v>11.594236287614329</v>
      </c>
      <c r="AF417">
        <f t="shared" si="25"/>
        <v>7.1352036078111274</v>
      </c>
      <c r="AG417">
        <f t="shared" si="26"/>
        <v>7.1352036078111274</v>
      </c>
      <c r="AH417">
        <f t="shared" si="27"/>
        <v>46.246525770996229</v>
      </c>
      <c r="AI417">
        <f t="shared" si="28"/>
        <v>46.246525770996229</v>
      </c>
      <c r="AK417">
        <f t="shared" si="29"/>
        <v>10.331943650403989</v>
      </c>
      <c r="AL417">
        <f t="shared" si="30"/>
        <v>10.331943650403989</v>
      </c>
      <c r="AM417">
        <f t="shared" si="31"/>
        <v>10.331943650403989</v>
      </c>
      <c r="AN417">
        <f t="shared" si="32"/>
        <v>58.153846679604612</v>
      </c>
      <c r="AO417">
        <f t="shared" si="33"/>
        <v>58.153846679604612</v>
      </c>
      <c r="AP417">
        <f t="shared" si="34"/>
        <v>11.594236287614329</v>
      </c>
      <c r="AQ417">
        <f t="shared" si="35"/>
        <v>11.594236287614329</v>
      </c>
      <c r="AR417">
        <f t="shared" si="36"/>
        <v>3.7746010923990978</v>
      </c>
      <c r="AS417">
        <f t="shared" si="37"/>
        <v>3.7746010923990978</v>
      </c>
      <c r="AT417">
        <f t="shared" si="38"/>
        <v>46.246525770996229</v>
      </c>
      <c r="AU417">
        <f t="shared" si="39"/>
        <v>46.246525770996229</v>
      </c>
    </row>
    <row r="418" spans="1:47" x14ac:dyDescent="0.3">
      <c r="A418">
        <v>23</v>
      </c>
      <c r="B418" t="s">
        <v>58</v>
      </c>
      <c r="C418" t="s">
        <v>47</v>
      </c>
      <c r="D418" t="s">
        <v>48</v>
      </c>
      <c r="F418" s="7">
        <v>0</v>
      </c>
      <c r="G418" s="7">
        <v>0</v>
      </c>
      <c r="H418" s="3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1698447.7333333329</v>
      </c>
      <c r="O418">
        <f t="shared" si="9"/>
        <v>1713607.666666667</v>
      </c>
      <c r="P418">
        <f t="shared" si="10"/>
        <v>2798305.8</v>
      </c>
      <c r="Q418">
        <f t="shared" si="11"/>
        <v>867455.06666666665</v>
      </c>
      <c r="R418">
        <f t="shared" si="12"/>
        <v>2394989.4</v>
      </c>
      <c r="S418">
        <f t="shared" si="13"/>
        <v>748441.73333333328</v>
      </c>
      <c r="T418">
        <f t="shared" si="14"/>
        <v>5026362.5999999996</v>
      </c>
      <c r="U418">
        <f t="shared" si="15"/>
        <v>4388092.8</v>
      </c>
      <c r="V418">
        <f t="shared" si="16"/>
        <v>15958521.4</v>
      </c>
      <c r="W418">
        <f t="shared" si="17"/>
        <v>3792137.333333333</v>
      </c>
      <c r="Y418">
        <f t="shared" si="18"/>
        <v>2.337211308011319</v>
      </c>
      <c r="Z418">
        <f t="shared" si="19"/>
        <v>1.8987298190128059</v>
      </c>
      <c r="AA418">
        <f t="shared" si="20"/>
        <v>1.892368204876159</v>
      </c>
      <c r="AB418">
        <f t="shared" si="21"/>
        <v>3.329543798603118</v>
      </c>
      <c r="AC418">
        <f t="shared" si="22"/>
        <v>1.4131875510657359</v>
      </c>
      <c r="AD418">
        <f t="shared" si="23"/>
        <v>3.9417910171905528</v>
      </c>
      <c r="AE418">
        <f t="shared" si="24"/>
        <v>2.0243533485375029</v>
      </c>
      <c r="AF418">
        <f t="shared" si="25"/>
        <v>3.433763969212305</v>
      </c>
      <c r="AG418">
        <f t="shared" si="26"/>
        <v>3.480240273809371</v>
      </c>
      <c r="AH418">
        <f t="shared" si="27"/>
        <v>8.4033793128095571</v>
      </c>
      <c r="AI418">
        <f t="shared" si="28"/>
        <v>3.716108248871751</v>
      </c>
      <c r="AK418">
        <f t="shared" si="29"/>
        <v>2.337211308011319</v>
      </c>
      <c r="AL418">
        <f t="shared" si="30"/>
        <v>0.67694717747314526</v>
      </c>
      <c r="AM418">
        <f t="shared" si="31"/>
        <v>0.67961973187436042</v>
      </c>
      <c r="AN418">
        <f t="shared" si="32"/>
        <v>3.329543798603118</v>
      </c>
      <c r="AO418">
        <f t="shared" si="33"/>
        <v>0.53120142527623104</v>
      </c>
      <c r="AP418">
        <f t="shared" si="34"/>
        <v>3.9417910171905528</v>
      </c>
      <c r="AQ418">
        <f t="shared" si="35"/>
        <v>0.69766030532773582</v>
      </c>
      <c r="AR418">
        <f t="shared" si="36"/>
        <v>1.743447887012735</v>
      </c>
      <c r="AS418">
        <f t="shared" si="37"/>
        <v>0.59549994965782393</v>
      </c>
      <c r="AT418">
        <f t="shared" si="38"/>
        <v>8.4033793128095571</v>
      </c>
      <c r="AU418">
        <f t="shared" si="39"/>
        <v>1.7123109344625851</v>
      </c>
    </row>
    <row r="419" spans="1:47" x14ac:dyDescent="0.3">
      <c r="A419">
        <v>23</v>
      </c>
      <c r="B419" t="s">
        <v>59</v>
      </c>
      <c r="C419" t="s">
        <v>47</v>
      </c>
      <c r="D419" t="s">
        <v>48</v>
      </c>
      <c r="F419" s="7">
        <v>0</v>
      </c>
      <c r="G419" s="7">
        <v>1</v>
      </c>
      <c r="H419" s="3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2410542.2666666671</v>
      </c>
      <c r="O419">
        <f t="shared" si="9"/>
        <v>2434858.1333333328</v>
      </c>
      <c r="P419">
        <f t="shared" si="10"/>
        <v>8110191.4000000004</v>
      </c>
      <c r="Q419">
        <f t="shared" si="11"/>
        <v>1818565.4</v>
      </c>
      <c r="R419">
        <f t="shared" si="12"/>
        <v>5959335.2000000002</v>
      </c>
      <c r="S419">
        <f t="shared" si="13"/>
        <v>1438012.4</v>
      </c>
      <c r="T419">
        <f t="shared" si="14"/>
        <v>5031203.2</v>
      </c>
      <c r="U419">
        <f t="shared" si="15"/>
        <v>4418278.7333333325</v>
      </c>
      <c r="V419">
        <f t="shared" si="16"/>
        <v>24978322.199999999</v>
      </c>
      <c r="W419">
        <f t="shared" si="17"/>
        <v>5365080.7333333334</v>
      </c>
      <c r="Y419">
        <f t="shared" si="18"/>
        <v>3.194077780994121</v>
      </c>
      <c r="Z419">
        <f t="shared" si="19"/>
        <v>2.4562985238774369</v>
      </c>
      <c r="AA419">
        <f t="shared" si="20"/>
        <v>2.4509079641041658</v>
      </c>
      <c r="AB419">
        <f t="shared" si="21"/>
        <v>8.0537363686016761</v>
      </c>
      <c r="AC419">
        <f t="shared" si="22"/>
        <v>2.2888628398669728</v>
      </c>
      <c r="AD419">
        <f t="shared" si="23"/>
        <v>7.6725868819979954</v>
      </c>
      <c r="AE419">
        <f t="shared" si="24"/>
        <v>2.7479495565251759</v>
      </c>
      <c r="AF419">
        <f t="shared" si="25"/>
        <v>3.4508040105924009</v>
      </c>
      <c r="AG419">
        <f t="shared" si="26"/>
        <v>3.5267891113297081</v>
      </c>
      <c r="AH419">
        <f t="shared" si="27"/>
        <v>11.70551412159111</v>
      </c>
      <c r="AI419">
        <f t="shared" si="28"/>
        <v>4.7555267130529204</v>
      </c>
      <c r="AK419">
        <f t="shared" si="29"/>
        <v>3.194077780994121</v>
      </c>
      <c r="AL419">
        <f t="shared" si="30"/>
        <v>0.7879604467346023</v>
      </c>
      <c r="AM419">
        <f t="shared" si="31"/>
        <v>0.79184833652107045</v>
      </c>
      <c r="AN419">
        <f t="shared" si="32"/>
        <v>8.0537363686016761</v>
      </c>
      <c r="AO419">
        <f t="shared" si="33"/>
        <v>0.84942632026892773</v>
      </c>
      <c r="AP419">
        <f t="shared" si="34"/>
        <v>7.6725868819979954</v>
      </c>
      <c r="AQ419">
        <f t="shared" si="35"/>
        <v>0.944729084870778</v>
      </c>
      <c r="AR419">
        <f t="shared" si="36"/>
        <v>1.753847721382044</v>
      </c>
      <c r="AS419">
        <f t="shared" si="37"/>
        <v>0.60885607761253291</v>
      </c>
      <c r="AT419">
        <f t="shared" si="38"/>
        <v>11.70551412159111</v>
      </c>
      <c r="AU419">
        <f t="shared" si="39"/>
        <v>2.3946571441988151</v>
      </c>
    </row>
    <row r="420" spans="1:47" x14ac:dyDescent="0.3">
      <c r="A420">
        <v>23</v>
      </c>
      <c r="B420" t="s">
        <v>60</v>
      </c>
      <c r="C420" t="s">
        <v>47</v>
      </c>
      <c r="D420" t="s">
        <v>48</v>
      </c>
      <c r="F420" s="7">
        <v>0</v>
      </c>
      <c r="G420" s="7">
        <v>0</v>
      </c>
      <c r="H420" s="3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2232462.9333333331</v>
      </c>
      <c r="O420">
        <f t="shared" si="9"/>
        <v>2239204.7999999998</v>
      </c>
      <c r="P420">
        <f t="shared" si="10"/>
        <v>8535142.8000000007</v>
      </c>
      <c r="Q420">
        <f t="shared" si="11"/>
        <v>2830587.8</v>
      </c>
      <c r="R420">
        <f t="shared" si="12"/>
        <v>5751810.2000000002</v>
      </c>
      <c r="S420">
        <f t="shared" si="13"/>
        <v>2065308.6</v>
      </c>
      <c r="T420">
        <f t="shared" si="14"/>
        <v>5993899</v>
      </c>
      <c r="U420">
        <f t="shared" si="15"/>
        <v>4723415.1333333328</v>
      </c>
      <c r="V420">
        <f t="shared" si="16"/>
        <v>8420866.5999999996</v>
      </c>
      <c r="W420">
        <f t="shared" si="17"/>
        <v>3570410.8</v>
      </c>
      <c r="Y420">
        <f t="shared" si="18"/>
        <v>2.6544545801938511</v>
      </c>
      <c r="Z420">
        <f t="shared" si="19"/>
        <v>2.4438378403079701</v>
      </c>
      <c r="AA420">
        <f t="shared" si="20"/>
        <v>2.43450104915537</v>
      </c>
      <c r="AB420">
        <f t="shared" si="21"/>
        <v>7.3451577381987594</v>
      </c>
      <c r="AC420">
        <f t="shared" si="22"/>
        <v>2.917805901598574</v>
      </c>
      <c r="AD420">
        <f t="shared" si="23"/>
        <v>7.0847189374035224</v>
      </c>
      <c r="AE420">
        <f t="shared" si="24"/>
        <v>3.4839763201850782</v>
      </c>
      <c r="AF420">
        <f t="shared" si="25"/>
        <v>4.3719904132070946</v>
      </c>
      <c r="AG420">
        <f t="shared" si="26"/>
        <v>3.8769197802563822</v>
      </c>
      <c r="AH420">
        <f t="shared" si="27"/>
        <v>5.8914341922034508</v>
      </c>
      <c r="AI420">
        <f t="shared" si="28"/>
        <v>3.7224111430036522</v>
      </c>
      <c r="AK420">
        <f t="shared" si="29"/>
        <v>2.6544545801938511</v>
      </c>
      <c r="AL420">
        <f t="shared" si="30"/>
        <v>0.83099581319450722</v>
      </c>
      <c r="AM420">
        <f t="shared" si="31"/>
        <v>0.82845040019989624</v>
      </c>
      <c r="AN420">
        <f t="shared" si="32"/>
        <v>7.3451577381987594</v>
      </c>
      <c r="AO420">
        <f t="shared" si="33"/>
        <v>1.0102684011935099</v>
      </c>
      <c r="AP420">
        <f t="shared" si="34"/>
        <v>7.0847189374035224</v>
      </c>
      <c r="AQ420">
        <f t="shared" si="35"/>
        <v>1.1467823619372211</v>
      </c>
      <c r="AR420">
        <f t="shared" si="36"/>
        <v>2.249073165992741</v>
      </c>
      <c r="AS420">
        <f t="shared" si="37"/>
        <v>0.64842433652762943</v>
      </c>
      <c r="AT420">
        <f t="shared" si="38"/>
        <v>5.8914341922034508</v>
      </c>
      <c r="AU420">
        <f t="shared" si="39"/>
        <v>1.8174162332705841</v>
      </c>
    </row>
    <row r="421" spans="1:47" x14ac:dyDescent="0.3">
      <c r="A421">
        <v>23</v>
      </c>
      <c r="B421" t="s">
        <v>61</v>
      </c>
      <c r="C421" t="s">
        <v>47</v>
      </c>
      <c r="D421" t="s">
        <v>48</v>
      </c>
      <c r="F421" s="7">
        <v>0</v>
      </c>
      <c r="G421" s="7">
        <v>1</v>
      </c>
      <c r="H421" s="3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2542198.2666666671</v>
      </c>
      <c r="O421">
        <f t="shared" si="9"/>
        <v>2560536.0666666669</v>
      </c>
      <c r="P421">
        <f t="shared" si="10"/>
        <v>13103222.199999999</v>
      </c>
      <c r="Q421">
        <f t="shared" si="11"/>
        <v>4016443</v>
      </c>
      <c r="R421">
        <f t="shared" si="12"/>
        <v>8635362.4000000004</v>
      </c>
      <c r="S421">
        <f t="shared" si="13"/>
        <v>2881466.8</v>
      </c>
      <c r="T421">
        <f t="shared" si="14"/>
        <v>5991858.4000000004</v>
      </c>
      <c r="U421">
        <f t="shared" si="15"/>
        <v>4751880.2666666666</v>
      </c>
      <c r="V421">
        <f t="shared" si="16"/>
        <v>12723913.6</v>
      </c>
      <c r="W421">
        <f t="shared" si="17"/>
        <v>4676229.2666666666</v>
      </c>
      <c r="Y421">
        <f t="shared" si="18"/>
        <v>3.0191141293849801</v>
      </c>
      <c r="Z421">
        <f t="shared" si="19"/>
        <v>2.7246831895899959</v>
      </c>
      <c r="AA421">
        <f t="shared" si="20"/>
        <v>2.731854094347606</v>
      </c>
      <c r="AB421">
        <f t="shared" si="21"/>
        <v>10.70611148940516</v>
      </c>
      <c r="AC421">
        <f t="shared" si="22"/>
        <v>3.7818645113283611</v>
      </c>
      <c r="AD421">
        <f t="shared" si="23"/>
        <v>10.08807045901194</v>
      </c>
      <c r="AE421">
        <f t="shared" si="24"/>
        <v>4.3386422692565247</v>
      </c>
      <c r="AF421">
        <f t="shared" si="25"/>
        <v>4.4363958996022124</v>
      </c>
      <c r="AG421">
        <f t="shared" si="26"/>
        <v>3.9142557256777462</v>
      </c>
      <c r="AH421">
        <f t="shared" si="27"/>
        <v>7.211518423201051</v>
      </c>
      <c r="AI421">
        <f t="shared" si="28"/>
        <v>4.536867592134513</v>
      </c>
      <c r="AK421">
        <f t="shared" si="29"/>
        <v>3.0191141293849801</v>
      </c>
      <c r="AL421">
        <f t="shared" si="30"/>
        <v>0.81704890206844227</v>
      </c>
      <c r="AM421">
        <f t="shared" si="31"/>
        <v>0.82357022284995762</v>
      </c>
      <c r="AN421">
        <f t="shared" si="32"/>
        <v>10.70611148940516</v>
      </c>
      <c r="AO421">
        <f t="shared" si="33"/>
        <v>1.2925344794717</v>
      </c>
      <c r="AP421">
        <f t="shared" si="34"/>
        <v>10.08807045901194</v>
      </c>
      <c r="AQ421">
        <f t="shared" si="35"/>
        <v>1.4770274922678559</v>
      </c>
      <c r="AR421">
        <f t="shared" si="36"/>
        <v>2.2831962124095302</v>
      </c>
      <c r="AS421">
        <f t="shared" si="37"/>
        <v>0.65491232229008645</v>
      </c>
      <c r="AT421">
        <f t="shared" si="38"/>
        <v>7.211518423201051</v>
      </c>
      <c r="AU421">
        <f t="shared" si="39"/>
        <v>2.31841283107254</v>
      </c>
    </row>
    <row r="422" spans="1:47" x14ac:dyDescent="0.3">
      <c r="A422">
        <v>23</v>
      </c>
      <c r="B422" t="s">
        <v>62</v>
      </c>
      <c r="C422" t="s">
        <v>47</v>
      </c>
      <c r="D422" t="s">
        <v>48</v>
      </c>
      <c r="F422" s="7">
        <v>0</v>
      </c>
      <c r="G422" s="7">
        <v>1</v>
      </c>
      <c r="H422" s="3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>
        <f t="shared" si="7"/>
        <v>584782.4</v>
      </c>
      <c r="N422">
        <f t="shared" si="8"/>
        <v>584782.4</v>
      </c>
      <c r="O422">
        <f t="shared" si="9"/>
        <v>584782.4</v>
      </c>
      <c r="P422">
        <f t="shared" si="10"/>
        <v>281783.40000000002</v>
      </c>
      <c r="Q422">
        <f t="shared" si="11"/>
        <v>281783.40000000002</v>
      </c>
      <c r="R422">
        <f t="shared" si="12"/>
        <v>276818.40000000002</v>
      </c>
      <c r="S422">
        <f t="shared" si="13"/>
        <v>276818.40000000002</v>
      </c>
      <c r="T422">
        <f t="shared" si="14"/>
        <v>3746597.2</v>
      </c>
      <c r="U422">
        <f t="shared" si="15"/>
        <v>3746597.2</v>
      </c>
      <c r="V422">
        <f t="shared" si="16"/>
        <v>41970.2</v>
      </c>
      <c r="W422">
        <f t="shared" si="17"/>
        <v>41970.2</v>
      </c>
      <c r="Y422">
        <f t="shared" si="18"/>
        <v>0.8020219836034812</v>
      </c>
      <c r="Z422">
        <f t="shared" si="19"/>
        <v>0.8020219836034812</v>
      </c>
      <c r="AA422">
        <f t="shared" si="20"/>
        <v>0.8020219836034812</v>
      </c>
      <c r="AB422">
        <f t="shared" si="21"/>
        <v>0.54772133580991067</v>
      </c>
      <c r="AC422">
        <f t="shared" si="22"/>
        <v>0.54772133580991067</v>
      </c>
      <c r="AD422">
        <f t="shared" si="23"/>
        <v>1.295925949409138</v>
      </c>
      <c r="AE422">
        <f t="shared" si="24"/>
        <v>1.295925949409138</v>
      </c>
      <c r="AF422">
        <f t="shared" si="25"/>
        <v>1.9412167368456721</v>
      </c>
      <c r="AG422">
        <f t="shared" si="26"/>
        <v>1.9412167368456721</v>
      </c>
      <c r="AH422">
        <f t="shared" si="27"/>
        <v>0.20785856161965061</v>
      </c>
      <c r="AI422">
        <f t="shared" si="28"/>
        <v>0.20785856161965061</v>
      </c>
      <c r="AK422">
        <f t="shared" si="29"/>
        <v>0.8020219836034812</v>
      </c>
      <c r="AL422">
        <f t="shared" si="30"/>
        <v>0.8020219836034812</v>
      </c>
      <c r="AM422">
        <f t="shared" si="31"/>
        <v>0.8020219836034812</v>
      </c>
      <c r="AN422">
        <f t="shared" si="32"/>
        <v>0.54772133580991067</v>
      </c>
      <c r="AO422">
        <f t="shared" si="33"/>
        <v>0.54772133580991067</v>
      </c>
      <c r="AP422">
        <f t="shared" si="34"/>
        <v>1.295925949409138</v>
      </c>
      <c r="AQ422">
        <f t="shared" si="35"/>
        <v>1.295925949409138</v>
      </c>
      <c r="AR422">
        <f t="shared" si="36"/>
        <v>1.0419406462344341</v>
      </c>
      <c r="AS422">
        <f t="shared" si="37"/>
        <v>1.0419406462344341</v>
      </c>
      <c r="AT422">
        <f t="shared" si="38"/>
        <v>0.20785856161965061</v>
      </c>
      <c r="AU422">
        <f t="shared" si="39"/>
        <v>0.20785856161965061</v>
      </c>
    </row>
    <row r="423" spans="1:47" x14ac:dyDescent="0.3">
      <c r="A423">
        <v>23</v>
      </c>
      <c r="B423" t="s">
        <v>63</v>
      </c>
      <c r="C423" t="s">
        <v>47</v>
      </c>
      <c r="D423" t="s">
        <v>48</v>
      </c>
      <c r="F423" s="7">
        <v>0</v>
      </c>
      <c r="G423" s="7">
        <v>0</v>
      </c>
      <c r="H423" s="3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>
        <f t="shared" si="7"/>
        <v>668118.80000000005</v>
      </c>
      <c r="N423">
        <f t="shared" si="8"/>
        <v>668118.80000000005</v>
      </c>
      <c r="O423">
        <f t="shared" si="9"/>
        <v>668118.80000000005</v>
      </c>
      <c r="P423">
        <f t="shared" si="10"/>
        <v>275748.8</v>
      </c>
      <c r="Q423">
        <f t="shared" si="11"/>
        <v>275748.8</v>
      </c>
      <c r="R423">
        <f t="shared" si="12"/>
        <v>268625.8</v>
      </c>
      <c r="S423">
        <f t="shared" si="13"/>
        <v>268625.8</v>
      </c>
      <c r="T423">
        <f t="shared" si="14"/>
        <v>3752541.2</v>
      </c>
      <c r="U423">
        <f t="shared" si="15"/>
        <v>3752541.2</v>
      </c>
      <c r="V423">
        <f t="shared" si="16"/>
        <v>58445</v>
      </c>
      <c r="W423">
        <f t="shared" si="17"/>
        <v>58445</v>
      </c>
      <c r="Y423">
        <f t="shared" si="18"/>
        <v>0.86401736079715197</v>
      </c>
      <c r="Z423">
        <f t="shared" si="19"/>
        <v>0.86401736079715197</v>
      </c>
      <c r="AA423">
        <f t="shared" si="20"/>
        <v>0.86401736079715197</v>
      </c>
      <c r="AB423">
        <f t="shared" si="21"/>
        <v>0.50118759880424479</v>
      </c>
      <c r="AC423">
        <f t="shared" si="22"/>
        <v>0.50118759880424479</v>
      </c>
      <c r="AD423">
        <f t="shared" si="23"/>
        <v>1.257258346979506</v>
      </c>
      <c r="AE423">
        <f t="shared" si="24"/>
        <v>1.257258346979506</v>
      </c>
      <c r="AF423">
        <f t="shared" si="25"/>
        <v>1.9882627362268981</v>
      </c>
      <c r="AG423">
        <f t="shared" si="26"/>
        <v>1.9882627362268981</v>
      </c>
      <c r="AH423">
        <f t="shared" si="27"/>
        <v>0.31281343080336221</v>
      </c>
      <c r="AI423">
        <f t="shared" si="28"/>
        <v>0.31281343080336221</v>
      </c>
      <c r="AK423">
        <f t="shared" si="29"/>
        <v>0.86401736079715197</v>
      </c>
      <c r="AL423">
        <f t="shared" si="30"/>
        <v>0.86401736079715197</v>
      </c>
      <c r="AM423">
        <f t="shared" si="31"/>
        <v>0.86401736079715197</v>
      </c>
      <c r="AN423">
        <f t="shared" si="32"/>
        <v>0.50118759880424479</v>
      </c>
      <c r="AO423">
        <f t="shared" si="33"/>
        <v>0.50118759880424479</v>
      </c>
      <c r="AP423">
        <f t="shared" si="34"/>
        <v>1.257258346979506</v>
      </c>
      <c r="AQ423">
        <f t="shared" si="35"/>
        <v>1.257258346979506</v>
      </c>
      <c r="AR423">
        <f t="shared" si="36"/>
        <v>1.0771515618194829</v>
      </c>
      <c r="AS423">
        <f t="shared" si="37"/>
        <v>1.0771515618194829</v>
      </c>
      <c r="AT423">
        <f t="shared" si="38"/>
        <v>0.31281343080336221</v>
      </c>
      <c r="AU423">
        <f t="shared" si="39"/>
        <v>0.31281343080336221</v>
      </c>
    </row>
    <row r="424" spans="1:47" x14ac:dyDescent="0.3">
      <c r="A424">
        <v>24</v>
      </c>
      <c r="B424" t="s">
        <v>64</v>
      </c>
      <c r="C424" t="s">
        <v>65</v>
      </c>
      <c r="D424" t="s">
        <v>66</v>
      </c>
      <c r="F424" s="7">
        <v>0</v>
      </c>
      <c r="G424" s="7">
        <v>0</v>
      </c>
      <c r="H424" s="3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>
        <f t="shared" si="7"/>
        <v>1465680.2</v>
      </c>
      <c r="N424">
        <f t="shared" si="8"/>
        <v>805049.4</v>
      </c>
      <c r="O424">
        <f t="shared" si="9"/>
        <v>815944.2</v>
      </c>
      <c r="P424">
        <f t="shared" si="10"/>
        <v>2004888.8</v>
      </c>
      <c r="Q424">
        <f t="shared" si="11"/>
        <v>476337.4</v>
      </c>
      <c r="R424">
        <f t="shared" si="12"/>
        <v>1414445.2</v>
      </c>
      <c r="S424">
        <f t="shared" si="13"/>
        <v>334578.2</v>
      </c>
      <c r="T424">
        <f t="shared" si="14"/>
        <v>3393315.6</v>
      </c>
      <c r="U424">
        <f t="shared" si="15"/>
        <v>3056123.6</v>
      </c>
      <c r="V424">
        <f t="shared" si="16"/>
        <v>7725292.4000000004</v>
      </c>
      <c r="W424">
        <f t="shared" si="17"/>
        <v>723007.4</v>
      </c>
      <c r="Y424">
        <f t="shared" si="18"/>
        <v>1.993932632205542</v>
      </c>
      <c r="Z424">
        <f t="shared" si="19"/>
        <v>1.101522349216975</v>
      </c>
      <c r="AA424">
        <f t="shared" si="20"/>
        <v>1.106228302395903</v>
      </c>
      <c r="AB424">
        <f t="shared" si="21"/>
        <v>2.927257356990594</v>
      </c>
      <c r="AC424">
        <f t="shared" si="22"/>
        <v>0.98788317163125616</v>
      </c>
      <c r="AD424">
        <f t="shared" si="23"/>
        <v>1.5636783546069639</v>
      </c>
      <c r="AE424">
        <f t="shared" si="24"/>
        <v>0.67415859655011445</v>
      </c>
      <c r="AF424">
        <f t="shared" si="25"/>
        <v>1.395617138175294</v>
      </c>
      <c r="AG424">
        <f t="shared" si="26"/>
        <v>1.7574865670176221</v>
      </c>
      <c r="AH424">
        <f t="shared" si="27"/>
        <v>5.5637546359910628</v>
      </c>
      <c r="AI424">
        <f t="shared" si="28"/>
        <v>1.971700047084596</v>
      </c>
      <c r="AK424">
        <f t="shared" si="29"/>
        <v>1.993932632205542</v>
      </c>
      <c r="AL424">
        <f t="shared" si="30"/>
        <v>0.39187783238012341</v>
      </c>
      <c r="AM424">
        <f t="shared" si="31"/>
        <v>0.40153535377467048</v>
      </c>
      <c r="AN424">
        <f t="shared" si="32"/>
        <v>2.927257356990594</v>
      </c>
      <c r="AO424">
        <f t="shared" si="33"/>
        <v>0.33282475761370728</v>
      </c>
      <c r="AP424">
        <f t="shared" si="34"/>
        <v>1.5636783546069639</v>
      </c>
      <c r="AQ424">
        <f t="shared" si="35"/>
        <v>0.30347504140809167</v>
      </c>
      <c r="AR424">
        <f t="shared" si="36"/>
        <v>0.72692858797963711</v>
      </c>
      <c r="AS424">
        <f t="shared" si="37"/>
        <v>0.33793209304567429</v>
      </c>
      <c r="AT424">
        <f t="shared" si="38"/>
        <v>5.5637546359910628</v>
      </c>
      <c r="AU424">
        <f t="shared" si="39"/>
        <v>0.96907205103198069</v>
      </c>
    </row>
    <row r="425" spans="1:47" x14ac:dyDescent="0.3">
      <c r="A425">
        <v>24</v>
      </c>
      <c r="B425" t="s">
        <v>67</v>
      </c>
      <c r="C425" t="s">
        <v>65</v>
      </c>
      <c r="D425" t="s">
        <v>66</v>
      </c>
      <c r="F425" s="7">
        <v>0</v>
      </c>
      <c r="G425" s="7">
        <v>1</v>
      </c>
      <c r="H425" s="3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>
        <f t="shared" si="7"/>
        <v>7040893.2000000002</v>
      </c>
      <c r="N425">
        <f t="shared" si="8"/>
        <v>7040893.2000000002</v>
      </c>
      <c r="O425">
        <f t="shared" si="9"/>
        <v>7040893.2000000002</v>
      </c>
      <c r="P425">
        <f t="shared" si="10"/>
        <v>6888278.7999999998</v>
      </c>
      <c r="Q425">
        <f t="shared" si="11"/>
        <v>6888278.7999999998</v>
      </c>
      <c r="R425">
        <f t="shared" si="12"/>
        <v>15975768.6</v>
      </c>
      <c r="S425">
        <f t="shared" si="13"/>
        <v>15975768.6</v>
      </c>
      <c r="T425">
        <f t="shared" si="14"/>
        <v>7598860.4000000004</v>
      </c>
      <c r="U425">
        <f t="shared" si="15"/>
        <v>7598860.4000000004</v>
      </c>
      <c r="V425">
        <f t="shared" si="16"/>
        <v>20961509</v>
      </c>
      <c r="W425">
        <f t="shared" si="17"/>
        <v>20961509</v>
      </c>
      <c r="Y425">
        <f t="shared" si="18"/>
        <v>5.6572891714051368</v>
      </c>
      <c r="Z425">
        <f t="shared" si="19"/>
        <v>5.6572891714051368</v>
      </c>
      <c r="AA425">
        <f t="shared" si="20"/>
        <v>5.6572891714051368</v>
      </c>
      <c r="AB425">
        <f t="shared" si="21"/>
        <v>5.8895154875994198</v>
      </c>
      <c r="AC425">
        <f t="shared" si="22"/>
        <v>5.8895154875994198</v>
      </c>
      <c r="AD425">
        <f t="shared" si="23"/>
        <v>11.34680224619806</v>
      </c>
      <c r="AE425">
        <f t="shared" si="24"/>
        <v>11.34680224619806</v>
      </c>
      <c r="AF425">
        <f t="shared" si="25"/>
        <v>4.7114479851676148</v>
      </c>
      <c r="AG425">
        <f t="shared" si="26"/>
        <v>4.7114479851676148</v>
      </c>
      <c r="AH425">
        <f t="shared" si="27"/>
        <v>9.1245954948011789</v>
      </c>
      <c r="AI425">
        <f t="shared" si="28"/>
        <v>9.1245954948011789</v>
      </c>
      <c r="AK425">
        <f t="shared" si="29"/>
        <v>5.6572891714051368</v>
      </c>
      <c r="AL425">
        <f t="shared" si="30"/>
        <v>5.6572891714051368</v>
      </c>
      <c r="AM425">
        <f t="shared" si="31"/>
        <v>5.6572891714051368</v>
      </c>
      <c r="AN425">
        <f t="shared" si="32"/>
        <v>5.8895154875994198</v>
      </c>
      <c r="AO425">
        <f t="shared" si="33"/>
        <v>5.8895154875994198</v>
      </c>
      <c r="AP425">
        <f t="shared" si="34"/>
        <v>11.34680224619806</v>
      </c>
      <c r="AQ425">
        <f t="shared" si="35"/>
        <v>11.34680224619806</v>
      </c>
      <c r="AR425">
        <f t="shared" si="36"/>
        <v>2.5629186803591439</v>
      </c>
      <c r="AS425">
        <f t="shared" si="37"/>
        <v>2.5629186803591439</v>
      </c>
      <c r="AT425">
        <f t="shared" si="38"/>
        <v>9.1245954948011789</v>
      </c>
      <c r="AU425">
        <f t="shared" si="39"/>
        <v>9.1245954948011789</v>
      </c>
    </row>
    <row r="426" spans="1:47" x14ac:dyDescent="0.3">
      <c r="A426">
        <v>24</v>
      </c>
      <c r="B426" t="s">
        <v>68</v>
      </c>
      <c r="C426" t="s">
        <v>65</v>
      </c>
      <c r="D426" t="s">
        <v>66</v>
      </c>
      <c r="F426" s="7">
        <v>0</v>
      </c>
      <c r="G426" s="7">
        <v>1</v>
      </c>
      <c r="H426" s="3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1799316.4</v>
      </c>
      <c r="O426">
        <f t="shared" si="9"/>
        <v>1810572.4</v>
      </c>
      <c r="P426">
        <f t="shared" si="10"/>
        <v>4808313.4000000004</v>
      </c>
      <c r="Q426">
        <f t="shared" si="11"/>
        <v>1307351.8</v>
      </c>
      <c r="R426">
        <f t="shared" si="12"/>
        <v>4566077.4000000004</v>
      </c>
      <c r="S426">
        <f t="shared" si="13"/>
        <v>1402055.2</v>
      </c>
      <c r="T426">
        <f t="shared" si="14"/>
        <v>7454517.4000000004</v>
      </c>
      <c r="U426">
        <f t="shared" si="15"/>
        <v>5233509.4000000004</v>
      </c>
      <c r="V426">
        <f t="shared" si="16"/>
        <v>13585854.4</v>
      </c>
      <c r="W426">
        <f t="shared" si="17"/>
        <v>4335244.8</v>
      </c>
      <c r="Y426">
        <f t="shared" si="18"/>
        <v>2.651245873398147</v>
      </c>
      <c r="Z426">
        <f t="shared" si="19"/>
        <v>1.740568924252875</v>
      </c>
      <c r="AA426">
        <f t="shared" si="20"/>
        <v>1.731810330203734</v>
      </c>
      <c r="AB426">
        <f t="shared" si="21"/>
        <v>3.0370804679987491</v>
      </c>
      <c r="AC426">
        <f t="shared" si="22"/>
        <v>1.5317678962368519</v>
      </c>
      <c r="AD426">
        <f t="shared" si="23"/>
        <v>3.5512992342002692</v>
      </c>
      <c r="AE426">
        <f t="shared" si="24"/>
        <v>1.5787274721777069</v>
      </c>
      <c r="AF426">
        <f t="shared" si="25"/>
        <v>4.6116574038518596</v>
      </c>
      <c r="AG426">
        <f t="shared" si="26"/>
        <v>3.4761124201351778</v>
      </c>
      <c r="AH426">
        <f t="shared" si="27"/>
        <v>6.6623960903962143</v>
      </c>
      <c r="AI426">
        <f t="shared" si="28"/>
        <v>3.6015741382376292</v>
      </c>
      <c r="AK426">
        <f t="shared" si="29"/>
        <v>2.651245873398147</v>
      </c>
      <c r="AL426">
        <f t="shared" si="30"/>
        <v>0.57053980840137231</v>
      </c>
      <c r="AM426">
        <f t="shared" si="31"/>
        <v>0.56643786379136141</v>
      </c>
      <c r="AN426">
        <f t="shared" si="32"/>
        <v>3.0370804679987491</v>
      </c>
      <c r="AO426">
        <f t="shared" si="33"/>
        <v>0.60058669220888983</v>
      </c>
      <c r="AP426">
        <f t="shared" si="34"/>
        <v>3.5512992342002692</v>
      </c>
      <c r="AQ426">
        <f t="shared" si="35"/>
        <v>0.4992854341864586</v>
      </c>
      <c r="AR426">
        <f t="shared" si="36"/>
        <v>2.483960891037714</v>
      </c>
      <c r="AS426">
        <f t="shared" si="37"/>
        <v>0.5479368843603879</v>
      </c>
      <c r="AT426">
        <f t="shared" si="38"/>
        <v>6.6623960903962143</v>
      </c>
      <c r="AU426">
        <f t="shared" si="39"/>
        <v>1.5879567714175209</v>
      </c>
    </row>
    <row r="427" spans="1:47" x14ac:dyDescent="0.3">
      <c r="A427">
        <v>24</v>
      </c>
      <c r="B427" t="s">
        <v>69</v>
      </c>
      <c r="C427" t="s">
        <v>65</v>
      </c>
      <c r="D427" t="s">
        <v>66</v>
      </c>
      <c r="F427" s="7">
        <v>0</v>
      </c>
      <c r="G427" s="7">
        <v>0</v>
      </c>
      <c r="H427" s="3">
        <v>0</v>
      </c>
      <c r="I427">
        <f t="shared" si="41"/>
        <v>0</v>
      </c>
      <c r="J427">
        <f t="shared" si="41"/>
        <v>1</v>
      </c>
      <c r="K427">
        <v>3</v>
      </c>
      <c r="L427">
        <v>0</v>
      </c>
      <c r="M427">
        <f t="shared" si="7"/>
        <v>414114.2</v>
      </c>
      <c r="N427">
        <f t="shared" si="8"/>
        <v>1132188</v>
      </c>
      <c r="O427">
        <f t="shared" si="9"/>
        <v>1134426</v>
      </c>
      <c r="P427">
        <f t="shared" si="10"/>
        <v>355969</v>
      </c>
      <c r="Q427">
        <f t="shared" si="11"/>
        <v>403845.8</v>
      </c>
      <c r="R427">
        <f t="shared" si="12"/>
        <v>185834.8</v>
      </c>
      <c r="S427">
        <f t="shared" si="13"/>
        <v>435973.8</v>
      </c>
      <c r="T427">
        <f t="shared" si="14"/>
        <v>3528815.8</v>
      </c>
      <c r="U427">
        <f t="shared" si="15"/>
        <v>3138964.6</v>
      </c>
      <c r="V427">
        <f t="shared" si="16"/>
        <v>708200.2</v>
      </c>
      <c r="W427">
        <f t="shared" si="17"/>
        <v>1285818.2</v>
      </c>
      <c r="Y427">
        <f t="shared" si="18"/>
        <v>0.81888158580986781</v>
      </c>
      <c r="Z427">
        <f t="shared" si="19"/>
        <v>1.333356885181274</v>
      </c>
      <c r="AA427">
        <f t="shared" si="20"/>
        <v>1.3253619270864869</v>
      </c>
      <c r="AB427">
        <f t="shared" si="21"/>
        <v>0.81972908879397433</v>
      </c>
      <c r="AC427">
        <f t="shared" si="22"/>
        <v>0.89857502157683489</v>
      </c>
      <c r="AD427">
        <f t="shared" si="23"/>
        <v>0.34481120220152661</v>
      </c>
      <c r="AE427">
        <f t="shared" si="24"/>
        <v>0.87333169918274511</v>
      </c>
      <c r="AF427">
        <f t="shared" si="25"/>
        <v>1.548924137197901</v>
      </c>
      <c r="AG427">
        <f t="shared" si="26"/>
        <v>1.8456679657800119</v>
      </c>
      <c r="AH427">
        <f t="shared" si="27"/>
        <v>2.0538622566149569</v>
      </c>
      <c r="AI427">
        <f t="shared" si="28"/>
        <v>2.3352883703773841</v>
      </c>
      <c r="AK427">
        <f t="shared" si="29"/>
        <v>0.81888158580986781</v>
      </c>
      <c r="AL427">
        <f t="shared" si="30"/>
        <v>0.45689406961901108</v>
      </c>
      <c r="AM427">
        <f t="shared" si="31"/>
        <v>0.44730825461447238</v>
      </c>
      <c r="AN427">
        <f t="shared" si="32"/>
        <v>0.81972908879397433</v>
      </c>
      <c r="AO427">
        <f t="shared" si="33"/>
        <v>0.33047392200096498</v>
      </c>
      <c r="AP427">
        <f t="shared" si="34"/>
        <v>0.34481120220152661</v>
      </c>
      <c r="AQ427">
        <f t="shared" si="35"/>
        <v>0.35502608498791233</v>
      </c>
      <c r="AR427">
        <f t="shared" si="36"/>
        <v>0.80266901738941665</v>
      </c>
      <c r="AS427">
        <f t="shared" si="37"/>
        <v>0.36880235356511548</v>
      </c>
      <c r="AT427">
        <f t="shared" si="38"/>
        <v>2.0538622566149569</v>
      </c>
      <c r="AU427">
        <f t="shared" si="39"/>
        <v>0.98502917977748439</v>
      </c>
    </row>
    <row r="428" spans="1:47" x14ac:dyDescent="0.3">
      <c r="A428">
        <v>24</v>
      </c>
      <c r="B428" t="s">
        <v>70</v>
      </c>
      <c r="C428" t="s">
        <v>65</v>
      </c>
      <c r="D428" t="s">
        <v>66</v>
      </c>
      <c r="F428" s="7">
        <v>0</v>
      </c>
      <c r="G428" s="7">
        <v>1</v>
      </c>
      <c r="H428" s="3">
        <v>0</v>
      </c>
      <c r="I428">
        <f t="shared" si="41"/>
        <v>0</v>
      </c>
      <c r="J428">
        <f t="shared" si="41"/>
        <v>1</v>
      </c>
      <c r="K428">
        <v>3</v>
      </c>
      <c r="L428">
        <v>0</v>
      </c>
      <c r="M428">
        <f t="shared" si="7"/>
        <v>328897.59999999998</v>
      </c>
      <c r="N428">
        <f t="shared" si="8"/>
        <v>1175844</v>
      </c>
      <c r="O428">
        <f t="shared" si="9"/>
        <v>1179043</v>
      </c>
      <c r="P428">
        <f t="shared" si="10"/>
        <v>235216.4</v>
      </c>
      <c r="Q428">
        <f t="shared" si="11"/>
        <v>841246</v>
      </c>
      <c r="R428">
        <f t="shared" si="12"/>
        <v>67910.8</v>
      </c>
      <c r="S428">
        <f t="shared" si="13"/>
        <v>513179.2</v>
      </c>
      <c r="T428">
        <f t="shared" si="14"/>
        <v>3395854.4</v>
      </c>
      <c r="U428">
        <f t="shared" si="15"/>
        <v>3040677.6</v>
      </c>
      <c r="V428">
        <f t="shared" si="16"/>
        <v>335678.2</v>
      </c>
      <c r="W428">
        <f t="shared" si="17"/>
        <v>2919618.6</v>
      </c>
      <c r="Y428">
        <f t="shared" si="18"/>
        <v>0.67592614277964458</v>
      </c>
      <c r="Z428">
        <f t="shared" si="19"/>
        <v>1.3606341554201209</v>
      </c>
      <c r="AA428">
        <f t="shared" si="20"/>
        <v>1.3607725221663709</v>
      </c>
      <c r="AB428">
        <f t="shared" si="21"/>
        <v>0.67817177440156229</v>
      </c>
      <c r="AC428">
        <f t="shared" si="22"/>
        <v>1.393723107397091</v>
      </c>
      <c r="AD428">
        <f t="shared" si="23"/>
        <v>0.17417316260980439</v>
      </c>
      <c r="AE428">
        <f t="shared" si="24"/>
        <v>0.87885791165754201</v>
      </c>
      <c r="AF428">
        <f t="shared" si="25"/>
        <v>1.382228320639115</v>
      </c>
      <c r="AG428">
        <f t="shared" si="26"/>
        <v>1.71938895159401</v>
      </c>
      <c r="AH428">
        <f t="shared" si="27"/>
        <v>1.262440713786054</v>
      </c>
      <c r="AI428">
        <f t="shared" si="28"/>
        <v>3.0443942256504668</v>
      </c>
      <c r="AK428">
        <f t="shared" si="29"/>
        <v>0.67592614277964458</v>
      </c>
      <c r="AL428">
        <f t="shared" si="30"/>
        <v>0.43140674220630898</v>
      </c>
      <c r="AM428">
        <f t="shared" si="31"/>
        <v>0.43305608360096809</v>
      </c>
      <c r="AN428">
        <f t="shared" si="32"/>
        <v>0.67817177440156229</v>
      </c>
      <c r="AO428">
        <f t="shared" si="33"/>
        <v>0.49052942179841919</v>
      </c>
      <c r="AP428">
        <f t="shared" si="34"/>
        <v>0.17417316260980439</v>
      </c>
      <c r="AQ428">
        <f t="shared" si="35"/>
        <v>0.36684595539700238</v>
      </c>
      <c r="AR428">
        <f t="shared" si="36"/>
        <v>0.70942860742798075</v>
      </c>
      <c r="AS428">
        <f t="shared" si="37"/>
        <v>0.32715992185985671</v>
      </c>
      <c r="AT428">
        <f t="shared" si="38"/>
        <v>1.262440713786054</v>
      </c>
      <c r="AU428">
        <f t="shared" si="39"/>
        <v>1.29708393100882</v>
      </c>
    </row>
    <row r="429" spans="1:47" x14ac:dyDescent="0.3">
      <c r="A429">
        <v>24</v>
      </c>
      <c r="B429" t="s">
        <v>71</v>
      </c>
      <c r="C429" t="s">
        <v>65</v>
      </c>
      <c r="D429" t="s">
        <v>66</v>
      </c>
      <c r="F429" s="7">
        <v>0</v>
      </c>
      <c r="G429" s="7">
        <v>0</v>
      </c>
      <c r="H429" s="3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1906806.2</v>
      </c>
      <c r="O429">
        <f t="shared" si="9"/>
        <v>1900528.4</v>
      </c>
      <c r="P429">
        <f t="shared" si="10"/>
        <v>7568929</v>
      </c>
      <c r="Q429">
        <f t="shared" si="11"/>
        <v>730118.6</v>
      </c>
      <c r="R429">
        <f t="shared" si="12"/>
        <v>5117375.4000000004</v>
      </c>
      <c r="S429">
        <f t="shared" si="13"/>
        <v>1296124.8</v>
      </c>
      <c r="T429">
        <f t="shared" si="14"/>
        <v>7570115.2000000002</v>
      </c>
      <c r="U429">
        <f t="shared" si="15"/>
        <v>5299455.4000000004</v>
      </c>
      <c r="V429">
        <f t="shared" si="16"/>
        <v>9604938.1999999993</v>
      </c>
      <c r="W429">
        <f t="shared" si="17"/>
        <v>3261385.8</v>
      </c>
      <c r="Y429">
        <f t="shared" si="18"/>
        <v>2.1243860448012128</v>
      </c>
      <c r="Z429">
        <f t="shared" si="19"/>
        <v>1.743260803609155</v>
      </c>
      <c r="AA429">
        <f t="shared" si="20"/>
        <v>1.740648745384533</v>
      </c>
      <c r="AB429">
        <f t="shared" si="21"/>
        <v>3.4562769946001941</v>
      </c>
      <c r="AC429">
        <f t="shared" si="22"/>
        <v>1.1471088014019191</v>
      </c>
      <c r="AD429">
        <f t="shared" si="23"/>
        <v>3.3294381968094968</v>
      </c>
      <c r="AE429">
        <f t="shared" si="24"/>
        <v>1.615628989262041</v>
      </c>
      <c r="AF429">
        <f t="shared" si="25"/>
        <v>4.5381545206066223</v>
      </c>
      <c r="AG429">
        <f t="shared" si="26"/>
        <v>3.402908249478787</v>
      </c>
      <c r="AH429">
        <f t="shared" si="27"/>
        <v>5.3003358413930979</v>
      </c>
      <c r="AI429">
        <f t="shared" si="28"/>
        <v>3.192229383147787</v>
      </c>
      <c r="AK429">
        <f t="shared" si="29"/>
        <v>2.1243860448012128</v>
      </c>
      <c r="AL429">
        <f t="shared" si="30"/>
        <v>0.57940426821587609</v>
      </c>
      <c r="AM429">
        <f t="shared" si="31"/>
        <v>0.57728583537973466</v>
      </c>
      <c r="AN429">
        <f t="shared" si="32"/>
        <v>3.4562769946001941</v>
      </c>
      <c r="AO429">
        <f t="shared" si="33"/>
        <v>0.39367007880937299</v>
      </c>
      <c r="AP429">
        <f t="shared" si="34"/>
        <v>3.3294381968094968</v>
      </c>
      <c r="AQ429">
        <f t="shared" si="35"/>
        <v>0.60989527961937706</v>
      </c>
      <c r="AR429">
        <f t="shared" si="36"/>
        <v>2.4574788372032339</v>
      </c>
      <c r="AS429">
        <f t="shared" si="37"/>
        <v>0.54783794217510151</v>
      </c>
      <c r="AT429">
        <f t="shared" si="38"/>
        <v>5.3003358413930979</v>
      </c>
      <c r="AU429">
        <f t="shared" si="39"/>
        <v>1.44229346618522</v>
      </c>
    </row>
    <row r="430" spans="1:47" x14ac:dyDescent="0.3">
      <c r="A430">
        <v>24</v>
      </c>
      <c r="B430" t="s">
        <v>72</v>
      </c>
      <c r="C430" t="s">
        <v>65</v>
      </c>
      <c r="D430" t="s">
        <v>66</v>
      </c>
      <c r="F430" s="7">
        <v>0</v>
      </c>
      <c r="G430" s="7">
        <v>0</v>
      </c>
      <c r="H430" s="3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>
        <f t="shared" si="7"/>
        <v>6904071</v>
      </c>
      <c r="N430">
        <f t="shared" si="8"/>
        <v>6904071</v>
      </c>
      <c r="O430">
        <f t="shared" si="9"/>
        <v>6904071</v>
      </c>
      <c r="P430">
        <f t="shared" si="10"/>
        <v>4053004.4</v>
      </c>
      <c r="Q430">
        <f t="shared" si="11"/>
        <v>4053004.4</v>
      </c>
      <c r="R430">
        <f t="shared" si="12"/>
        <v>10738918.4</v>
      </c>
      <c r="S430">
        <f t="shared" si="13"/>
        <v>10738918.4</v>
      </c>
      <c r="T430">
        <f t="shared" si="14"/>
        <v>7483609.4000000004</v>
      </c>
      <c r="U430">
        <f t="shared" si="15"/>
        <v>7483609.4000000004</v>
      </c>
      <c r="V430">
        <f t="shared" si="16"/>
        <v>43890192.200000003</v>
      </c>
      <c r="W430">
        <f t="shared" si="17"/>
        <v>43890192.200000003</v>
      </c>
      <c r="Y430">
        <f t="shared" si="18"/>
        <v>5.7168354118242863</v>
      </c>
      <c r="Z430">
        <f t="shared" si="19"/>
        <v>5.7168354118242863</v>
      </c>
      <c r="AA430">
        <f t="shared" si="20"/>
        <v>5.7168354118242863</v>
      </c>
      <c r="AB430">
        <f t="shared" si="21"/>
        <v>4.2012629465840288</v>
      </c>
      <c r="AC430">
        <f t="shared" si="22"/>
        <v>4.2012629465840288</v>
      </c>
      <c r="AD430">
        <f t="shared" si="23"/>
        <v>7.9933730095974171</v>
      </c>
      <c r="AE430">
        <f t="shared" si="24"/>
        <v>7.9933730095974171</v>
      </c>
      <c r="AF430">
        <f t="shared" si="25"/>
        <v>4.3847708093933759</v>
      </c>
      <c r="AG430">
        <f t="shared" si="26"/>
        <v>4.3847708093933759</v>
      </c>
      <c r="AH430">
        <f t="shared" si="27"/>
        <v>16.255055263999381</v>
      </c>
      <c r="AI430">
        <f t="shared" si="28"/>
        <v>16.255055263999381</v>
      </c>
      <c r="AK430">
        <f t="shared" si="29"/>
        <v>5.7168354118242863</v>
      </c>
      <c r="AL430">
        <f t="shared" si="30"/>
        <v>5.7168354118242863</v>
      </c>
      <c r="AM430">
        <f t="shared" si="31"/>
        <v>5.7168354118242863</v>
      </c>
      <c r="AN430">
        <f t="shared" si="32"/>
        <v>4.2012629465840288</v>
      </c>
      <c r="AO430">
        <f t="shared" si="33"/>
        <v>4.2012629465840288</v>
      </c>
      <c r="AP430">
        <f t="shared" si="34"/>
        <v>7.9933730095974171</v>
      </c>
      <c r="AQ430">
        <f t="shared" si="35"/>
        <v>7.9933730095974171</v>
      </c>
      <c r="AR430">
        <f t="shared" si="36"/>
        <v>2.3681915852008388</v>
      </c>
      <c r="AS430">
        <f t="shared" si="37"/>
        <v>2.3681915852008388</v>
      </c>
      <c r="AT430">
        <f t="shared" si="38"/>
        <v>16.255055263999381</v>
      </c>
      <c r="AU430">
        <f t="shared" si="39"/>
        <v>16.255055263999381</v>
      </c>
    </row>
    <row r="431" spans="1:47" x14ac:dyDescent="0.3">
      <c r="A431">
        <v>24</v>
      </c>
      <c r="B431" t="s">
        <v>73</v>
      </c>
      <c r="C431" t="s">
        <v>65</v>
      </c>
      <c r="D431" t="s">
        <v>66</v>
      </c>
      <c r="F431" s="7">
        <v>0</v>
      </c>
      <c r="G431" s="7">
        <v>1</v>
      </c>
      <c r="H431" s="3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>
        <f t="shared" si="7"/>
        <v>1297565.2</v>
      </c>
      <c r="N431">
        <f t="shared" si="8"/>
        <v>880414.8</v>
      </c>
      <c r="O431">
        <f t="shared" si="9"/>
        <v>886395.2</v>
      </c>
      <c r="P431">
        <f t="shared" si="10"/>
        <v>962221.8</v>
      </c>
      <c r="Q431">
        <f t="shared" si="11"/>
        <v>404700</v>
      </c>
      <c r="R431">
        <f t="shared" si="12"/>
        <v>840370</v>
      </c>
      <c r="S431">
        <f t="shared" si="13"/>
        <v>284102.8</v>
      </c>
      <c r="T431">
        <f t="shared" si="14"/>
        <v>3530230</v>
      </c>
      <c r="U431">
        <f t="shared" si="15"/>
        <v>3141473</v>
      </c>
      <c r="V431">
        <f t="shared" si="16"/>
        <v>3234570.4</v>
      </c>
      <c r="W431">
        <f t="shared" si="17"/>
        <v>1021632.6</v>
      </c>
      <c r="Y431">
        <f t="shared" si="18"/>
        <v>1.588220607989933</v>
      </c>
      <c r="Z431">
        <f t="shared" si="19"/>
        <v>1.116460578038823</v>
      </c>
      <c r="AA431">
        <f t="shared" si="20"/>
        <v>1.1165336190140811</v>
      </c>
      <c r="AB431">
        <f t="shared" si="21"/>
        <v>1.61790086220135</v>
      </c>
      <c r="AC431">
        <f t="shared" si="22"/>
        <v>0.92927987502189358</v>
      </c>
      <c r="AD431">
        <f t="shared" si="23"/>
        <v>1.1860468541970479</v>
      </c>
      <c r="AE431">
        <f t="shared" si="24"/>
        <v>0.57624550721375267</v>
      </c>
      <c r="AF431">
        <f t="shared" si="25"/>
        <v>1.492975046613719</v>
      </c>
      <c r="AG431">
        <f t="shared" si="26"/>
        <v>1.7756409366033039</v>
      </c>
      <c r="AH431">
        <f t="shared" si="27"/>
        <v>3.67967465921538</v>
      </c>
      <c r="AI431">
        <f t="shared" si="28"/>
        <v>2.0157048238092101</v>
      </c>
      <c r="AK431">
        <f t="shared" si="29"/>
        <v>1.588220607989933</v>
      </c>
      <c r="AL431">
        <f t="shared" si="30"/>
        <v>0.41318312822841108</v>
      </c>
      <c r="AM431">
        <f t="shared" si="31"/>
        <v>0.4103837706032209</v>
      </c>
      <c r="AN431">
        <f t="shared" si="32"/>
        <v>1.61790086220135</v>
      </c>
      <c r="AO431">
        <f t="shared" si="33"/>
        <v>0.32964318240410639</v>
      </c>
      <c r="AP431">
        <f t="shared" si="34"/>
        <v>1.1860468541970479</v>
      </c>
      <c r="AQ431">
        <f t="shared" si="35"/>
        <v>0.26147350044921042</v>
      </c>
      <c r="AR431">
        <f t="shared" si="36"/>
        <v>0.77335708541795611</v>
      </c>
      <c r="AS431">
        <f t="shared" si="37"/>
        <v>0.35394911116454753</v>
      </c>
      <c r="AT431">
        <f t="shared" si="38"/>
        <v>3.67967465921538</v>
      </c>
      <c r="AU431">
        <f t="shared" si="39"/>
        <v>0.96391443759202955</v>
      </c>
    </row>
    <row r="432" spans="1:47" x14ac:dyDescent="0.3">
      <c r="A432">
        <v>24</v>
      </c>
      <c r="B432" t="s">
        <v>74</v>
      </c>
      <c r="C432" t="s">
        <v>75</v>
      </c>
      <c r="D432" t="s">
        <v>66</v>
      </c>
      <c r="F432" s="7">
        <v>0</v>
      </c>
      <c r="G432" s="7">
        <v>0</v>
      </c>
      <c r="H432" s="3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>
        <f t="shared" si="7"/>
        <v>1465680.2</v>
      </c>
      <c r="N432">
        <f t="shared" si="8"/>
        <v>1465680.2</v>
      </c>
      <c r="O432">
        <f t="shared" si="9"/>
        <v>1465680.2</v>
      </c>
      <c r="P432">
        <f t="shared" si="10"/>
        <v>2004888.8</v>
      </c>
      <c r="Q432">
        <f t="shared" si="11"/>
        <v>2004888.8</v>
      </c>
      <c r="R432">
        <f t="shared" si="12"/>
        <v>1414445.2</v>
      </c>
      <c r="S432">
        <f t="shared" si="13"/>
        <v>1414445.2</v>
      </c>
      <c r="T432">
        <f t="shared" si="14"/>
        <v>3393315.6</v>
      </c>
      <c r="U432">
        <f t="shared" si="15"/>
        <v>3393315.6</v>
      </c>
      <c r="V432">
        <f t="shared" si="16"/>
        <v>7725292.4000000004</v>
      </c>
      <c r="W432">
        <f t="shared" si="17"/>
        <v>7725292.4000000004</v>
      </c>
      <c r="Y432">
        <f t="shared" si="18"/>
        <v>1.918850635411218</v>
      </c>
      <c r="Z432">
        <f t="shared" si="19"/>
        <v>1.918850635411218</v>
      </c>
      <c r="AA432">
        <f t="shared" si="20"/>
        <v>1.918850635411218</v>
      </c>
      <c r="AB432">
        <f t="shared" si="21"/>
        <v>2.9079386274039281</v>
      </c>
      <c r="AC432">
        <f t="shared" si="22"/>
        <v>2.9079386274039281</v>
      </c>
      <c r="AD432">
        <f t="shared" si="23"/>
        <v>1.5204563011997381</v>
      </c>
      <c r="AE432">
        <f t="shared" si="24"/>
        <v>1.5204563011997381</v>
      </c>
      <c r="AF432">
        <f t="shared" si="25"/>
        <v>1.370284883386921</v>
      </c>
      <c r="AG432">
        <f t="shared" si="26"/>
        <v>1.370284883386921</v>
      </c>
      <c r="AH432">
        <f t="shared" si="27"/>
        <v>5.2738582712016067</v>
      </c>
      <c r="AI432">
        <f t="shared" si="28"/>
        <v>5.2738582712016067</v>
      </c>
      <c r="AK432">
        <f t="shared" si="29"/>
        <v>1.918850635411218</v>
      </c>
      <c r="AL432">
        <f t="shared" si="30"/>
        <v>1.918850635411218</v>
      </c>
      <c r="AM432">
        <f t="shared" si="31"/>
        <v>1.918850635411218</v>
      </c>
      <c r="AN432">
        <f t="shared" si="32"/>
        <v>2.9079386274039281</v>
      </c>
      <c r="AO432">
        <f t="shared" si="33"/>
        <v>2.9079386274039281</v>
      </c>
      <c r="AP432">
        <f t="shared" si="34"/>
        <v>1.5204563011997381</v>
      </c>
      <c r="AQ432">
        <f t="shared" si="35"/>
        <v>1.5204563011997381</v>
      </c>
      <c r="AR432">
        <f t="shared" si="36"/>
        <v>0.70979358819313343</v>
      </c>
      <c r="AS432">
        <f t="shared" si="37"/>
        <v>0.70979358819313343</v>
      </c>
      <c r="AT432">
        <f t="shared" si="38"/>
        <v>5.2738582712016067</v>
      </c>
      <c r="AU432">
        <f t="shared" si="39"/>
        <v>5.2738582712016067</v>
      </c>
    </row>
    <row r="433" spans="1:47" x14ac:dyDescent="0.3">
      <c r="A433">
        <v>24</v>
      </c>
      <c r="B433" t="s">
        <v>76</v>
      </c>
      <c r="C433" t="s">
        <v>75</v>
      </c>
      <c r="D433" t="s">
        <v>66</v>
      </c>
      <c r="F433" s="7">
        <v>0</v>
      </c>
      <c r="G433" s="7">
        <v>1</v>
      </c>
      <c r="H433" s="3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>
        <f t="shared" si="7"/>
        <v>7040893.2000000002</v>
      </c>
      <c r="N433">
        <f t="shared" si="8"/>
        <v>7040893.2000000002</v>
      </c>
      <c r="O433">
        <f t="shared" si="9"/>
        <v>7040893.2000000002</v>
      </c>
      <c r="P433">
        <f t="shared" si="10"/>
        <v>6888278.7999999998</v>
      </c>
      <c r="Q433">
        <f t="shared" si="11"/>
        <v>6888278.7999999998</v>
      </c>
      <c r="R433">
        <f t="shared" si="12"/>
        <v>15975768.6</v>
      </c>
      <c r="S433">
        <f t="shared" si="13"/>
        <v>15975768.6</v>
      </c>
      <c r="T433">
        <f t="shared" si="14"/>
        <v>7598860.4000000004</v>
      </c>
      <c r="U433">
        <f t="shared" si="15"/>
        <v>7598860.4000000004</v>
      </c>
      <c r="V433">
        <f t="shared" si="16"/>
        <v>20961509</v>
      </c>
      <c r="W433">
        <f t="shared" si="17"/>
        <v>20961509</v>
      </c>
      <c r="Y433">
        <f t="shared" si="18"/>
        <v>5.6409331251867112</v>
      </c>
      <c r="Z433">
        <f t="shared" si="19"/>
        <v>5.6409331251867112</v>
      </c>
      <c r="AA433">
        <f t="shared" si="20"/>
        <v>5.6409331251867112</v>
      </c>
      <c r="AB433">
        <f t="shared" si="21"/>
        <v>5.9272057194029912</v>
      </c>
      <c r="AC433">
        <f t="shared" si="22"/>
        <v>5.9272057194029912</v>
      </c>
      <c r="AD433">
        <f t="shared" si="23"/>
        <v>11.511960138601721</v>
      </c>
      <c r="AE433">
        <f t="shared" si="24"/>
        <v>11.511960138601721</v>
      </c>
      <c r="AF433">
        <f t="shared" si="25"/>
        <v>4.6488622856093569</v>
      </c>
      <c r="AG433">
        <f t="shared" si="26"/>
        <v>4.6488622856093569</v>
      </c>
      <c r="AH433">
        <f t="shared" si="27"/>
        <v>8.9784730004146702</v>
      </c>
      <c r="AI433">
        <f t="shared" si="28"/>
        <v>8.9784730004146702</v>
      </c>
      <c r="AK433">
        <f t="shared" si="29"/>
        <v>5.6409331251867112</v>
      </c>
      <c r="AL433">
        <f t="shared" si="30"/>
        <v>5.6409331251867112</v>
      </c>
      <c r="AM433">
        <f t="shared" si="31"/>
        <v>5.6409331251867112</v>
      </c>
      <c r="AN433">
        <f t="shared" si="32"/>
        <v>5.9272057194029912</v>
      </c>
      <c r="AO433">
        <f t="shared" si="33"/>
        <v>5.9272057194029912</v>
      </c>
      <c r="AP433">
        <f t="shared" si="34"/>
        <v>11.511960138601721</v>
      </c>
      <c r="AQ433">
        <f t="shared" si="35"/>
        <v>11.511960138601721</v>
      </c>
      <c r="AR433">
        <f t="shared" si="36"/>
        <v>2.5225373466033489</v>
      </c>
      <c r="AS433">
        <f t="shared" si="37"/>
        <v>2.5225373466033489</v>
      </c>
      <c r="AT433">
        <f t="shared" si="38"/>
        <v>8.9784730004146702</v>
      </c>
      <c r="AU433">
        <f t="shared" si="39"/>
        <v>8.9784730004146702</v>
      </c>
    </row>
    <row r="434" spans="1:47" x14ac:dyDescent="0.3">
      <c r="A434">
        <v>24</v>
      </c>
      <c r="B434" t="s">
        <v>77</v>
      </c>
      <c r="C434" t="s">
        <v>75</v>
      </c>
      <c r="D434" t="s">
        <v>66</v>
      </c>
      <c r="F434" s="7">
        <v>0</v>
      </c>
      <c r="G434" s="7">
        <v>1</v>
      </c>
      <c r="H434" s="3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1510129.2</v>
      </c>
      <c r="O434">
        <f t="shared" si="9"/>
        <v>1520585.6</v>
      </c>
      <c r="P434">
        <f t="shared" si="10"/>
        <v>4808313.4000000004</v>
      </c>
      <c r="Q434">
        <f t="shared" si="11"/>
        <v>986819.6</v>
      </c>
      <c r="R434">
        <f t="shared" si="12"/>
        <v>4566077.4000000004</v>
      </c>
      <c r="S434">
        <f t="shared" si="13"/>
        <v>938520.4</v>
      </c>
      <c r="T434">
        <f t="shared" si="14"/>
        <v>7454517.4000000004</v>
      </c>
      <c r="U434">
        <f t="shared" si="15"/>
        <v>4792575.2</v>
      </c>
      <c r="V434">
        <f t="shared" si="16"/>
        <v>13585854.4</v>
      </c>
      <c r="W434">
        <f t="shared" si="17"/>
        <v>2527237.6</v>
      </c>
      <c r="Y434">
        <f t="shared" si="18"/>
        <v>2.6564867034088819</v>
      </c>
      <c r="Z434">
        <f t="shared" si="19"/>
        <v>1.618412725196686</v>
      </c>
      <c r="AA434">
        <f t="shared" si="20"/>
        <v>1.5962196041480641</v>
      </c>
      <c r="AB434">
        <f t="shared" si="21"/>
        <v>3.0329234963923231</v>
      </c>
      <c r="AC434">
        <f t="shared" si="22"/>
        <v>1.3745451684051659</v>
      </c>
      <c r="AD434">
        <f t="shared" si="23"/>
        <v>3.5340914125903509</v>
      </c>
      <c r="AE434">
        <f t="shared" si="24"/>
        <v>1.2198617112357171</v>
      </c>
      <c r="AF434">
        <f t="shared" si="25"/>
        <v>4.4905014236457648</v>
      </c>
      <c r="AG434">
        <f t="shared" si="26"/>
        <v>3.1318158169393429</v>
      </c>
      <c r="AH434">
        <f t="shared" si="27"/>
        <v>6.3614005369949158</v>
      </c>
      <c r="AI434">
        <f t="shared" si="28"/>
        <v>2.9119166313903411</v>
      </c>
      <c r="AK434">
        <f t="shared" si="29"/>
        <v>2.6564867034088819</v>
      </c>
      <c r="AL434">
        <f t="shared" si="30"/>
        <v>0.59165258837165313</v>
      </c>
      <c r="AM434">
        <f t="shared" si="31"/>
        <v>0.58193712900392713</v>
      </c>
      <c r="AN434">
        <f t="shared" si="32"/>
        <v>3.0329234963923231</v>
      </c>
      <c r="AO434">
        <f t="shared" si="33"/>
        <v>0.56612599299405697</v>
      </c>
      <c r="AP434">
        <f t="shared" si="34"/>
        <v>3.5340914125903509</v>
      </c>
      <c r="AQ434">
        <f t="shared" si="35"/>
        <v>0.5334870920167305</v>
      </c>
      <c r="AR434">
        <f t="shared" si="36"/>
        <v>2.4198196116369219</v>
      </c>
      <c r="AS434">
        <f t="shared" si="37"/>
        <v>0.59449780998984347</v>
      </c>
      <c r="AT434">
        <f t="shared" si="38"/>
        <v>6.3614005369949158</v>
      </c>
      <c r="AU434">
        <f t="shared" si="39"/>
        <v>1.379817806801293</v>
      </c>
    </row>
    <row r="435" spans="1:47" x14ac:dyDescent="0.3">
      <c r="A435">
        <v>24</v>
      </c>
      <c r="B435" t="s">
        <v>78</v>
      </c>
      <c r="C435" t="s">
        <v>75</v>
      </c>
      <c r="D435" t="s">
        <v>66</v>
      </c>
      <c r="F435" s="7">
        <v>0</v>
      </c>
      <c r="G435" s="7">
        <v>0</v>
      </c>
      <c r="H435" s="3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>
        <f t="shared" si="7"/>
        <v>414114.2</v>
      </c>
      <c r="N435">
        <f t="shared" si="8"/>
        <v>414114.2</v>
      </c>
      <c r="O435">
        <f t="shared" si="9"/>
        <v>414114.2</v>
      </c>
      <c r="P435">
        <f t="shared" si="10"/>
        <v>355969</v>
      </c>
      <c r="Q435">
        <f t="shared" si="11"/>
        <v>355969</v>
      </c>
      <c r="R435">
        <f t="shared" si="12"/>
        <v>185834.8</v>
      </c>
      <c r="S435">
        <f t="shared" si="13"/>
        <v>185834.8</v>
      </c>
      <c r="T435">
        <f t="shared" si="14"/>
        <v>3528815.8</v>
      </c>
      <c r="U435">
        <f t="shared" si="15"/>
        <v>3528815.8</v>
      </c>
      <c r="V435">
        <f t="shared" si="16"/>
        <v>708200.2</v>
      </c>
      <c r="W435">
        <f t="shared" si="17"/>
        <v>708200.2</v>
      </c>
      <c r="Y435">
        <f t="shared" si="18"/>
        <v>0.86007079039700329</v>
      </c>
      <c r="Z435">
        <f t="shared" si="19"/>
        <v>0.86007079039700329</v>
      </c>
      <c r="AA435">
        <f t="shared" si="20"/>
        <v>0.86007079039700329</v>
      </c>
      <c r="AB435">
        <f t="shared" si="21"/>
        <v>0.8570439752016682</v>
      </c>
      <c r="AC435">
        <f t="shared" si="22"/>
        <v>0.8570439752016682</v>
      </c>
      <c r="AD435">
        <f t="shared" si="23"/>
        <v>0.34934872440062459</v>
      </c>
      <c r="AE435">
        <f t="shared" si="24"/>
        <v>0.34934872440062459</v>
      </c>
      <c r="AF435">
        <f t="shared" si="25"/>
        <v>1.5616022404050449</v>
      </c>
      <c r="AG435">
        <f t="shared" si="26"/>
        <v>1.5616022404050449</v>
      </c>
      <c r="AH435">
        <f t="shared" si="27"/>
        <v>1.9083906523883341</v>
      </c>
      <c r="AI435">
        <f t="shared" si="28"/>
        <v>1.9083906523883341</v>
      </c>
      <c r="AK435">
        <f t="shared" si="29"/>
        <v>0.86007079039700329</v>
      </c>
      <c r="AL435">
        <f t="shared" si="30"/>
        <v>0.86007079039700329</v>
      </c>
      <c r="AM435">
        <f t="shared" si="31"/>
        <v>0.86007079039700329</v>
      </c>
      <c r="AN435">
        <f t="shared" si="32"/>
        <v>0.8570439752016682</v>
      </c>
      <c r="AO435">
        <f t="shared" si="33"/>
        <v>0.8570439752016682</v>
      </c>
      <c r="AP435">
        <f t="shared" si="34"/>
        <v>0.34934872440062459</v>
      </c>
      <c r="AQ435">
        <f t="shared" si="35"/>
        <v>0.34934872440062459</v>
      </c>
      <c r="AR435">
        <f t="shared" si="36"/>
        <v>0.81735321619780732</v>
      </c>
      <c r="AS435">
        <f t="shared" si="37"/>
        <v>0.81735321619780732</v>
      </c>
      <c r="AT435">
        <f t="shared" si="38"/>
        <v>1.9083906523883341</v>
      </c>
      <c r="AU435">
        <f t="shared" si="39"/>
        <v>1.9083906523883341</v>
      </c>
    </row>
    <row r="436" spans="1:47" x14ac:dyDescent="0.3">
      <c r="A436">
        <v>24</v>
      </c>
      <c r="B436" t="s">
        <v>79</v>
      </c>
      <c r="C436" t="s">
        <v>75</v>
      </c>
      <c r="D436" t="s">
        <v>66</v>
      </c>
      <c r="F436" s="7">
        <v>0</v>
      </c>
      <c r="G436" s="7">
        <v>1</v>
      </c>
      <c r="H436" s="3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>
        <f t="shared" si="7"/>
        <v>328897.59999999998</v>
      </c>
      <c r="N436">
        <f t="shared" si="8"/>
        <v>328897.59999999998</v>
      </c>
      <c r="O436">
        <f t="shared" si="9"/>
        <v>328897.59999999998</v>
      </c>
      <c r="P436">
        <f t="shared" si="10"/>
        <v>235216.4</v>
      </c>
      <c r="Q436">
        <f t="shared" si="11"/>
        <v>235216.4</v>
      </c>
      <c r="R436">
        <f t="shared" si="12"/>
        <v>67910.8</v>
      </c>
      <c r="S436">
        <f t="shared" si="13"/>
        <v>67910.8</v>
      </c>
      <c r="T436">
        <f t="shared" si="14"/>
        <v>3395854.4</v>
      </c>
      <c r="U436">
        <f t="shared" si="15"/>
        <v>3395854.4</v>
      </c>
      <c r="V436">
        <f t="shared" si="16"/>
        <v>335678.2</v>
      </c>
      <c r="W436">
        <f t="shared" si="17"/>
        <v>335678.2</v>
      </c>
      <c r="Y436">
        <f t="shared" si="18"/>
        <v>0.68047908279113467</v>
      </c>
      <c r="Z436">
        <f t="shared" si="19"/>
        <v>0.68047908279113467</v>
      </c>
      <c r="AA436">
        <f t="shared" si="20"/>
        <v>0.68047908279113467</v>
      </c>
      <c r="AB436">
        <f t="shared" si="21"/>
        <v>0.6714671196008567</v>
      </c>
      <c r="AC436">
        <f t="shared" si="22"/>
        <v>0.6714671196008567</v>
      </c>
      <c r="AD436">
        <f t="shared" si="23"/>
        <v>0.1787083590170368</v>
      </c>
      <c r="AE436">
        <f t="shared" si="24"/>
        <v>0.1787083590170368</v>
      </c>
      <c r="AF436">
        <f t="shared" si="25"/>
        <v>1.385708540002816</v>
      </c>
      <c r="AG436">
        <f t="shared" si="26"/>
        <v>1.385708540002816</v>
      </c>
      <c r="AH436">
        <f t="shared" si="27"/>
        <v>1.257478219992481</v>
      </c>
      <c r="AI436">
        <f t="shared" si="28"/>
        <v>1.257478219992481</v>
      </c>
      <c r="AK436">
        <f t="shared" si="29"/>
        <v>0.68047908279113467</v>
      </c>
      <c r="AL436">
        <f t="shared" si="30"/>
        <v>0.68047908279113467</v>
      </c>
      <c r="AM436">
        <f t="shared" si="31"/>
        <v>0.68047908279113467</v>
      </c>
      <c r="AN436">
        <f t="shared" si="32"/>
        <v>0.6714671196008567</v>
      </c>
      <c r="AO436">
        <f t="shared" si="33"/>
        <v>0.6714671196008567</v>
      </c>
      <c r="AP436">
        <f t="shared" si="34"/>
        <v>0.1787083590170368</v>
      </c>
      <c r="AQ436">
        <f t="shared" si="35"/>
        <v>0.1787083590170368</v>
      </c>
      <c r="AR436">
        <f t="shared" si="36"/>
        <v>0.7220061018015258</v>
      </c>
      <c r="AS436">
        <f t="shared" si="37"/>
        <v>0.7220061018015258</v>
      </c>
      <c r="AT436">
        <f t="shared" si="38"/>
        <v>1.257478219992481</v>
      </c>
      <c r="AU436">
        <f t="shared" si="39"/>
        <v>1.257478219992481</v>
      </c>
    </row>
    <row r="437" spans="1:47" x14ac:dyDescent="0.3">
      <c r="A437">
        <v>24</v>
      </c>
      <c r="B437" t="s">
        <v>80</v>
      </c>
      <c r="C437" t="s">
        <v>75</v>
      </c>
      <c r="D437" t="s">
        <v>66</v>
      </c>
      <c r="F437" s="7">
        <v>0</v>
      </c>
      <c r="G437" s="7">
        <v>0</v>
      </c>
      <c r="H437" s="3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1396337</v>
      </c>
      <c r="O437">
        <f t="shared" si="9"/>
        <v>1414690.4</v>
      </c>
      <c r="P437">
        <f t="shared" si="10"/>
        <v>7568929</v>
      </c>
      <c r="Q437">
        <f t="shared" si="11"/>
        <v>489701.8</v>
      </c>
      <c r="R437">
        <f t="shared" si="12"/>
        <v>5117375.4000000004</v>
      </c>
      <c r="S437">
        <f t="shared" si="13"/>
        <v>1027304.8</v>
      </c>
      <c r="T437">
        <f t="shared" si="14"/>
        <v>7570115.2000000002</v>
      </c>
      <c r="U437">
        <f t="shared" si="15"/>
        <v>4815083.2</v>
      </c>
      <c r="V437">
        <f t="shared" si="16"/>
        <v>9604938.1999999993</v>
      </c>
      <c r="W437">
        <f t="shared" si="17"/>
        <v>1943140.2</v>
      </c>
      <c r="Y437">
        <f t="shared" si="18"/>
        <v>2.201085966615937</v>
      </c>
      <c r="Z437">
        <f t="shared" si="19"/>
        <v>1.5400462601450271</v>
      </c>
      <c r="AA437">
        <f t="shared" si="20"/>
        <v>1.5126566993654711</v>
      </c>
      <c r="AB437">
        <f t="shared" si="21"/>
        <v>3.4981983134057368</v>
      </c>
      <c r="AC437">
        <f t="shared" si="22"/>
        <v>1.05383034501574</v>
      </c>
      <c r="AD437">
        <f t="shared" si="23"/>
        <v>3.44698818140896</v>
      </c>
      <c r="AE437">
        <f t="shared" si="24"/>
        <v>1.3292308015632439</v>
      </c>
      <c r="AF437">
        <f t="shared" si="25"/>
        <v>4.6299106023972856</v>
      </c>
      <c r="AG437">
        <f t="shared" si="26"/>
        <v>3.2033557045739141</v>
      </c>
      <c r="AH437">
        <f t="shared" si="27"/>
        <v>5.2428343464038338</v>
      </c>
      <c r="AI437">
        <f t="shared" si="28"/>
        <v>2.637211021804251</v>
      </c>
      <c r="AK437">
        <f t="shared" si="29"/>
        <v>2.201085966615937</v>
      </c>
      <c r="AL437">
        <f t="shared" si="30"/>
        <v>0.55321438940009104</v>
      </c>
      <c r="AM437">
        <f t="shared" si="31"/>
        <v>0.53765421379357581</v>
      </c>
      <c r="AN437">
        <f t="shared" si="32"/>
        <v>3.4981983134057368</v>
      </c>
      <c r="AO437">
        <f t="shared" si="33"/>
        <v>0.42956119038281032</v>
      </c>
      <c r="AP437">
        <f t="shared" si="34"/>
        <v>3.44698818140896</v>
      </c>
      <c r="AQ437">
        <f t="shared" si="35"/>
        <v>0.56617074820678681</v>
      </c>
      <c r="AR437">
        <f t="shared" si="36"/>
        <v>2.50488229180919</v>
      </c>
      <c r="AS437">
        <f t="shared" si="37"/>
        <v>0.60231137812370439</v>
      </c>
      <c r="AT437">
        <f t="shared" si="38"/>
        <v>5.2428343464038338</v>
      </c>
      <c r="AU437">
        <f t="shared" si="39"/>
        <v>1.1948239153833129</v>
      </c>
    </row>
    <row r="438" spans="1:47" x14ac:dyDescent="0.3">
      <c r="A438">
        <v>24</v>
      </c>
      <c r="B438" t="s">
        <v>81</v>
      </c>
      <c r="C438" t="s">
        <v>75</v>
      </c>
      <c r="D438" t="s">
        <v>66</v>
      </c>
      <c r="F438" s="7">
        <v>0</v>
      </c>
      <c r="G438" s="7">
        <v>0</v>
      </c>
      <c r="H438" s="3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>
        <f t="shared" si="7"/>
        <v>6904071</v>
      </c>
      <c r="N438">
        <f t="shared" si="8"/>
        <v>6904071</v>
      </c>
      <c r="O438">
        <f t="shared" si="9"/>
        <v>6904071</v>
      </c>
      <c r="P438">
        <f t="shared" si="10"/>
        <v>4053004.4</v>
      </c>
      <c r="Q438">
        <f t="shared" si="11"/>
        <v>4053004.4</v>
      </c>
      <c r="R438">
        <f t="shared" si="12"/>
        <v>10738918.4</v>
      </c>
      <c r="S438">
        <f t="shared" si="13"/>
        <v>10738918.4</v>
      </c>
      <c r="T438">
        <f t="shared" si="14"/>
        <v>7483609.4000000004</v>
      </c>
      <c r="U438">
        <f t="shared" si="15"/>
        <v>7483609.4000000004</v>
      </c>
      <c r="V438">
        <f t="shared" si="16"/>
        <v>43890192.200000003</v>
      </c>
      <c r="W438">
        <f t="shared" si="17"/>
        <v>43890192.200000003</v>
      </c>
      <c r="Y438">
        <f t="shared" si="18"/>
        <v>5.6394079314079137</v>
      </c>
      <c r="Z438">
        <f t="shared" si="19"/>
        <v>5.6394079314079137</v>
      </c>
      <c r="AA438">
        <f t="shared" si="20"/>
        <v>5.6394079314079137</v>
      </c>
      <c r="AB438">
        <f t="shared" si="21"/>
        <v>4.2357134791905988</v>
      </c>
      <c r="AC438">
        <f t="shared" si="22"/>
        <v>4.2357134791905988</v>
      </c>
      <c r="AD438">
        <f t="shared" si="23"/>
        <v>7.9148535917862306</v>
      </c>
      <c r="AE438">
        <f t="shared" si="24"/>
        <v>7.9148535917862306</v>
      </c>
      <c r="AF438">
        <f t="shared" si="25"/>
        <v>4.3384990540216677</v>
      </c>
      <c r="AG438">
        <f t="shared" si="26"/>
        <v>4.3384990540216677</v>
      </c>
      <c r="AH438">
        <f t="shared" si="27"/>
        <v>15.96682547939708</v>
      </c>
      <c r="AI438">
        <f t="shared" si="28"/>
        <v>15.96682547939708</v>
      </c>
      <c r="AK438">
        <f t="shared" si="29"/>
        <v>5.6394079314079137</v>
      </c>
      <c r="AL438">
        <f t="shared" si="30"/>
        <v>5.6394079314079137</v>
      </c>
      <c r="AM438">
        <f t="shared" si="31"/>
        <v>5.6394079314079137</v>
      </c>
      <c r="AN438">
        <f t="shared" si="32"/>
        <v>4.2357134791905988</v>
      </c>
      <c r="AO438">
        <f t="shared" si="33"/>
        <v>4.2357134791905988</v>
      </c>
      <c r="AP438">
        <f t="shared" si="34"/>
        <v>7.9148535917862306</v>
      </c>
      <c r="AQ438">
        <f t="shared" si="35"/>
        <v>7.9148535917862306</v>
      </c>
      <c r="AR438">
        <f t="shared" si="36"/>
        <v>2.3407935678143992</v>
      </c>
      <c r="AS438">
        <f t="shared" si="37"/>
        <v>2.3407935678143992</v>
      </c>
      <c r="AT438">
        <f t="shared" si="38"/>
        <v>15.96682547939708</v>
      </c>
      <c r="AU438">
        <f t="shared" si="39"/>
        <v>15.96682547939708</v>
      </c>
    </row>
    <row r="439" spans="1:47" x14ac:dyDescent="0.3">
      <c r="A439">
        <v>24</v>
      </c>
      <c r="B439" t="s">
        <v>82</v>
      </c>
      <c r="C439" t="s">
        <v>75</v>
      </c>
      <c r="D439" t="s">
        <v>66</v>
      </c>
      <c r="F439" s="7">
        <v>0</v>
      </c>
      <c r="G439" s="7">
        <v>1</v>
      </c>
      <c r="H439" s="3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>
        <f t="shared" si="7"/>
        <v>1297565.2</v>
      </c>
      <c r="N439">
        <f t="shared" si="8"/>
        <v>1297565.2</v>
      </c>
      <c r="O439">
        <f t="shared" si="9"/>
        <v>1297565.2</v>
      </c>
      <c r="P439">
        <f t="shared" si="10"/>
        <v>962221.8</v>
      </c>
      <c r="Q439">
        <f t="shared" si="11"/>
        <v>962221.8</v>
      </c>
      <c r="R439">
        <f t="shared" si="12"/>
        <v>840370</v>
      </c>
      <c r="S439">
        <f t="shared" si="13"/>
        <v>840370</v>
      </c>
      <c r="T439">
        <f t="shared" si="14"/>
        <v>3530230</v>
      </c>
      <c r="U439">
        <f t="shared" si="15"/>
        <v>3530230</v>
      </c>
      <c r="V439">
        <f t="shared" si="16"/>
        <v>3234570.4</v>
      </c>
      <c r="W439">
        <f t="shared" si="17"/>
        <v>3234570.4</v>
      </c>
      <c r="Y439">
        <f t="shared" si="18"/>
        <v>1.5941969590028751</v>
      </c>
      <c r="Z439">
        <f t="shared" si="19"/>
        <v>1.5941969590028751</v>
      </c>
      <c r="AA439">
        <f t="shared" si="20"/>
        <v>1.5941969590028751</v>
      </c>
      <c r="AB439">
        <f t="shared" si="21"/>
        <v>1.6168305369967131</v>
      </c>
      <c r="AC439">
        <f t="shared" si="22"/>
        <v>1.6168305369967131</v>
      </c>
      <c r="AD439">
        <f t="shared" si="23"/>
        <v>1.164485089783557</v>
      </c>
      <c r="AE439">
        <f t="shared" si="24"/>
        <v>1.164485089783557</v>
      </c>
      <c r="AF439">
        <f t="shared" si="25"/>
        <v>1.4887326450552789</v>
      </c>
      <c r="AG439">
        <f t="shared" si="26"/>
        <v>1.4887326450552789</v>
      </c>
      <c r="AH439">
        <f t="shared" si="27"/>
        <v>3.6520125315873879</v>
      </c>
      <c r="AI439">
        <f t="shared" si="28"/>
        <v>3.6520125315873879</v>
      </c>
      <c r="AK439">
        <f t="shared" si="29"/>
        <v>1.5941969590028751</v>
      </c>
      <c r="AL439">
        <f t="shared" si="30"/>
        <v>1.5941969590028751</v>
      </c>
      <c r="AM439">
        <f t="shared" si="31"/>
        <v>1.5941969590028751</v>
      </c>
      <c r="AN439">
        <f t="shared" si="32"/>
        <v>1.6168305369967131</v>
      </c>
      <c r="AO439">
        <f t="shared" si="33"/>
        <v>1.6168305369967131</v>
      </c>
      <c r="AP439">
        <f t="shared" si="34"/>
        <v>1.164485089783557</v>
      </c>
      <c r="AQ439">
        <f t="shared" si="35"/>
        <v>1.164485089783557</v>
      </c>
      <c r="AR439">
        <f t="shared" si="36"/>
        <v>0.77594867325387895</v>
      </c>
      <c r="AS439">
        <f t="shared" si="37"/>
        <v>0.77594867325387895</v>
      </c>
      <c r="AT439">
        <f t="shared" si="38"/>
        <v>3.6520125315873879</v>
      </c>
      <c r="AU439">
        <f t="shared" si="39"/>
        <v>3.6520125315873879</v>
      </c>
    </row>
    <row r="440" spans="1:47" x14ac:dyDescent="0.3">
      <c r="A440">
        <v>4</v>
      </c>
      <c r="B440" t="s">
        <v>83</v>
      </c>
      <c r="C440" t="s">
        <v>84</v>
      </c>
      <c r="D440" t="s">
        <v>66</v>
      </c>
      <c r="F440" s="7">
        <v>0</v>
      </c>
      <c r="G440" s="7">
        <v>0</v>
      </c>
      <c r="H440" s="3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>
        <f t="shared" si="7"/>
        <v>1465680.2</v>
      </c>
      <c r="N440">
        <f t="shared" si="8"/>
        <v>1465680.2</v>
      </c>
      <c r="O440">
        <f t="shared" si="9"/>
        <v>1465680.2</v>
      </c>
      <c r="P440">
        <f t="shared" si="10"/>
        <v>2004888.8</v>
      </c>
      <c r="Q440">
        <f t="shared" si="11"/>
        <v>2004888.8</v>
      </c>
      <c r="R440">
        <f t="shared" si="12"/>
        <v>1414445.2</v>
      </c>
      <c r="S440">
        <f t="shared" si="13"/>
        <v>1414445.2</v>
      </c>
      <c r="T440">
        <f t="shared" si="14"/>
        <v>3393315.6</v>
      </c>
      <c r="U440">
        <f t="shared" si="15"/>
        <v>3393315.6</v>
      </c>
      <c r="V440">
        <f t="shared" si="16"/>
        <v>7725292.4000000004</v>
      </c>
      <c r="W440">
        <f t="shared" si="17"/>
        <v>7725292.4000000004</v>
      </c>
      <c r="Y440">
        <f t="shared" si="18"/>
        <v>1.8319369789795019</v>
      </c>
      <c r="Z440">
        <f t="shared" si="19"/>
        <v>1.8319369789795019</v>
      </c>
      <c r="AA440">
        <f t="shared" si="20"/>
        <v>1.8319369789795019</v>
      </c>
      <c r="AB440">
        <f t="shared" si="21"/>
        <v>2.879401221801527</v>
      </c>
      <c r="AC440">
        <f t="shared" si="22"/>
        <v>2.879401221801527</v>
      </c>
      <c r="AD440">
        <f t="shared" si="23"/>
        <v>1.8170170724042689</v>
      </c>
      <c r="AE440">
        <f t="shared" si="24"/>
        <v>1.8170170724042689</v>
      </c>
      <c r="AF440">
        <f t="shared" si="25"/>
        <v>1.787585763807874</v>
      </c>
      <c r="AG440">
        <f t="shared" si="26"/>
        <v>1.787585763807874</v>
      </c>
      <c r="AH440">
        <f t="shared" si="27"/>
        <v>5.6934166578110306</v>
      </c>
      <c r="AI440">
        <f t="shared" si="28"/>
        <v>5.6934166578110306</v>
      </c>
      <c r="AK440">
        <f t="shared" si="29"/>
        <v>1.8319369789795019</v>
      </c>
      <c r="AL440">
        <f t="shared" si="30"/>
        <v>1.8319369789795019</v>
      </c>
      <c r="AM440">
        <f t="shared" si="31"/>
        <v>1.8319369789795019</v>
      </c>
      <c r="AN440">
        <f t="shared" si="32"/>
        <v>2.879401221801527</v>
      </c>
      <c r="AO440">
        <f t="shared" si="33"/>
        <v>2.879401221801527</v>
      </c>
      <c r="AP440">
        <f t="shared" si="34"/>
        <v>1.8170170724042689</v>
      </c>
      <c r="AQ440">
        <f t="shared" si="35"/>
        <v>1.8170170724042689</v>
      </c>
      <c r="AR440">
        <f t="shared" si="36"/>
        <v>0.91555266600335017</v>
      </c>
      <c r="AS440">
        <f t="shared" si="37"/>
        <v>0.91555266600335017</v>
      </c>
      <c r="AT440">
        <f t="shared" si="38"/>
        <v>5.6934166578110306</v>
      </c>
      <c r="AU440">
        <f t="shared" si="39"/>
        <v>5.6934166578110306</v>
      </c>
    </row>
    <row r="441" spans="1:47" x14ac:dyDescent="0.3">
      <c r="A441">
        <v>4</v>
      </c>
      <c r="B441" t="s">
        <v>85</v>
      </c>
      <c r="C441" t="s">
        <v>84</v>
      </c>
      <c r="D441" t="s">
        <v>66</v>
      </c>
      <c r="F441" s="7">
        <v>0</v>
      </c>
      <c r="G441" s="7">
        <v>1</v>
      </c>
      <c r="H441" s="3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3744377</v>
      </c>
      <c r="O441">
        <f t="shared" si="9"/>
        <v>3750497.4</v>
      </c>
      <c r="P441">
        <f t="shared" si="10"/>
        <v>6888278.7999999998</v>
      </c>
      <c r="Q441">
        <f t="shared" si="11"/>
        <v>1331899.3999999999</v>
      </c>
      <c r="R441">
        <f t="shared" si="12"/>
        <v>15975768.6</v>
      </c>
      <c r="S441">
        <f t="shared" si="13"/>
        <v>3155924.8</v>
      </c>
      <c r="T441">
        <f t="shared" si="14"/>
        <v>7598860.4000000004</v>
      </c>
      <c r="U441">
        <f t="shared" si="15"/>
        <v>4898645</v>
      </c>
      <c r="V441">
        <f t="shared" si="16"/>
        <v>20961509</v>
      </c>
      <c r="W441">
        <f t="shared" si="17"/>
        <v>5362622.2</v>
      </c>
      <c r="Y441">
        <f t="shared" si="18"/>
        <v>5.4246386677841656</v>
      </c>
      <c r="Z441">
        <f t="shared" si="19"/>
        <v>3.076770922611467</v>
      </c>
      <c r="AA441">
        <f t="shared" si="20"/>
        <v>3.1453847383731039</v>
      </c>
      <c r="AB441">
        <f t="shared" si="21"/>
        <v>5.9460993902059274</v>
      </c>
      <c r="AC441">
        <f t="shared" si="22"/>
        <v>1.9213261922064699</v>
      </c>
      <c r="AD441">
        <f t="shared" si="23"/>
        <v>12.080234304978511</v>
      </c>
      <c r="AE441">
        <f t="shared" si="24"/>
        <v>3.0287840822013101</v>
      </c>
      <c r="AF441">
        <f t="shared" si="25"/>
        <v>4.5396290069911629</v>
      </c>
      <c r="AG441">
        <f t="shared" si="26"/>
        <v>3.2943671333021478</v>
      </c>
      <c r="AH441">
        <f t="shared" si="27"/>
        <v>9.5278087861952372</v>
      </c>
      <c r="AI441">
        <f t="shared" si="28"/>
        <v>5.0988575343973936</v>
      </c>
      <c r="AK441">
        <f t="shared" si="29"/>
        <v>5.4246386677841656</v>
      </c>
      <c r="AL441">
        <f t="shared" si="30"/>
        <v>1.1042302692076189</v>
      </c>
      <c r="AM441">
        <f t="shared" si="31"/>
        <v>1.1133658957900481</v>
      </c>
      <c r="AN441">
        <f t="shared" si="32"/>
        <v>5.9460993902059274</v>
      </c>
      <c r="AO441">
        <f t="shared" si="33"/>
        <v>0.72895557120209564</v>
      </c>
      <c r="AP441">
        <f t="shared" si="34"/>
        <v>12.080234304978511</v>
      </c>
      <c r="AQ441">
        <f t="shared" si="35"/>
        <v>1.0187711918028071</v>
      </c>
      <c r="AR441">
        <f t="shared" si="36"/>
        <v>2.469795611000154</v>
      </c>
      <c r="AS441">
        <f t="shared" si="37"/>
        <v>0.62796316279564057</v>
      </c>
      <c r="AT441">
        <f t="shared" si="38"/>
        <v>9.5278087861952372</v>
      </c>
      <c r="AU441">
        <f t="shared" si="39"/>
        <v>2.6778158509870988</v>
      </c>
    </row>
    <row r="442" spans="1:47" x14ac:dyDescent="0.3">
      <c r="A442">
        <v>4</v>
      </c>
      <c r="B442" t="s">
        <v>86</v>
      </c>
      <c r="C442" t="s">
        <v>84</v>
      </c>
      <c r="D442" t="s">
        <v>66</v>
      </c>
      <c r="F442" s="7">
        <v>0</v>
      </c>
      <c r="G442" s="7">
        <v>1</v>
      </c>
      <c r="H442" s="3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1611209</v>
      </c>
      <c r="O442">
        <f t="shared" si="9"/>
        <v>1620610.8</v>
      </c>
      <c r="P442">
        <f t="shared" si="10"/>
        <v>4808313.4000000004</v>
      </c>
      <c r="Q442">
        <f t="shared" si="11"/>
        <v>833888.8</v>
      </c>
      <c r="R442">
        <f t="shared" si="12"/>
        <v>4566077.4000000004</v>
      </c>
      <c r="S442">
        <f t="shared" si="13"/>
        <v>938282.6</v>
      </c>
      <c r="T442">
        <f t="shared" si="14"/>
        <v>7454517.4000000004</v>
      </c>
      <c r="U442">
        <f t="shared" si="15"/>
        <v>4793049.5999999996</v>
      </c>
      <c r="V442">
        <f t="shared" si="16"/>
        <v>13585854.4</v>
      </c>
      <c r="W442">
        <f t="shared" si="17"/>
        <v>2689908</v>
      </c>
      <c r="Y442">
        <f t="shared" si="18"/>
        <v>2.4825949474237858</v>
      </c>
      <c r="Z442">
        <f t="shared" si="19"/>
        <v>1.707712889194954</v>
      </c>
      <c r="AA442">
        <f t="shared" si="20"/>
        <v>1.659215439984109</v>
      </c>
      <c r="AB442">
        <f t="shared" si="21"/>
        <v>3.0443546005961251</v>
      </c>
      <c r="AC442">
        <f t="shared" si="22"/>
        <v>1.417926531808916</v>
      </c>
      <c r="AD442">
        <f t="shared" si="23"/>
        <v>3.7240467675728719</v>
      </c>
      <c r="AE442">
        <f t="shared" si="24"/>
        <v>1.496491809992585</v>
      </c>
      <c r="AF442">
        <f t="shared" si="25"/>
        <v>4.7188595777843148</v>
      </c>
      <c r="AG442">
        <f t="shared" si="26"/>
        <v>3.387318742217031</v>
      </c>
      <c r="AH442">
        <f t="shared" si="27"/>
        <v>6.7606154303997759</v>
      </c>
      <c r="AI442">
        <f t="shared" si="28"/>
        <v>3.241419165418483</v>
      </c>
      <c r="AK442">
        <f t="shared" si="29"/>
        <v>2.4825949474237858</v>
      </c>
      <c r="AL442">
        <f t="shared" si="30"/>
        <v>0.69488530280068517</v>
      </c>
      <c r="AM442">
        <f t="shared" si="31"/>
        <v>0.63988174239639195</v>
      </c>
      <c r="AN442">
        <f t="shared" si="32"/>
        <v>3.0443546005961251</v>
      </c>
      <c r="AO442">
        <f t="shared" si="33"/>
        <v>0.60333306360698769</v>
      </c>
      <c r="AP442">
        <f t="shared" si="34"/>
        <v>3.7240467675728719</v>
      </c>
      <c r="AQ442">
        <f t="shared" si="35"/>
        <v>0.61459654001519082</v>
      </c>
      <c r="AR442">
        <f t="shared" si="36"/>
        <v>2.5442501764046028</v>
      </c>
      <c r="AS442">
        <f t="shared" si="37"/>
        <v>0.63902516502421347</v>
      </c>
      <c r="AT442">
        <f t="shared" si="38"/>
        <v>6.7606154303997759</v>
      </c>
      <c r="AU442">
        <f t="shared" si="39"/>
        <v>1.5043787976144809</v>
      </c>
    </row>
    <row r="443" spans="1:47" x14ac:dyDescent="0.3">
      <c r="A443">
        <v>4</v>
      </c>
      <c r="B443" t="s">
        <v>87</v>
      </c>
      <c r="C443" t="s">
        <v>84</v>
      </c>
      <c r="D443" t="s">
        <v>66</v>
      </c>
      <c r="F443" s="7">
        <v>0</v>
      </c>
      <c r="G443" s="7">
        <v>0</v>
      </c>
      <c r="H443" s="3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>
        <f t="shared" si="7"/>
        <v>414114.2</v>
      </c>
      <c r="N443">
        <f t="shared" si="8"/>
        <v>414114.2</v>
      </c>
      <c r="O443">
        <f t="shared" si="9"/>
        <v>414114.2</v>
      </c>
      <c r="P443">
        <f t="shared" si="10"/>
        <v>355969</v>
      </c>
      <c r="Q443">
        <f t="shared" si="11"/>
        <v>355969</v>
      </c>
      <c r="R443">
        <f t="shared" si="12"/>
        <v>185834.8</v>
      </c>
      <c r="S443">
        <f t="shared" si="13"/>
        <v>185834.8</v>
      </c>
      <c r="T443">
        <f t="shared" si="14"/>
        <v>3528815.8</v>
      </c>
      <c r="U443">
        <f t="shared" si="15"/>
        <v>3528815.8</v>
      </c>
      <c r="V443">
        <f t="shared" si="16"/>
        <v>708200.2</v>
      </c>
      <c r="W443">
        <f t="shared" si="17"/>
        <v>708200.2</v>
      </c>
      <c r="Y443">
        <f t="shared" si="18"/>
        <v>0.75114673021016642</v>
      </c>
      <c r="Z443">
        <f t="shared" si="19"/>
        <v>0.75114673021016642</v>
      </c>
      <c r="AA443">
        <f t="shared" si="20"/>
        <v>0.75114673021016642</v>
      </c>
      <c r="AB443">
        <f t="shared" si="21"/>
        <v>0.82831672560423608</v>
      </c>
      <c r="AC443">
        <f t="shared" si="22"/>
        <v>0.82831672560423608</v>
      </c>
      <c r="AD443">
        <f t="shared" si="23"/>
        <v>0.32699116140138351</v>
      </c>
      <c r="AE443">
        <f t="shared" si="24"/>
        <v>0.32699116140138351</v>
      </c>
      <c r="AF443">
        <f t="shared" si="25"/>
        <v>1.505616507807281</v>
      </c>
      <c r="AG443">
        <f t="shared" si="26"/>
        <v>1.505616507807281</v>
      </c>
      <c r="AH443">
        <f t="shared" si="27"/>
        <v>2.047339380381163</v>
      </c>
      <c r="AI443">
        <f t="shared" si="28"/>
        <v>2.047339380381163</v>
      </c>
      <c r="AK443">
        <f t="shared" si="29"/>
        <v>0.75114673021016642</v>
      </c>
      <c r="AL443">
        <f t="shared" si="30"/>
        <v>0.75114673021016642</v>
      </c>
      <c r="AM443">
        <f t="shared" si="31"/>
        <v>0.75114673021016642</v>
      </c>
      <c r="AN443">
        <f t="shared" si="32"/>
        <v>0.82831672560423608</v>
      </c>
      <c r="AO443">
        <f t="shared" si="33"/>
        <v>0.82831672560423608</v>
      </c>
      <c r="AP443">
        <f t="shared" si="34"/>
        <v>0.32699116140138351</v>
      </c>
      <c r="AQ443">
        <f t="shared" si="35"/>
        <v>0.32699116140138351</v>
      </c>
      <c r="AR443">
        <f t="shared" si="36"/>
        <v>0.78256184720667077</v>
      </c>
      <c r="AS443">
        <f t="shared" si="37"/>
        <v>0.78256184720667077</v>
      </c>
      <c r="AT443">
        <f t="shared" si="38"/>
        <v>2.047339380381163</v>
      </c>
      <c r="AU443">
        <f t="shared" si="39"/>
        <v>2.047339380381163</v>
      </c>
    </row>
    <row r="444" spans="1:47" x14ac:dyDescent="0.3">
      <c r="A444">
        <v>4</v>
      </c>
      <c r="B444" t="s">
        <v>88</v>
      </c>
      <c r="C444" t="s">
        <v>84</v>
      </c>
      <c r="D444" t="s">
        <v>66</v>
      </c>
      <c r="F444" s="7">
        <v>0</v>
      </c>
      <c r="G444" s="7">
        <v>1</v>
      </c>
      <c r="H444" s="3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>
        <f t="shared" si="7"/>
        <v>328897.59999999998</v>
      </c>
      <c r="N444">
        <f t="shared" si="8"/>
        <v>328897.59999999998</v>
      </c>
      <c r="O444">
        <f t="shared" si="9"/>
        <v>328897.59999999998</v>
      </c>
      <c r="P444">
        <f t="shared" si="10"/>
        <v>235216.4</v>
      </c>
      <c r="Q444">
        <f t="shared" si="11"/>
        <v>235216.4</v>
      </c>
      <c r="R444">
        <f t="shared" si="12"/>
        <v>67910.8</v>
      </c>
      <c r="S444">
        <f t="shared" si="13"/>
        <v>67910.8</v>
      </c>
      <c r="T444">
        <f t="shared" si="14"/>
        <v>3395854.4</v>
      </c>
      <c r="U444">
        <f t="shared" si="15"/>
        <v>3395854.4</v>
      </c>
      <c r="V444">
        <f t="shared" si="16"/>
        <v>335678.2</v>
      </c>
      <c r="W444">
        <f t="shared" si="17"/>
        <v>335678.2</v>
      </c>
      <c r="Y444">
        <f t="shared" si="18"/>
        <v>0.63159066501539196</v>
      </c>
      <c r="Z444">
        <f t="shared" si="19"/>
        <v>0.63159066501539196</v>
      </c>
      <c r="AA444">
        <f t="shared" si="20"/>
        <v>0.63159066501539196</v>
      </c>
      <c r="AB444">
        <f t="shared" si="21"/>
        <v>0.68709605880139857</v>
      </c>
      <c r="AC444">
        <f t="shared" si="22"/>
        <v>0.68709605880139857</v>
      </c>
      <c r="AD444">
        <f t="shared" si="23"/>
        <v>0.18201360160019239</v>
      </c>
      <c r="AE444">
        <f t="shared" si="24"/>
        <v>0.18201360160019239</v>
      </c>
      <c r="AF444">
        <f t="shared" si="25"/>
        <v>1.35665100698825</v>
      </c>
      <c r="AG444">
        <f t="shared" si="26"/>
        <v>1.35665100698825</v>
      </c>
      <c r="AH444">
        <f t="shared" si="27"/>
        <v>1.3754220396047461</v>
      </c>
      <c r="AI444">
        <f t="shared" si="28"/>
        <v>1.3754220396047461</v>
      </c>
      <c r="AK444">
        <f t="shared" si="29"/>
        <v>0.63159066501539196</v>
      </c>
      <c r="AL444">
        <f t="shared" si="30"/>
        <v>0.63159066501539196</v>
      </c>
      <c r="AM444">
        <f t="shared" si="31"/>
        <v>0.63159066501539196</v>
      </c>
      <c r="AN444">
        <f t="shared" si="32"/>
        <v>0.68709605880139857</v>
      </c>
      <c r="AO444">
        <f t="shared" si="33"/>
        <v>0.68709605880139857</v>
      </c>
      <c r="AP444">
        <f t="shared" si="34"/>
        <v>0.18201360160019239</v>
      </c>
      <c r="AQ444">
        <f t="shared" si="35"/>
        <v>0.18201360160019239</v>
      </c>
      <c r="AR444">
        <f t="shared" si="36"/>
        <v>0.71233651718357582</v>
      </c>
      <c r="AS444">
        <f t="shared" si="37"/>
        <v>0.71233651718357582</v>
      </c>
      <c r="AT444">
        <f t="shared" si="38"/>
        <v>1.3754220396047461</v>
      </c>
      <c r="AU444">
        <f t="shared" si="39"/>
        <v>1.3754220396047461</v>
      </c>
    </row>
    <row r="445" spans="1:47" x14ac:dyDescent="0.3">
      <c r="A445">
        <v>4</v>
      </c>
      <c r="B445" t="s">
        <v>89</v>
      </c>
      <c r="C445" t="s">
        <v>84</v>
      </c>
      <c r="D445" t="s">
        <v>66</v>
      </c>
      <c r="F445" s="7">
        <v>0</v>
      </c>
      <c r="G445" s="7">
        <v>0</v>
      </c>
      <c r="H445" s="3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1732037</v>
      </c>
      <c r="O445">
        <f t="shared" si="9"/>
        <v>1744123.4</v>
      </c>
      <c r="P445">
        <f t="shared" si="10"/>
        <v>7568929</v>
      </c>
      <c r="Q445">
        <f t="shared" si="11"/>
        <v>682360.2</v>
      </c>
      <c r="R445">
        <f t="shared" si="12"/>
        <v>5117375.4000000004</v>
      </c>
      <c r="S445">
        <f t="shared" si="13"/>
        <v>1270455.8</v>
      </c>
      <c r="T445">
        <f t="shared" si="14"/>
        <v>7570115.2000000002</v>
      </c>
      <c r="U445">
        <f t="shared" si="15"/>
        <v>4855978.4000000004</v>
      </c>
      <c r="V445">
        <f t="shared" si="16"/>
        <v>9604938.1999999993</v>
      </c>
      <c r="W445">
        <f t="shared" si="17"/>
        <v>2634093</v>
      </c>
      <c r="Y445">
        <f t="shared" si="18"/>
        <v>2.0070523833855991</v>
      </c>
      <c r="Z445">
        <f t="shared" si="19"/>
        <v>1.76563309840858</v>
      </c>
      <c r="AA445">
        <f t="shared" si="20"/>
        <v>1.738692578976043</v>
      </c>
      <c r="AB445">
        <f t="shared" si="21"/>
        <v>3.482785092797712</v>
      </c>
      <c r="AC445">
        <f t="shared" si="22"/>
        <v>1.3389948796073441</v>
      </c>
      <c r="AD445">
        <f t="shared" si="23"/>
        <v>4.0838837365852667</v>
      </c>
      <c r="AE445">
        <f t="shared" si="24"/>
        <v>2.1112484967801719</v>
      </c>
      <c r="AF445">
        <f t="shared" si="25"/>
        <v>5.0014964488102116</v>
      </c>
      <c r="AG445">
        <f t="shared" si="26"/>
        <v>3.393962668080349</v>
      </c>
      <c r="AH445">
        <f t="shared" si="27"/>
        <v>5.7257035910035494</v>
      </c>
      <c r="AI445">
        <f t="shared" si="28"/>
        <v>3.333868774643634</v>
      </c>
      <c r="AK445">
        <f t="shared" si="29"/>
        <v>2.0070523833855991</v>
      </c>
      <c r="AL445">
        <f t="shared" si="30"/>
        <v>0.70272875940427182</v>
      </c>
      <c r="AM445">
        <f t="shared" si="31"/>
        <v>0.67770485199289399</v>
      </c>
      <c r="AN445">
        <f t="shared" si="32"/>
        <v>3.482785092797712</v>
      </c>
      <c r="AO445">
        <f t="shared" si="33"/>
        <v>0.57597316879837313</v>
      </c>
      <c r="AP445">
        <f t="shared" si="34"/>
        <v>4.0838837365852667</v>
      </c>
      <c r="AQ445">
        <f t="shared" si="35"/>
        <v>0.78970951559022073</v>
      </c>
      <c r="AR445">
        <f t="shared" si="36"/>
        <v>2.7437955626053729</v>
      </c>
      <c r="AS445">
        <f t="shared" si="37"/>
        <v>0.64633446679217743</v>
      </c>
      <c r="AT445">
        <f t="shared" si="38"/>
        <v>5.7257035910035494</v>
      </c>
      <c r="AU445">
        <f t="shared" si="39"/>
        <v>1.520401987805962</v>
      </c>
    </row>
    <row r="446" spans="1:47" x14ac:dyDescent="0.3">
      <c r="A446">
        <v>4</v>
      </c>
      <c r="B446" t="s">
        <v>90</v>
      </c>
      <c r="C446" t="s">
        <v>84</v>
      </c>
      <c r="D446" t="s">
        <v>66</v>
      </c>
      <c r="F446" s="7">
        <v>0</v>
      </c>
      <c r="G446" s="7">
        <v>0</v>
      </c>
      <c r="H446" s="3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3979294.6</v>
      </c>
      <c r="O446">
        <f t="shared" si="9"/>
        <v>3975158.8</v>
      </c>
      <c r="P446">
        <f t="shared" si="10"/>
        <v>4053004.4</v>
      </c>
      <c r="Q446">
        <f t="shared" si="11"/>
        <v>1631806.4</v>
      </c>
      <c r="R446">
        <f t="shared" si="12"/>
        <v>10738918.4</v>
      </c>
      <c r="S446">
        <f t="shared" si="13"/>
        <v>3310792.2</v>
      </c>
      <c r="T446">
        <f t="shared" si="14"/>
        <v>7483609.4000000004</v>
      </c>
      <c r="U446">
        <f t="shared" si="15"/>
        <v>4874259.2</v>
      </c>
      <c r="V446">
        <f t="shared" si="16"/>
        <v>43890192.200000003</v>
      </c>
      <c r="W446">
        <f t="shared" si="17"/>
        <v>6719510</v>
      </c>
      <c r="Y446">
        <f t="shared" si="18"/>
        <v>5.5821704014088027</v>
      </c>
      <c r="Z446">
        <f t="shared" si="19"/>
        <v>3.178428005194291</v>
      </c>
      <c r="AA446">
        <f t="shared" si="20"/>
        <v>3.3224988357396801</v>
      </c>
      <c r="AB446">
        <f t="shared" si="21"/>
        <v>4.3036712372006152</v>
      </c>
      <c r="AC446">
        <f t="shared" si="22"/>
        <v>1.9599567972036309</v>
      </c>
      <c r="AD446">
        <f t="shared" si="23"/>
        <v>8.175055266206618</v>
      </c>
      <c r="AE446">
        <f t="shared" si="24"/>
        <v>2.9628377436427402</v>
      </c>
      <c r="AF446">
        <f t="shared" si="25"/>
        <v>4.392097077611834</v>
      </c>
      <c r="AG446">
        <f t="shared" si="26"/>
        <v>3.2506876940838989</v>
      </c>
      <c r="AH446">
        <f t="shared" si="27"/>
        <v>16.792428884201222</v>
      </c>
      <c r="AI446">
        <f t="shared" si="28"/>
        <v>5.589643276156858</v>
      </c>
      <c r="AK446">
        <f t="shared" si="29"/>
        <v>5.5821704014088027</v>
      </c>
      <c r="AL446">
        <f t="shared" si="30"/>
        <v>1.146858335635625</v>
      </c>
      <c r="AM446">
        <f t="shared" si="31"/>
        <v>1.2023673264076931</v>
      </c>
      <c r="AN446">
        <f t="shared" si="32"/>
        <v>4.3036712372006152</v>
      </c>
      <c r="AO446">
        <f t="shared" si="33"/>
        <v>0.78811763780249744</v>
      </c>
      <c r="AP446">
        <f t="shared" si="34"/>
        <v>8.175055266206618</v>
      </c>
      <c r="AQ446">
        <f t="shared" si="35"/>
        <v>1.1269108460517601</v>
      </c>
      <c r="AR446">
        <f t="shared" si="36"/>
        <v>2.3723823831882331</v>
      </c>
      <c r="AS446">
        <f t="shared" si="37"/>
        <v>0.63113038622541351</v>
      </c>
      <c r="AT446">
        <f t="shared" si="38"/>
        <v>16.792428884201222</v>
      </c>
      <c r="AU446">
        <f t="shared" si="39"/>
        <v>2.8364643328124659</v>
      </c>
    </row>
    <row r="447" spans="1:47" x14ac:dyDescent="0.3">
      <c r="A447">
        <v>4</v>
      </c>
      <c r="B447" t="s">
        <v>91</v>
      </c>
      <c r="C447" t="s">
        <v>84</v>
      </c>
      <c r="D447" t="s">
        <v>66</v>
      </c>
      <c r="F447" s="7">
        <v>0</v>
      </c>
      <c r="G447" s="7">
        <v>1</v>
      </c>
      <c r="H447" s="3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>
        <f t="shared" si="7"/>
        <v>1297565.2</v>
      </c>
      <c r="N447">
        <f t="shared" si="8"/>
        <v>1297565.2</v>
      </c>
      <c r="O447">
        <f t="shared" si="9"/>
        <v>1297565.2</v>
      </c>
      <c r="P447">
        <f t="shared" si="10"/>
        <v>962221.8</v>
      </c>
      <c r="Q447">
        <f t="shared" si="11"/>
        <v>962221.8</v>
      </c>
      <c r="R447">
        <f t="shared" si="12"/>
        <v>840370</v>
      </c>
      <c r="S447">
        <f t="shared" si="13"/>
        <v>840370</v>
      </c>
      <c r="T447">
        <f t="shared" si="14"/>
        <v>3530230</v>
      </c>
      <c r="U447">
        <f t="shared" si="15"/>
        <v>3530230</v>
      </c>
      <c r="V447">
        <f t="shared" si="16"/>
        <v>3234570.4</v>
      </c>
      <c r="W447">
        <f t="shared" si="17"/>
        <v>3234570.4</v>
      </c>
      <c r="Y447">
        <f t="shared" si="18"/>
        <v>1.527379470004234</v>
      </c>
      <c r="Z447">
        <f t="shared" si="19"/>
        <v>1.527379470004234</v>
      </c>
      <c r="AA447">
        <f t="shared" si="20"/>
        <v>1.527379470004234</v>
      </c>
      <c r="AB447">
        <f t="shared" si="21"/>
        <v>1.616807395996875</v>
      </c>
      <c r="AC447">
        <f t="shared" si="22"/>
        <v>1.616807395996875</v>
      </c>
      <c r="AD447">
        <f t="shared" si="23"/>
        <v>1.197000631201081</v>
      </c>
      <c r="AE447">
        <f t="shared" si="24"/>
        <v>1.197000631201081</v>
      </c>
      <c r="AF447">
        <f t="shared" si="25"/>
        <v>1.6330416677519679</v>
      </c>
      <c r="AG447">
        <f t="shared" si="26"/>
        <v>1.6330416677519679</v>
      </c>
      <c r="AH447">
        <f t="shared" si="27"/>
        <v>3.9768212680006401</v>
      </c>
      <c r="AI447">
        <f t="shared" si="28"/>
        <v>3.9768212680006401</v>
      </c>
      <c r="AK447">
        <f t="shared" si="29"/>
        <v>1.527379470004234</v>
      </c>
      <c r="AL447">
        <f t="shared" si="30"/>
        <v>1.527379470004234</v>
      </c>
      <c r="AM447">
        <f t="shared" si="31"/>
        <v>1.527379470004234</v>
      </c>
      <c r="AN447">
        <f t="shared" si="32"/>
        <v>1.616807395996875</v>
      </c>
      <c r="AO447">
        <f t="shared" si="33"/>
        <v>1.616807395996875</v>
      </c>
      <c r="AP447">
        <f t="shared" si="34"/>
        <v>1.197000631201081</v>
      </c>
      <c r="AQ447">
        <f t="shared" si="35"/>
        <v>1.197000631201081</v>
      </c>
      <c r="AR447">
        <f t="shared" si="36"/>
        <v>0.8525599175482057</v>
      </c>
      <c r="AS447">
        <f t="shared" si="37"/>
        <v>0.8525599175482057</v>
      </c>
      <c r="AT447">
        <f t="shared" si="38"/>
        <v>3.9768212680006401</v>
      </c>
      <c r="AU447">
        <f t="shared" si="39"/>
        <v>3.9768212680006401</v>
      </c>
    </row>
    <row r="448" spans="1:47" x14ac:dyDescent="0.3">
      <c r="A448">
        <v>5</v>
      </c>
      <c r="B448" t="s">
        <v>92</v>
      </c>
      <c r="C448" t="s">
        <v>93</v>
      </c>
      <c r="D448" t="s">
        <v>94</v>
      </c>
      <c r="F448" s="7">
        <v>0</v>
      </c>
      <c r="G448" s="7">
        <v>0</v>
      </c>
      <c r="H448" s="3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>
        <f t="shared" si="7"/>
        <v>208371</v>
      </c>
      <c r="N448">
        <f t="shared" si="8"/>
        <v>208371</v>
      </c>
      <c r="O448">
        <f t="shared" si="9"/>
        <v>208371</v>
      </c>
      <c r="P448">
        <f t="shared" si="10"/>
        <v>201376.6</v>
      </c>
      <c r="Q448">
        <f t="shared" si="11"/>
        <v>201376.6</v>
      </c>
      <c r="R448">
        <f t="shared" si="12"/>
        <v>2603.1999999999998</v>
      </c>
      <c r="S448">
        <f t="shared" si="13"/>
        <v>2603.1999999999998</v>
      </c>
      <c r="T448">
        <f t="shared" si="14"/>
        <v>3766247.8</v>
      </c>
      <c r="U448">
        <f t="shared" si="15"/>
        <v>3766247.8</v>
      </c>
      <c r="V448">
        <f t="shared" si="16"/>
        <v>9501</v>
      </c>
      <c r="W448">
        <f t="shared" si="17"/>
        <v>9501</v>
      </c>
      <c r="Y448">
        <f t="shared" si="18"/>
        <v>0.41856699479976672</v>
      </c>
      <c r="Z448">
        <f t="shared" si="19"/>
        <v>0.41856699479976672</v>
      </c>
      <c r="AA448">
        <f t="shared" si="20"/>
        <v>0.41856699479976672</v>
      </c>
      <c r="AB448">
        <f t="shared" si="21"/>
        <v>0.4407388918014476</v>
      </c>
      <c r="AC448">
        <f t="shared" si="22"/>
        <v>0.4407388918014476</v>
      </c>
      <c r="AD448">
        <f t="shared" si="23"/>
        <v>9.4976705592125593E-2</v>
      </c>
      <c r="AE448">
        <f t="shared" si="24"/>
        <v>9.4976705592125593E-2</v>
      </c>
      <c r="AF448">
        <f t="shared" si="25"/>
        <v>1.646577964792959</v>
      </c>
      <c r="AG448">
        <f t="shared" si="26"/>
        <v>1.646577964792959</v>
      </c>
      <c r="AH448">
        <f t="shared" si="27"/>
        <v>4.1595999000128323E-2</v>
      </c>
      <c r="AI448">
        <f t="shared" si="28"/>
        <v>4.1595999000128323E-2</v>
      </c>
      <c r="AK448">
        <f t="shared" si="29"/>
        <v>0.41856699479976672</v>
      </c>
      <c r="AL448">
        <f t="shared" si="30"/>
        <v>0.41856699479976672</v>
      </c>
      <c r="AM448">
        <f t="shared" si="31"/>
        <v>0.41856699479976672</v>
      </c>
      <c r="AN448">
        <f t="shared" si="32"/>
        <v>0.4407388918014476</v>
      </c>
      <c r="AO448">
        <f t="shared" si="33"/>
        <v>0.4407388918014476</v>
      </c>
      <c r="AP448">
        <f t="shared" si="34"/>
        <v>9.4976705592125593E-2</v>
      </c>
      <c r="AQ448">
        <f t="shared" si="35"/>
        <v>9.4976705592125593E-2</v>
      </c>
      <c r="AR448">
        <f t="shared" si="36"/>
        <v>0.91609004139900208</v>
      </c>
      <c r="AS448">
        <f t="shared" si="37"/>
        <v>0.91609004139900208</v>
      </c>
      <c r="AT448">
        <f t="shared" si="38"/>
        <v>4.1595999000128323E-2</v>
      </c>
      <c r="AU448">
        <f t="shared" si="39"/>
        <v>4.1595999000128323E-2</v>
      </c>
    </row>
    <row r="449" spans="1:47" x14ac:dyDescent="0.3">
      <c r="A449">
        <v>5</v>
      </c>
      <c r="B449" t="s">
        <v>95</v>
      </c>
      <c r="C449" t="s">
        <v>93</v>
      </c>
      <c r="D449" t="s">
        <v>94</v>
      </c>
      <c r="F449" s="7">
        <v>0</v>
      </c>
      <c r="G449" s="7">
        <v>1</v>
      </c>
      <c r="H449" s="3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1132016.3999999999</v>
      </c>
      <c r="O449">
        <f t="shared" ref="O449:O512" si="46">IF($AY68 &gt; 0, O68, M68)</f>
        <v>1140720.6000000001</v>
      </c>
      <c r="P449">
        <f t="shared" ref="P449:P512" si="47">IF($AY68 &gt; 0, P68, P68)</f>
        <v>11193030.6</v>
      </c>
      <c r="Q449">
        <f t="shared" ref="Q449:Q512" si="48">IF($AY68 &gt; 0, Q68, P68)</f>
        <v>380732.8</v>
      </c>
      <c r="R449">
        <f t="shared" ref="R449:R512" si="49">IF($AY68 &gt; 0, R68, R68)</f>
        <v>7020716.7999999998</v>
      </c>
      <c r="S449">
        <f t="shared" ref="S449:S512" si="50">IF($AY68 &gt; 0, S68, R68)</f>
        <v>388903</v>
      </c>
      <c r="T449">
        <f t="shared" ref="T449:T512" si="51">IF($AY68 &gt; 0, T68, T68)</f>
        <v>5306523.2</v>
      </c>
      <c r="U449">
        <f t="shared" ref="U449:U512" si="52">IF($AY68 &gt; 0, U68, T68)</f>
        <v>4081176.2</v>
      </c>
      <c r="V449">
        <f t="shared" ref="V449:V512" si="53">IF($AY68 &gt; 0, V68, V68)</f>
        <v>8747838.8000000007</v>
      </c>
      <c r="W449">
        <f t="shared" ref="W449:W512" si="54">IF($AY68 &gt; 0, W68, V68)</f>
        <v>581754</v>
      </c>
      <c r="Y449">
        <f t="shared" ref="Y449:Y512" si="55">IF($AY68 &gt; 0, Y68, Y68)</f>
        <v>2.668016420002095</v>
      </c>
      <c r="Z449">
        <f t="shared" ref="Z449:Z512" si="56">IF($AY68 &gt; 0, Z68, Y68)</f>
        <v>1.285997580969706</v>
      </c>
      <c r="AA449">
        <f t="shared" ref="AA449:AA512" si="57">IF($AY68 &gt; 0, AA68, Y68)</f>
        <v>1.282702801830601</v>
      </c>
      <c r="AB449">
        <f t="shared" ref="AB449:AB512" si="58">IF($AY68 &gt; 0, AB68, AB68)</f>
        <v>7.9405648606043542</v>
      </c>
      <c r="AC449">
        <f t="shared" ref="AC449:AC512" si="59">IF($AY68 &gt; 0, AC68, AB68)</f>
        <v>0.99667373819393101</v>
      </c>
      <c r="AD449">
        <f t="shared" ref="AD449:AD512" si="60">IF($AY68 &gt; 0, AD68, AD68)</f>
        <v>4.7423962837900033</v>
      </c>
      <c r="AE449">
        <f t="shared" ref="AE449:AE512" si="61">IF($AY68 &gt; 0, AE68, AD68)</f>
        <v>0.83695553219877183</v>
      </c>
      <c r="AF449">
        <f t="shared" ref="AF449:AF512" si="62">IF($AY68 &gt; 0, AF68, AF68)</f>
        <v>2.7727254663710479</v>
      </c>
      <c r="AG449">
        <f t="shared" ref="AG449:AG512" si="63">IF($AY68 &gt; 0, AG68, AF68)</f>
        <v>2.5761346061131918</v>
      </c>
      <c r="AH449">
        <f t="shared" ref="AH449:AH512" si="64">IF($AY68 &gt; 0, AH68, AH68)</f>
        <v>4.9178539480082692</v>
      </c>
      <c r="AI449">
        <f t="shared" ref="AI449:AI512" si="65">IF($AY68 &gt; 0, AI68, AH68)</f>
        <v>2.1600462925853212</v>
      </c>
      <c r="AK449">
        <f t="shared" ref="AK449:AK512" si="66">IF($AY68 &gt; 0, AK68, AK68)</f>
        <v>2.668016420002095</v>
      </c>
      <c r="AL449">
        <f t="shared" ref="AL449:AL512" si="67">IF($AY68 &gt; 0, AL68, AK68)</f>
        <v>0.54629383538849652</v>
      </c>
      <c r="AM449">
        <f t="shared" ref="AM449:AM512" si="68">IF($AY68 &gt; 0, AM68, AK68)</f>
        <v>0.54692938340594988</v>
      </c>
      <c r="AN449">
        <f t="shared" ref="AN449:AN512" si="69">IF($AY68 &gt; 0, AN68, AN68)</f>
        <v>7.9405648606043542</v>
      </c>
      <c r="AO449">
        <f t="shared" ref="AO449:AO512" si="70">IF($AY68 &gt; 0, AO68, AN68)</f>
        <v>0.48611025559657722</v>
      </c>
      <c r="AP449">
        <f t="shared" ref="AP449:AP512" si="71">IF($AY68 &gt; 0, AP68, AP68)</f>
        <v>4.7423962837900033</v>
      </c>
      <c r="AQ449">
        <f t="shared" ref="AQ449:AQ512" si="72">IF($AY68 &gt; 0, AQ68, AP68)</f>
        <v>0.53331447781529273</v>
      </c>
      <c r="AR449">
        <f t="shared" ref="AR449:AR512" si="73">IF($AY68 &gt; 0, AR68, AR68)</f>
        <v>1.6036747433710841</v>
      </c>
      <c r="AS449">
        <f t="shared" ref="AS449:AS512" si="74">IF($AY68 &gt; 0, AS68, AR68)</f>
        <v>0.54106246335431929</v>
      </c>
      <c r="AT449">
        <f t="shared" ref="AT449:AT512" si="75">IF($AY68 &gt; 0, AT68, AT68)</f>
        <v>4.9178539480082692</v>
      </c>
      <c r="AU449">
        <f t="shared" ref="AU449:AU512" si="76">IF($AY68 &gt; 0, AU68, AT68)</f>
        <v>1.0326490909792481</v>
      </c>
    </row>
    <row r="450" spans="1:47" x14ac:dyDescent="0.3">
      <c r="A450">
        <v>5</v>
      </c>
      <c r="B450" t="s">
        <v>96</v>
      </c>
      <c r="C450" t="s">
        <v>93</v>
      </c>
      <c r="D450" t="s">
        <v>94</v>
      </c>
      <c r="F450" s="7">
        <v>0</v>
      </c>
      <c r="G450" s="7">
        <v>1</v>
      </c>
      <c r="H450" s="3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>
        <f t="shared" si="44"/>
        <v>4442563</v>
      </c>
      <c r="N450">
        <f t="shared" si="45"/>
        <v>4442563</v>
      </c>
      <c r="O450">
        <f t="shared" si="46"/>
        <v>4442563</v>
      </c>
      <c r="P450">
        <f t="shared" si="47"/>
        <v>16353725.4</v>
      </c>
      <c r="Q450">
        <f t="shared" si="48"/>
        <v>16353725.4</v>
      </c>
      <c r="R450">
        <f t="shared" si="49"/>
        <v>19335396.399999999</v>
      </c>
      <c r="S450">
        <f t="shared" si="50"/>
        <v>19335396.399999999</v>
      </c>
      <c r="T450">
        <f t="shared" si="51"/>
        <v>5298766.8</v>
      </c>
      <c r="U450">
        <f t="shared" si="52"/>
        <v>5298766.8</v>
      </c>
      <c r="V450">
        <f t="shared" si="53"/>
        <v>20741767.199999999</v>
      </c>
      <c r="W450">
        <f t="shared" si="54"/>
        <v>20741767.199999999</v>
      </c>
      <c r="Y450">
        <f t="shared" si="55"/>
        <v>3.6374063410097728</v>
      </c>
      <c r="Z450">
        <f t="shared" si="56"/>
        <v>3.6374063410097728</v>
      </c>
      <c r="AA450">
        <f t="shared" si="57"/>
        <v>3.6374063410097728</v>
      </c>
      <c r="AB450">
        <f t="shared" si="58"/>
        <v>6.3262260437972149</v>
      </c>
      <c r="AC450">
        <f t="shared" si="59"/>
        <v>6.3262260437972149</v>
      </c>
      <c r="AD450">
        <f t="shared" si="60"/>
        <v>11.317124271602371</v>
      </c>
      <c r="AE450">
        <f t="shared" si="61"/>
        <v>11.317124271602371</v>
      </c>
      <c r="AF450">
        <f t="shared" si="62"/>
        <v>3.004522519640159</v>
      </c>
      <c r="AG450">
        <f t="shared" si="63"/>
        <v>3.004522519640159</v>
      </c>
      <c r="AH450">
        <f t="shared" si="64"/>
        <v>7.5217238067882137</v>
      </c>
      <c r="AI450">
        <f t="shared" si="65"/>
        <v>7.5217238067882137</v>
      </c>
      <c r="AK450">
        <f t="shared" si="66"/>
        <v>3.6374063410097728</v>
      </c>
      <c r="AL450">
        <f t="shared" si="67"/>
        <v>3.6374063410097728</v>
      </c>
      <c r="AM450">
        <f t="shared" si="68"/>
        <v>3.6374063410097728</v>
      </c>
      <c r="AN450">
        <f t="shared" si="69"/>
        <v>6.3262260437972149</v>
      </c>
      <c r="AO450">
        <f t="shared" si="70"/>
        <v>6.3262260437972149</v>
      </c>
      <c r="AP450">
        <f t="shared" si="71"/>
        <v>11.317124271602371</v>
      </c>
      <c r="AQ450">
        <f t="shared" si="72"/>
        <v>11.317124271602371</v>
      </c>
      <c r="AR450">
        <f t="shared" si="73"/>
        <v>1.7212041230406609</v>
      </c>
      <c r="AS450">
        <f t="shared" si="74"/>
        <v>1.7212041230406609</v>
      </c>
      <c r="AT450">
        <f t="shared" si="75"/>
        <v>7.5217238067882137</v>
      </c>
      <c r="AU450">
        <f t="shared" si="76"/>
        <v>7.5217238067882137</v>
      </c>
    </row>
    <row r="451" spans="1:47" x14ac:dyDescent="0.3">
      <c r="A451">
        <v>5</v>
      </c>
      <c r="B451" t="s">
        <v>97</v>
      </c>
      <c r="C451" t="s">
        <v>93</v>
      </c>
      <c r="D451" t="s">
        <v>94</v>
      </c>
      <c r="F451" s="7">
        <v>0</v>
      </c>
      <c r="G451" s="7">
        <v>0</v>
      </c>
      <c r="H451" s="3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>
        <f t="shared" si="44"/>
        <v>7165620.4000000004</v>
      </c>
      <c r="N451">
        <f t="shared" si="45"/>
        <v>7165620.4000000004</v>
      </c>
      <c r="O451">
        <f t="shared" si="46"/>
        <v>7165620.4000000004</v>
      </c>
      <c r="P451">
        <f t="shared" si="47"/>
        <v>16705599.6</v>
      </c>
      <c r="Q451">
        <f t="shared" si="48"/>
        <v>16705599.6</v>
      </c>
      <c r="R451">
        <f t="shared" si="49"/>
        <v>34420914.200000003</v>
      </c>
      <c r="S451">
        <f t="shared" si="50"/>
        <v>34420914.200000003</v>
      </c>
      <c r="T451">
        <f t="shared" si="51"/>
        <v>3836925.8</v>
      </c>
      <c r="U451">
        <f t="shared" si="52"/>
        <v>3836925.8</v>
      </c>
      <c r="V451">
        <f t="shared" si="53"/>
        <v>34501219.600000001</v>
      </c>
      <c r="W451">
        <f t="shared" si="54"/>
        <v>34501219.600000001</v>
      </c>
      <c r="Y451">
        <f t="shared" si="55"/>
        <v>6.9092961585964066</v>
      </c>
      <c r="Z451">
        <f t="shared" si="56"/>
        <v>6.9092961585964066</v>
      </c>
      <c r="AA451">
        <f t="shared" si="57"/>
        <v>6.9092961585964066</v>
      </c>
      <c r="AB451">
        <f t="shared" si="58"/>
        <v>16.935563538200221</v>
      </c>
      <c r="AC451">
        <f t="shared" si="59"/>
        <v>16.935563538200221</v>
      </c>
      <c r="AD451">
        <f t="shared" si="60"/>
        <v>31.756336658995131</v>
      </c>
      <c r="AE451">
        <f t="shared" si="61"/>
        <v>31.756336658995131</v>
      </c>
      <c r="AF451">
        <f t="shared" si="62"/>
        <v>1.683252871606965</v>
      </c>
      <c r="AG451">
        <f t="shared" si="63"/>
        <v>1.683252871606965</v>
      </c>
      <c r="AH451">
        <f t="shared" si="64"/>
        <v>15.57725984961726</v>
      </c>
      <c r="AI451">
        <f t="shared" si="65"/>
        <v>15.57725984961726</v>
      </c>
      <c r="AK451">
        <f t="shared" si="66"/>
        <v>6.9092961585964066</v>
      </c>
      <c r="AL451">
        <f t="shared" si="67"/>
        <v>6.9092961585964066</v>
      </c>
      <c r="AM451">
        <f t="shared" si="68"/>
        <v>6.9092961585964066</v>
      </c>
      <c r="AN451">
        <f t="shared" si="69"/>
        <v>16.935563538200221</v>
      </c>
      <c r="AO451">
        <f t="shared" si="70"/>
        <v>16.935563538200221</v>
      </c>
      <c r="AP451">
        <f t="shared" si="71"/>
        <v>31.756336658995131</v>
      </c>
      <c r="AQ451">
        <f t="shared" si="72"/>
        <v>31.756336658995131</v>
      </c>
      <c r="AR451">
        <f t="shared" si="73"/>
        <v>0.91306361479219045</v>
      </c>
      <c r="AS451">
        <f t="shared" si="74"/>
        <v>0.91306361479219045</v>
      </c>
      <c r="AT451">
        <f t="shared" si="75"/>
        <v>15.57725984961726</v>
      </c>
      <c r="AU451">
        <f t="shared" si="76"/>
        <v>15.57725984961726</v>
      </c>
    </row>
    <row r="452" spans="1:47" x14ac:dyDescent="0.3">
      <c r="A452">
        <v>5</v>
      </c>
      <c r="B452" t="s">
        <v>98</v>
      </c>
      <c r="C452" t="s">
        <v>93</v>
      </c>
      <c r="D452" t="s">
        <v>94</v>
      </c>
      <c r="F452" s="7">
        <v>0</v>
      </c>
      <c r="G452" s="7">
        <v>1</v>
      </c>
      <c r="H452" s="3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>
        <f t="shared" si="44"/>
        <v>5599438.4000000004</v>
      </c>
      <c r="N452">
        <f t="shared" si="45"/>
        <v>5599438.4000000004</v>
      </c>
      <c r="O452">
        <f t="shared" si="46"/>
        <v>5599438.4000000004</v>
      </c>
      <c r="P452">
        <f t="shared" si="47"/>
        <v>21848843.399999999</v>
      </c>
      <c r="Q452">
        <f t="shared" si="48"/>
        <v>21848843.399999999</v>
      </c>
      <c r="R452">
        <f t="shared" si="49"/>
        <v>28067433</v>
      </c>
      <c r="S452">
        <f t="shared" si="50"/>
        <v>28067433</v>
      </c>
      <c r="T452">
        <f t="shared" si="51"/>
        <v>3793876</v>
      </c>
      <c r="U452">
        <f t="shared" si="52"/>
        <v>3793876</v>
      </c>
      <c r="V452">
        <f t="shared" si="53"/>
        <v>24500181.199999999</v>
      </c>
      <c r="W452">
        <f t="shared" si="54"/>
        <v>24500181.199999999</v>
      </c>
      <c r="Y452">
        <f t="shared" si="55"/>
        <v>5.3784904750064024</v>
      </c>
      <c r="Z452">
        <f t="shared" si="56"/>
        <v>5.3784904750064024</v>
      </c>
      <c r="AA452">
        <f t="shared" si="57"/>
        <v>5.3784904750064024</v>
      </c>
      <c r="AB452">
        <f t="shared" si="58"/>
        <v>21.504374363401439</v>
      </c>
      <c r="AC452">
        <f t="shared" si="59"/>
        <v>21.504374363401439</v>
      </c>
      <c r="AD452">
        <f t="shared" si="60"/>
        <v>23.77764393440448</v>
      </c>
      <c r="AE452">
        <f t="shared" si="61"/>
        <v>23.77764393440448</v>
      </c>
      <c r="AF452">
        <f t="shared" si="62"/>
        <v>1.641063837206457</v>
      </c>
      <c r="AG452">
        <f t="shared" si="63"/>
        <v>1.641063837206457</v>
      </c>
      <c r="AH452">
        <f t="shared" si="64"/>
        <v>11.86531723120715</v>
      </c>
      <c r="AI452">
        <f t="shared" si="65"/>
        <v>11.86531723120715</v>
      </c>
      <c r="AK452">
        <f t="shared" si="66"/>
        <v>5.3784904750064024</v>
      </c>
      <c r="AL452">
        <f t="shared" si="67"/>
        <v>5.3784904750064024</v>
      </c>
      <c r="AM452">
        <f t="shared" si="68"/>
        <v>5.3784904750064024</v>
      </c>
      <c r="AN452">
        <f t="shared" si="69"/>
        <v>21.504374363401439</v>
      </c>
      <c r="AO452">
        <f t="shared" si="70"/>
        <v>21.504374363401439</v>
      </c>
      <c r="AP452">
        <f t="shared" si="71"/>
        <v>23.77764393440448</v>
      </c>
      <c r="AQ452">
        <f t="shared" si="72"/>
        <v>23.77764393440448</v>
      </c>
      <c r="AR452">
        <f t="shared" si="73"/>
        <v>0.91600611620815475</v>
      </c>
      <c r="AS452">
        <f t="shared" si="74"/>
        <v>0.91600611620815475</v>
      </c>
      <c r="AT452">
        <f t="shared" si="75"/>
        <v>11.86531723120715</v>
      </c>
      <c r="AU452">
        <f t="shared" si="76"/>
        <v>11.86531723120715</v>
      </c>
    </row>
    <row r="453" spans="1:47" x14ac:dyDescent="0.3">
      <c r="A453">
        <v>5</v>
      </c>
      <c r="B453" t="s">
        <v>99</v>
      </c>
      <c r="C453" t="s">
        <v>93</v>
      </c>
      <c r="D453" t="s">
        <v>94</v>
      </c>
      <c r="F453" s="7">
        <v>0</v>
      </c>
      <c r="G453" s="7">
        <v>0</v>
      </c>
      <c r="H453" s="3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>
        <f t="shared" si="44"/>
        <v>7172555.4000000004</v>
      </c>
      <c r="N453">
        <f t="shared" si="45"/>
        <v>7172555.4000000004</v>
      </c>
      <c r="O453">
        <f t="shared" si="46"/>
        <v>7172555.4000000004</v>
      </c>
      <c r="P453">
        <f t="shared" si="47"/>
        <v>33690542.200000003</v>
      </c>
      <c r="Q453">
        <f t="shared" si="48"/>
        <v>33690542.200000003</v>
      </c>
      <c r="R453">
        <f t="shared" si="49"/>
        <v>38861470</v>
      </c>
      <c r="S453">
        <f t="shared" si="50"/>
        <v>38861470</v>
      </c>
      <c r="T453">
        <f t="shared" si="51"/>
        <v>5310778.8</v>
      </c>
      <c r="U453">
        <f t="shared" si="52"/>
        <v>5310778.8</v>
      </c>
      <c r="V453">
        <f t="shared" si="53"/>
        <v>36494432.200000003</v>
      </c>
      <c r="W453">
        <f t="shared" si="54"/>
        <v>36494432.200000003</v>
      </c>
      <c r="Y453">
        <f t="shared" si="55"/>
        <v>6.9352278764126822</v>
      </c>
      <c r="Z453">
        <f t="shared" si="56"/>
        <v>6.9352278764126822</v>
      </c>
      <c r="AA453">
        <f t="shared" si="57"/>
        <v>6.9352278764126822</v>
      </c>
      <c r="AB453">
        <f t="shared" si="58"/>
        <v>12.33031893200241</v>
      </c>
      <c r="AC453">
        <f t="shared" si="59"/>
        <v>12.33031893200241</v>
      </c>
      <c r="AD453">
        <f t="shared" si="60"/>
        <v>18.376205014786681</v>
      </c>
      <c r="AE453">
        <f t="shared" si="61"/>
        <v>18.376205014786681</v>
      </c>
      <c r="AF453">
        <f t="shared" si="62"/>
        <v>2.8269699348253199</v>
      </c>
      <c r="AG453">
        <f t="shared" si="63"/>
        <v>2.8269699348253199</v>
      </c>
      <c r="AH453">
        <f t="shared" si="64"/>
        <v>11.107779621402729</v>
      </c>
      <c r="AI453">
        <f t="shared" si="65"/>
        <v>11.107779621402729</v>
      </c>
      <c r="AK453">
        <f t="shared" si="66"/>
        <v>6.9352278764126822</v>
      </c>
      <c r="AL453">
        <f t="shared" si="67"/>
        <v>6.9352278764126822</v>
      </c>
      <c r="AM453">
        <f t="shared" si="68"/>
        <v>6.9352278764126822</v>
      </c>
      <c r="AN453">
        <f t="shared" si="69"/>
        <v>12.33031893200241</v>
      </c>
      <c r="AO453">
        <f t="shared" si="70"/>
        <v>12.33031893200241</v>
      </c>
      <c r="AP453">
        <f t="shared" si="71"/>
        <v>18.376205014786681</v>
      </c>
      <c r="AQ453">
        <f t="shared" si="72"/>
        <v>18.376205014786681</v>
      </c>
      <c r="AR453">
        <f t="shared" si="73"/>
        <v>1.6432638768223109</v>
      </c>
      <c r="AS453">
        <f t="shared" si="74"/>
        <v>1.6432638768223109</v>
      </c>
      <c r="AT453">
        <f t="shared" si="75"/>
        <v>11.107779621402729</v>
      </c>
      <c r="AU453">
        <f t="shared" si="76"/>
        <v>11.107779621402729</v>
      </c>
    </row>
    <row r="454" spans="1:47" x14ac:dyDescent="0.3">
      <c r="A454">
        <v>5</v>
      </c>
      <c r="B454" t="s">
        <v>100</v>
      </c>
      <c r="C454" t="s">
        <v>93</v>
      </c>
      <c r="D454" t="s">
        <v>94</v>
      </c>
      <c r="F454" s="7">
        <v>0</v>
      </c>
      <c r="G454" s="7">
        <v>0</v>
      </c>
      <c r="H454" s="3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792718</v>
      </c>
      <c r="O454">
        <f t="shared" si="46"/>
        <v>798542.8</v>
      </c>
      <c r="P454">
        <f t="shared" si="47"/>
        <v>10173845</v>
      </c>
      <c r="Q454">
        <f t="shared" si="48"/>
        <v>597062.19999999995</v>
      </c>
      <c r="R454">
        <f t="shared" si="49"/>
        <v>5449982.7999999998</v>
      </c>
      <c r="S454">
        <f t="shared" si="50"/>
        <v>326579</v>
      </c>
      <c r="T454">
        <f t="shared" si="51"/>
        <v>5295709.5999999996</v>
      </c>
      <c r="U454">
        <f t="shared" si="52"/>
        <v>4065718.4</v>
      </c>
      <c r="V454">
        <f t="shared" si="53"/>
        <v>11762103.199999999</v>
      </c>
      <c r="W454">
        <f t="shared" si="54"/>
        <v>415292.2</v>
      </c>
      <c r="Y454">
        <f t="shared" si="55"/>
        <v>2.7125033588032239</v>
      </c>
      <c r="Z454">
        <f t="shared" si="56"/>
        <v>1.352666908805259</v>
      </c>
      <c r="AA454">
        <f t="shared" si="57"/>
        <v>1.236525413987692</v>
      </c>
      <c r="AB454">
        <f t="shared" si="58"/>
        <v>7.3698888460028682</v>
      </c>
      <c r="AC454">
        <f t="shared" si="59"/>
        <v>1.089093529392267</v>
      </c>
      <c r="AD454">
        <f t="shared" si="60"/>
        <v>4.1630303664016539</v>
      </c>
      <c r="AE454">
        <f t="shared" si="61"/>
        <v>0.80558994938619433</v>
      </c>
      <c r="AF454">
        <f t="shared" si="62"/>
        <v>2.901137110975105</v>
      </c>
      <c r="AG454">
        <f t="shared" si="63"/>
        <v>2.6809782932046802</v>
      </c>
      <c r="AH454">
        <f t="shared" si="64"/>
        <v>5.5117093734093938</v>
      </c>
      <c r="AI454">
        <f t="shared" si="65"/>
        <v>1.8343155828537421</v>
      </c>
      <c r="AK454">
        <f t="shared" si="66"/>
        <v>2.7125033588032239</v>
      </c>
      <c r="AL454">
        <f t="shared" si="67"/>
        <v>0.63898564662085844</v>
      </c>
      <c r="AM454">
        <f t="shared" si="68"/>
        <v>0.57092514839023356</v>
      </c>
      <c r="AN454">
        <f t="shared" si="69"/>
        <v>7.3698888460028682</v>
      </c>
      <c r="AO454">
        <f t="shared" si="70"/>
        <v>0.55922946280043107</v>
      </c>
      <c r="AP454">
        <f t="shared" si="71"/>
        <v>4.1630303664016539</v>
      </c>
      <c r="AQ454">
        <f t="shared" si="72"/>
        <v>0.54548208141932264</v>
      </c>
      <c r="AR454">
        <f t="shared" si="73"/>
        <v>1.6771323809865859</v>
      </c>
      <c r="AS454">
        <f t="shared" si="74"/>
        <v>0.5631084362161346</v>
      </c>
      <c r="AT454">
        <f t="shared" si="75"/>
        <v>5.5117093734093938</v>
      </c>
      <c r="AU454">
        <f t="shared" si="76"/>
        <v>0.90825555581832307</v>
      </c>
    </row>
    <row r="455" spans="1:47" x14ac:dyDescent="0.3">
      <c r="A455">
        <v>5</v>
      </c>
      <c r="B455" t="s">
        <v>101</v>
      </c>
      <c r="C455" t="s">
        <v>93</v>
      </c>
      <c r="D455" t="s">
        <v>94</v>
      </c>
      <c r="F455" s="7">
        <v>0</v>
      </c>
      <c r="G455" s="7">
        <v>1</v>
      </c>
      <c r="H455" s="3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>
        <f t="shared" si="44"/>
        <v>206046.2</v>
      </c>
      <c r="N455">
        <f t="shared" si="45"/>
        <v>206046.2</v>
      </c>
      <c r="O455">
        <f t="shared" si="46"/>
        <v>206046.2</v>
      </c>
      <c r="P455">
        <f t="shared" si="47"/>
        <v>201570.6</v>
      </c>
      <c r="Q455">
        <f t="shared" si="48"/>
        <v>201570.6</v>
      </c>
      <c r="R455">
        <f t="shared" si="49"/>
        <v>890</v>
      </c>
      <c r="S455">
        <f t="shared" si="50"/>
        <v>890</v>
      </c>
      <c r="T455">
        <f t="shared" si="51"/>
        <v>3815273.4</v>
      </c>
      <c r="U455">
        <f t="shared" si="52"/>
        <v>3815273.4</v>
      </c>
      <c r="V455">
        <f t="shared" si="53"/>
        <v>3896.8</v>
      </c>
      <c r="W455">
        <f t="shared" si="54"/>
        <v>3896.8</v>
      </c>
      <c r="Y455">
        <f t="shared" si="55"/>
        <v>0.60182535820640626</v>
      </c>
      <c r="Z455">
        <f t="shared" si="56"/>
        <v>0.60182535820640626</v>
      </c>
      <c r="AA455">
        <f t="shared" si="57"/>
        <v>0.60182535820640626</v>
      </c>
      <c r="AB455">
        <f t="shared" si="58"/>
        <v>0.40466177060443442</v>
      </c>
      <c r="AC455">
        <f t="shared" si="59"/>
        <v>0.40466177060443442</v>
      </c>
      <c r="AD455">
        <f t="shared" si="60"/>
        <v>0.11424688680563121</v>
      </c>
      <c r="AE455">
        <f t="shared" si="61"/>
        <v>0.11424688680563121</v>
      </c>
      <c r="AF455">
        <f t="shared" si="62"/>
        <v>2.2921102093765509</v>
      </c>
      <c r="AG455">
        <f t="shared" si="63"/>
        <v>2.2921102093765509</v>
      </c>
      <c r="AH455">
        <f t="shared" si="64"/>
        <v>2.5365964800584999E-2</v>
      </c>
      <c r="AI455">
        <f t="shared" si="65"/>
        <v>2.5365964800584999E-2</v>
      </c>
      <c r="AK455">
        <f t="shared" si="66"/>
        <v>0.60182535820640626</v>
      </c>
      <c r="AL455">
        <f t="shared" si="67"/>
        <v>0.60182535820640626</v>
      </c>
      <c r="AM455">
        <f t="shared" si="68"/>
        <v>0.60182535820640626</v>
      </c>
      <c r="AN455">
        <f t="shared" si="69"/>
        <v>0.40466177060443442</v>
      </c>
      <c r="AO455">
        <f t="shared" si="70"/>
        <v>0.40466177060443442</v>
      </c>
      <c r="AP455">
        <f t="shared" si="71"/>
        <v>0.11424688680563121</v>
      </c>
      <c r="AQ455">
        <f t="shared" si="72"/>
        <v>0.11424688680563121</v>
      </c>
      <c r="AR455">
        <f t="shared" si="73"/>
        <v>1.28906591857085</v>
      </c>
      <c r="AS455">
        <f t="shared" si="74"/>
        <v>1.28906591857085</v>
      </c>
      <c r="AT455">
        <f t="shared" si="75"/>
        <v>2.5365964800584999E-2</v>
      </c>
      <c r="AU455">
        <f t="shared" si="76"/>
        <v>2.5365964800584999E-2</v>
      </c>
    </row>
    <row r="456" spans="1:47" x14ac:dyDescent="0.3">
      <c r="A456">
        <v>5</v>
      </c>
      <c r="B456" t="s">
        <v>102</v>
      </c>
      <c r="C456" t="s">
        <v>103</v>
      </c>
      <c r="D456" t="s">
        <v>104</v>
      </c>
      <c r="F456" s="7">
        <v>0</v>
      </c>
      <c r="G456" s="7">
        <v>0</v>
      </c>
      <c r="H456" s="3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>
        <f t="shared" si="44"/>
        <v>310206.8</v>
      </c>
      <c r="N456">
        <f t="shared" si="45"/>
        <v>310206.8</v>
      </c>
      <c r="O456">
        <f t="shared" si="46"/>
        <v>310206.8</v>
      </c>
      <c r="P456">
        <f t="shared" si="47"/>
        <v>204639.2</v>
      </c>
      <c r="Q456">
        <f t="shared" si="48"/>
        <v>204639.2</v>
      </c>
      <c r="R456">
        <f t="shared" si="49"/>
        <v>179053.6</v>
      </c>
      <c r="S456">
        <f t="shared" si="50"/>
        <v>179053.6</v>
      </c>
      <c r="T456">
        <f t="shared" si="51"/>
        <v>3439355</v>
      </c>
      <c r="U456">
        <f t="shared" si="52"/>
        <v>3439355</v>
      </c>
      <c r="V456">
        <f t="shared" si="53"/>
        <v>16989.400000000001</v>
      </c>
      <c r="W456">
        <f t="shared" si="54"/>
        <v>16989.400000000001</v>
      </c>
      <c r="Y456">
        <f t="shared" si="55"/>
        <v>0.97129812901839618</v>
      </c>
      <c r="Z456">
        <f t="shared" si="56"/>
        <v>0.97129812901839618</v>
      </c>
      <c r="AA456">
        <f t="shared" si="57"/>
        <v>0.97129812901839618</v>
      </c>
      <c r="AB456">
        <f t="shared" si="58"/>
        <v>0.55058995079889428</v>
      </c>
      <c r="AC456">
        <f t="shared" si="59"/>
        <v>0.55058995079889428</v>
      </c>
      <c r="AD456">
        <f t="shared" si="60"/>
        <v>1.492756499012466</v>
      </c>
      <c r="AE456">
        <f t="shared" si="61"/>
        <v>1.492756499012466</v>
      </c>
      <c r="AF456">
        <f t="shared" si="62"/>
        <v>1.9145702155656179</v>
      </c>
      <c r="AG456">
        <f t="shared" si="63"/>
        <v>1.9145702155656179</v>
      </c>
      <c r="AH456">
        <f t="shared" si="64"/>
        <v>7.0754042803309825E-2</v>
      </c>
      <c r="AI456">
        <f t="shared" si="65"/>
        <v>7.0754042803309825E-2</v>
      </c>
      <c r="AK456">
        <f t="shared" si="66"/>
        <v>0.97129812901839618</v>
      </c>
      <c r="AL456">
        <f t="shared" si="67"/>
        <v>0.97129812901839618</v>
      </c>
      <c r="AM456">
        <f t="shared" si="68"/>
        <v>0.97129812901839618</v>
      </c>
      <c r="AN456">
        <f t="shared" si="69"/>
        <v>0.55058995079889428</v>
      </c>
      <c r="AO456">
        <f t="shared" si="70"/>
        <v>0.55058995079889428</v>
      </c>
      <c r="AP456">
        <f t="shared" si="71"/>
        <v>1.492756499012466</v>
      </c>
      <c r="AQ456">
        <f t="shared" si="72"/>
        <v>1.492756499012466</v>
      </c>
      <c r="AR456">
        <f t="shared" si="73"/>
        <v>1.0276082167634739</v>
      </c>
      <c r="AS456">
        <f t="shared" si="74"/>
        <v>1.0276082167634739</v>
      </c>
      <c r="AT456">
        <f t="shared" si="75"/>
        <v>7.0754042803309825E-2</v>
      </c>
      <c r="AU456">
        <f t="shared" si="76"/>
        <v>7.0754042803309825E-2</v>
      </c>
    </row>
    <row r="457" spans="1:47" x14ac:dyDescent="0.3">
      <c r="A457">
        <v>5</v>
      </c>
      <c r="B457" t="s">
        <v>105</v>
      </c>
      <c r="C457" t="s">
        <v>103</v>
      </c>
      <c r="D457" t="s">
        <v>104</v>
      </c>
      <c r="F457" s="7">
        <v>0</v>
      </c>
      <c r="G457" s="7">
        <v>1</v>
      </c>
      <c r="H457" s="3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1744339.8</v>
      </c>
      <c r="O457">
        <f t="shared" si="46"/>
        <v>1749481</v>
      </c>
      <c r="P457">
        <f t="shared" si="47"/>
        <v>5982706</v>
      </c>
      <c r="Q457">
        <f t="shared" si="48"/>
        <v>888630.2</v>
      </c>
      <c r="R457">
        <f t="shared" si="49"/>
        <v>22170304</v>
      </c>
      <c r="S457">
        <f t="shared" si="50"/>
        <v>1514536.4</v>
      </c>
      <c r="T457">
        <f t="shared" si="51"/>
        <v>6610615.2000000002</v>
      </c>
      <c r="U457">
        <f t="shared" si="52"/>
        <v>4375653.4000000004</v>
      </c>
      <c r="V457">
        <f t="shared" si="53"/>
        <v>19085195</v>
      </c>
      <c r="W457">
        <f t="shared" si="54"/>
        <v>1534241.8</v>
      </c>
      <c r="Y457">
        <f t="shared" si="55"/>
        <v>5.9712851037969816</v>
      </c>
      <c r="Z457">
        <f t="shared" si="56"/>
        <v>2.1378627985832281</v>
      </c>
      <c r="AA457">
        <f t="shared" si="57"/>
        <v>1.9066251026000831</v>
      </c>
      <c r="AB457">
        <f t="shared" si="58"/>
        <v>4.7992585237981986</v>
      </c>
      <c r="AC457">
        <f t="shared" si="59"/>
        <v>1.3743267218174879</v>
      </c>
      <c r="AD457">
        <f t="shared" si="60"/>
        <v>13.18773740559118</v>
      </c>
      <c r="AE457">
        <f t="shared" si="61"/>
        <v>1.829880622134078</v>
      </c>
      <c r="AF457">
        <f t="shared" si="62"/>
        <v>3.7904017699765968</v>
      </c>
      <c r="AG457">
        <f t="shared" si="63"/>
        <v>2.8474143798463052</v>
      </c>
      <c r="AH457">
        <f t="shared" si="64"/>
        <v>7.2977159723872322</v>
      </c>
      <c r="AI457">
        <f t="shared" si="65"/>
        <v>2.955209520133212</v>
      </c>
      <c r="AK457">
        <f t="shared" si="66"/>
        <v>5.9712851037969816</v>
      </c>
      <c r="AL457">
        <f t="shared" si="67"/>
        <v>0.86775680960854518</v>
      </c>
      <c r="AM457">
        <f t="shared" si="68"/>
        <v>0.78867815998382862</v>
      </c>
      <c r="AN457">
        <f t="shared" si="69"/>
        <v>4.7992585237981986</v>
      </c>
      <c r="AO457">
        <f t="shared" si="70"/>
        <v>0.67181894260575059</v>
      </c>
      <c r="AP457">
        <f t="shared" si="71"/>
        <v>13.18773740559118</v>
      </c>
      <c r="AQ457">
        <f t="shared" si="72"/>
        <v>0.97748329800087963</v>
      </c>
      <c r="AR457">
        <f t="shared" si="73"/>
        <v>2.0971595259732561</v>
      </c>
      <c r="AS457">
        <f t="shared" si="74"/>
        <v>0.59516835077665742</v>
      </c>
      <c r="AT457">
        <f t="shared" si="75"/>
        <v>7.2977159723872322</v>
      </c>
      <c r="AU457">
        <f t="shared" si="76"/>
        <v>1.520987359376158</v>
      </c>
    </row>
    <row r="458" spans="1:47" x14ac:dyDescent="0.3">
      <c r="A458">
        <v>5</v>
      </c>
      <c r="B458" t="s">
        <v>106</v>
      </c>
      <c r="C458" t="s">
        <v>103</v>
      </c>
      <c r="D458" t="s">
        <v>104</v>
      </c>
      <c r="F458" s="7">
        <v>0</v>
      </c>
      <c r="G458" s="7">
        <v>1</v>
      </c>
      <c r="H458" s="3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>
        <f t="shared" si="44"/>
        <v>3423988</v>
      </c>
      <c r="N458">
        <f t="shared" si="45"/>
        <v>3423988</v>
      </c>
      <c r="O458">
        <f t="shared" si="46"/>
        <v>3423988</v>
      </c>
      <c r="P458">
        <f t="shared" si="47"/>
        <v>6844367.7999999998</v>
      </c>
      <c r="Q458">
        <f t="shared" si="48"/>
        <v>6844367.7999999998</v>
      </c>
      <c r="R458">
        <f t="shared" si="49"/>
        <v>13263103.199999999</v>
      </c>
      <c r="S458">
        <f t="shared" si="50"/>
        <v>13263103.199999999</v>
      </c>
      <c r="T458">
        <f t="shared" si="51"/>
        <v>6486954.5999999996</v>
      </c>
      <c r="U458">
        <f t="shared" si="52"/>
        <v>6486954.5999999996</v>
      </c>
      <c r="V458">
        <f t="shared" si="53"/>
        <v>15211821.4</v>
      </c>
      <c r="W458">
        <f t="shared" si="54"/>
        <v>15211821.4</v>
      </c>
      <c r="Y458">
        <f t="shared" si="55"/>
        <v>4.0599897386040542</v>
      </c>
      <c r="Z458">
        <f t="shared" si="56"/>
        <v>4.0599897386040542</v>
      </c>
      <c r="AA458">
        <f t="shared" si="57"/>
        <v>4.0599897386040542</v>
      </c>
      <c r="AB458">
        <f t="shared" si="58"/>
        <v>4.0268297230009917</v>
      </c>
      <c r="AC458">
        <f t="shared" si="59"/>
        <v>4.0268297230009917</v>
      </c>
      <c r="AD458">
        <f t="shared" si="60"/>
        <v>8.8071241236058988</v>
      </c>
      <c r="AE458">
        <f t="shared" si="61"/>
        <v>8.8071241236058988</v>
      </c>
      <c r="AF458">
        <f t="shared" si="62"/>
        <v>3.660162860434502</v>
      </c>
      <c r="AG458">
        <f t="shared" si="63"/>
        <v>3.660162860434502</v>
      </c>
      <c r="AH458">
        <f t="shared" si="64"/>
        <v>6.1747161843930369</v>
      </c>
      <c r="AI458">
        <f t="shared" si="65"/>
        <v>6.1747161843930369</v>
      </c>
      <c r="AK458">
        <f t="shared" si="66"/>
        <v>4.0599897386040542</v>
      </c>
      <c r="AL458">
        <f t="shared" si="67"/>
        <v>4.0599897386040542</v>
      </c>
      <c r="AM458">
        <f t="shared" si="68"/>
        <v>4.0599897386040542</v>
      </c>
      <c r="AN458">
        <f t="shared" si="69"/>
        <v>4.0268297230009917</v>
      </c>
      <c r="AO458">
        <f t="shared" si="70"/>
        <v>4.0268297230009917</v>
      </c>
      <c r="AP458">
        <f t="shared" si="71"/>
        <v>8.8071241236058988</v>
      </c>
      <c r="AQ458">
        <f t="shared" si="72"/>
        <v>8.8071241236058988</v>
      </c>
      <c r="AR458">
        <f t="shared" si="73"/>
        <v>1.989499011216685</v>
      </c>
      <c r="AS458">
        <f t="shared" si="74"/>
        <v>1.989499011216685</v>
      </c>
      <c r="AT458">
        <f t="shared" si="75"/>
        <v>6.1747161843930369</v>
      </c>
      <c r="AU458">
        <f t="shared" si="76"/>
        <v>6.1747161843930369</v>
      </c>
    </row>
    <row r="459" spans="1:47" x14ac:dyDescent="0.3">
      <c r="A459">
        <v>5</v>
      </c>
      <c r="B459" t="s">
        <v>107</v>
      </c>
      <c r="C459" t="s">
        <v>103</v>
      </c>
      <c r="D459" t="s">
        <v>104</v>
      </c>
      <c r="F459" s="7">
        <v>0</v>
      </c>
      <c r="G459" s="7">
        <v>0</v>
      </c>
      <c r="H459" s="3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>
        <f t="shared" si="44"/>
        <v>2836113.2</v>
      </c>
      <c r="N459">
        <f t="shared" si="45"/>
        <v>2836113.2</v>
      </c>
      <c r="O459">
        <f t="shared" si="46"/>
        <v>2836113.2</v>
      </c>
      <c r="P459">
        <f t="shared" si="47"/>
        <v>2158619.2000000002</v>
      </c>
      <c r="Q459">
        <f t="shared" si="48"/>
        <v>2158619.2000000002</v>
      </c>
      <c r="R459">
        <f t="shared" si="49"/>
        <v>2321572.4</v>
      </c>
      <c r="S459">
        <f t="shared" si="50"/>
        <v>2321572.4</v>
      </c>
      <c r="T459">
        <f t="shared" si="51"/>
        <v>3481139.6</v>
      </c>
      <c r="U459">
        <f t="shared" si="52"/>
        <v>3481139.6</v>
      </c>
      <c r="V459">
        <f t="shared" si="53"/>
        <v>2111224.4</v>
      </c>
      <c r="W459">
        <f t="shared" si="54"/>
        <v>2111224.4</v>
      </c>
      <c r="Y459">
        <f t="shared" si="55"/>
        <v>2.4673442615894601</v>
      </c>
      <c r="Z459">
        <f t="shared" si="56"/>
        <v>2.4673442615894601</v>
      </c>
      <c r="AA459">
        <f t="shared" si="57"/>
        <v>2.4673442615894601</v>
      </c>
      <c r="AB459">
        <f t="shared" si="58"/>
        <v>2.4088434169971151</v>
      </c>
      <c r="AC459">
        <f t="shared" si="59"/>
        <v>2.4088434169971151</v>
      </c>
      <c r="AD459">
        <f t="shared" si="60"/>
        <v>2.9782574131968431</v>
      </c>
      <c r="AE459">
        <f t="shared" si="61"/>
        <v>2.9782574131968431</v>
      </c>
      <c r="AF459">
        <f t="shared" si="62"/>
        <v>1.369509532814845</v>
      </c>
      <c r="AG459">
        <f t="shared" si="63"/>
        <v>1.369509532814845</v>
      </c>
      <c r="AH459">
        <f t="shared" si="64"/>
        <v>3.663871310604736</v>
      </c>
      <c r="AI459">
        <f t="shared" si="65"/>
        <v>3.663871310604736</v>
      </c>
      <c r="AK459">
        <f t="shared" si="66"/>
        <v>2.4673442615894601</v>
      </c>
      <c r="AL459">
        <f t="shared" si="67"/>
        <v>2.4673442615894601</v>
      </c>
      <c r="AM459">
        <f t="shared" si="68"/>
        <v>2.4673442615894601</v>
      </c>
      <c r="AN459">
        <f t="shared" si="69"/>
        <v>2.4088434169971151</v>
      </c>
      <c r="AO459">
        <f t="shared" si="70"/>
        <v>2.4088434169971151</v>
      </c>
      <c r="AP459">
        <f t="shared" si="71"/>
        <v>2.9782574131968431</v>
      </c>
      <c r="AQ459">
        <f t="shared" si="72"/>
        <v>2.9782574131968431</v>
      </c>
      <c r="AR459">
        <f t="shared" si="73"/>
        <v>0.69234777741366993</v>
      </c>
      <c r="AS459">
        <f t="shared" si="74"/>
        <v>0.69234777741366993</v>
      </c>
      <c r="AT459">
        <f t="shared" si="75"/>
        <v>3.663871310604736</v>
      </c>
      <c r="AU459">
        <f t="shared" si="76"/>
        <v>3.663871310604736</v>
      </c>
    </row>
    <row r="460" spans="1:47" x14ac:dyDescent="0.3">
      <c r="A460">
        <v>5</v>
      </c>
      <c r="B460" t="s">
        <v>108</v>
      </c>
      <c r="C460" t="s">
        <v>103</v>
      </c>
      <c r="D460" t="s">
        <v>104</v>
      </c>
      <c r="F460" s="7">
        <v>0</v>
      </c>
      <c r="G460" s="7">
        <v>1</v>
      </c>
      <c r="H460" s="3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>
        <f t="shared" si="44"/>
        <v>1460671.8</v>
      </c>
      <c r="N460">
        <f t="shared" si="45"/>
        <v>1460671.8</v>
      </c>
      <c r="O460">
        <f t="shared" si="46"/>
        <v>1460671.8</v>
      </c>
      <c r="P460">
        <f t="shared" si="47"/>
        <v>13296880.6</v>
      </c>
      <c r="Q460">
        <f t="shared" si="48"/>
        <v>13296880.6</v>
      </c>
      <c r="R460">
        <f t="shared" si="49"/>
        <v>1673494.8</v>
      </c>
      <c r="S460">
        <f t="shared" si="50"/>
        <v>1673494.8</v>
      </c>
      <c r="T460">
        <f t="shared" si="51"/>
        <v>3440942.2</v>
      </c>
      <c r="U460">
        <f t="shared" si="52"/>
        <v>3440942.2</v>
      </c>
      <c r="V460">
        <f t="shared" si="53"/>
        <v>14522821.4</v>
      </c>
      <c r="W460">
        <f t="shared" si="54"/>
        <v>14522821.4</v>
      </c>
      <c r="Y460">
        <f t="shared" si="55"/>
        <v>1.533416957804002</v>
      </c>
      <c r="Z460">
        <f t="shared" si="56"/>
        <v>1.533416957804002</v>
      </c>
      <c r="AA460">
        <f t="shared" si="57"/>
        <v>1.533416957804002</v>
      </c>
      <c r="AB460">
        <f t="shared" si="58"/>
        <v>12.96201972580166</v>
      </c>
      <c r="AC460">
        <f t="shared" si="59"/>
        <v>12.96201972580166</v>
      </c>
      <c r="AD460">
        <f t="shared" si="60"/>
        <v>2.2104759256006221</v>
      </c>
      <c r="AE460">
        <f t="shared" si="61"/>
        <v>2.2104759256006221</v>
      </c>
      <c r="AF460">
        <f t="shared" si="62"/>
        <v>1.334503777371719</v>
      </c>
      <c r="AG460">
        <f t="shared" si="63"/>
        <v>1.334503777371719</v>
      </c>
      <c r="AH460">
        <f t="shared" si="64"/>
        <v>7.942505699198227</v>
      </c>
      <c r="AI460">
        <f t="shared" si="65"/>
        <v>7.942505699198227</v>
      </c>
      <c r="AK460">
        <f t="shared" si="66"/>
        <v>1.533416957804002</v>
      </c>
      <c r="AL460">
        <f t="shared" si="67"/>
        <v>1.533416957804002</v>
      </c>
      <c r="AM460">
        <f t="shared" si="68"/>
        <v>1.533416957804002</v>
      </c>
      <c r="AN460">
        <f t="shared" si="69"/>
        <v>12.96201972580166</v>
      </c>
      <c r="AO460">
        <f t="shared" si="70"/>
        <v>12.96201972580166</v>
      </c>
      <c r="AP460">
        <f t="shared" si="71"/>
        <v>2.2104759256006221</v>
      </c>
      <c r="AQ460">
        <f t="shared" si="72"/>
        <v>2.2104759256006221</v>
      </c>
      <c r="AR460">
        <f t="shared" si="73"/>
        <v>0.71668010817375039</v>
      </c>
      <c r="AS460">
        <f t="shared" si="74"/>
        <v>0.71668010817375039</v>
      </c>
      <c r="AT460">
        <f t="shared" si="75"/>
        <v>7.942505699198227</v>
      </c>
      <c r="AU460">
        <f t="shared" si="76"/>
        <v>7.942505699198227</v>
      </c>
    </row>
    <row r="461" spans="1:47" x14ac:dyDescent="0.3">
      <c r="A461">
        <v>5</v>
      </c>
      <c r="B461" t="s">
        <v>109</v>
      </c>
      <c r="C461" t="s">
        <v>103</v>
      </c>
      <c r="D461" t="s">
        <v>104</v>
      </c>
      <c r="F461" s="7">
        <v>0</v>
      </c>
      <c r="G461" s="7">
        <v>0</v>
      </c>
      <c r="H461" s="3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>
        <f t="shared" si="44"/>
        <v>5841890.5999999996</v>
      </c>
      <c r="N461">
        <f t="shared" si="45"/>
        <v>5841890.5999999996</v>
      </c>
      <c r="O461">
        <f t="shared" si="46"/>
        <v>5841890.5999999996</v>
      </c>
      <c r="P461">
        <f t="shared" si="47"/>
        <v>3257650</v>
      </c>
      <c r="Q461">
        <f t="shared" si="48"/>
        <v>3257650</v>
      </c>
      <c r="R461">
        <f t="shared" si="49"/>
        <v>14360336.800000001</v>
      </c>
      <c r="S461">
        <f t="shared" si="50"/>
        <v>14360336.800000001</v>
      </c>
      <c r="T461">
        <f t="shared" si="51"/>
        <v>6616594.4000000004</v>
      </c>
      <c r="U461">
        <f t="shared" si="52"/>
        <v>6616594.4000000004</v>
      </c>
      <c r="V461">
        <f t="shared" si="53"/>
        <v>21360085</v>
      </c>
      <c r="W461">
        <f t="shared" si="54"/>
        <v>21360085</v>
      </c>
      <c r="Y461">
        <f t="shared" si="55"/>
        <v>4.4082528381957671</v>
      </c>
      <c r="Z461">
        <f t="shared" si="56"/>
        <v>4.4082528381957671</v>
      </c>
      <c r="AA461">
        <f t="shared" si="57"/>
        <v>4.4082528381957671</v>
      </c>
      <c r="AB461">
        <f t="shared" si="58"/>
        <v>3.325845542000025</v>
      </c>
      <c r="AC461">
        <f t="shared" si="59"/>
        <v>3.325845542000025</v>
      </c>
      <c r="AD461">
        <f t="shared" si="60"/>
        <v>7.6996036657947116</v>
      </c>
      <c r="AE461">
        <f t="shared" si="61"/>
        <v>7.6996036657947116</v>
      </c>
      <c r="AF461">
        <f t="shared" si="62"/>
        <v>3.7321050664060751</v>
      </c>
      <c r="AG461">
        <f t="shared" si="63"/>
        <v>3.7321050664060751</v>
      </c>
      <c r="AH461">
        <f t="shared" si="64"/>
        <v>7.8034711951971989</v>
      </c>
      <c r="AI461">
        <f t="shared" si="65"/>
        <v>7.8034711951971989</v>
      </c>
      <c r="AK461">
        <f t="shared" si="66"/>
        <v>4.4082528381957671</v>
      </c>
      <c r="AL461">
        <f t="shared" si="67"/>
        <v>4.4082528381957671</v>
      </c>
      <c r="AM461">
        <f t="shared" si="68"/>
        <v>4.4082528381957671</v>
      </c>
      <c r="AN461">
        <f t="shared" si="69"/>
        <v>3.325845542000025</v>
      </c>
      <c r="AO461">
        <f t="shared" si="70"/>
        <v>3.325845542000025</v>
      </c>
      <c r="AP461">
        <f t="shared" si="71"/>
        <v>7.6996036657947116</v>
      </c>
      <c r="AQ461">
        <f t="shared" si="72"/>
        <v>7.6996036657947116</v>
      </c>
      <c r="AR461">
        <f t="shared" si="73"/>
        <v>2.0663252084166741</v>
      </c>
      <c r="AS461">
        <f t="shared" si="74"/>
        <v>2.0663252084166741</v>
      </c>
      <c r="AT461">
        <f t="shared" si="75"/>
        <v>7.8034711951971989</v>
      </c>
      <c r="AU461">
        <f t="shared" si="76"/>
        <v>7.8034711951971989</v>
      </c>
    </row>
    <row r="462" spans="1:47" x14ac:dyDescent="0.3">
      <c r="A462">
        <v>5</v>
      </c>
      <c r="B462" t="s">
        <v>110</v>
      </c>
      <c r="C462" t="s">
        <v>103</v>
      </c>
      <c r="D462" t="s">
        <v>104</v>
      </c>
      <c r="F462" s="7">
        <v>0</v>
      </c>
      <c r="G462" s="7">
        <v>0</v>
      </c>
      <c r="H462" s="3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1651267.2</v>
      </c>
      <c r="O462">
        <f t="shared" si="46"/>
        <v>1650781.8</v>
      </c>
      <c r="P462">
        <f t="shared" si="47"/>
        <v>10473944.4</v>
      </c>
      <c r="Q462">
        <f t="shared" si="48"/>
        <v>881201</v>
      </c>
      <c r="R462">
        <f t="shared" si="49"/>
        <v>13645416</v>
      </c>
      <c r="S462">
        <f t="shared" si="50"/>
        <v>1127187</v>
      </c>
      <c r="T462">
        <f t="shared" si="51"/>
        <v>6484050.7999999998</v>
      </c>
      <c r="U462">
        <f t="shared" si="52"/>
        <v>4346958.5999999996</v>
      </c>
      <c r="V462">
        <f t="shared" si="53"/>
        <v>27706218.399999999</v>
      </c>
      <c r="W462">
        <f t="shared" si="54"/>
        <v>983846.6</v>
      </c>
      <c r="Y462">
        <f t="shared" si="55"/>
        <v>3.899511646002066</v>
      </c>
      <c r="Z462">
        <f t="shared" si="56"/>
        <v>1.6782085536280651</v>
      </c>
      <c r="AA462">
        <f t="shared" si="57"/>
        <v>1.6621175957378</v>
      </c>
      <c r="AB462">
        <f t="shared" si="58"/>
        <v>7.5887748091976386</v>
      </c>
      <c r="AC462">
        <f t="shared" si="59"/>
        <v>1.4265826841932721</v>
      </c>
      <c r="AD462">
        <f t="shared" si="60"/>
        <v>9.9201272750040523</v>
      </c>
      <c r="AE462">
        <f t="shared" si="61"/>
        <v>1.5923525512334891</v>
      </c>
      <c r="AF462">
        <f t="shared" si="62"/>
        <v>3.6064764451584779</v>
      </c>
      <c r="AG462">
        <f t="shared" si="63"/>
        <v>2.7791196586098521</v>
      </c>
      <c r="AH462">
        <f t="shared" si="64"/>
        <v>9.6456571971997622</v>
      </c>
      <c r="AI462">
        <f t="shared" si="65"/>
        <v>2.6357583305565639</v>
      </c>
      <c r="AK462">
        <f t="shared" si="66"/>
        <v>3.899511646002066</v>
      </c>
      <c r="AL462">
        <f t="shared" si="67"/>
        <v>0.68927206660155205</v>
      </c>
      <c r="AM462">
        <f t="shared" si="68"/>
        <v>0.6810483334120363</v>
      </c>
      <c r="AN462">
        <f t="shared" si="69"/>
        <v>7.5887748091976386</v>
      </c>
      <c r="AO462">
        <f t="shared" si="70"/>
        <v>0.68150815940171017</v>
      </c>
      <c r="AP462">
        <f t="shared" si="71"/>
        <v>9.9201272750040523</v>
      </c>
      <c r="AQ462">
        <f t="shared" si="72"/>
        <v>0.76829415740212426</v>
      </c>
      <c r="AR462">
        <f t="shared" si="73"/>
        <v>1.9682907431619241</v>
      </c>
      <c r="AS462">
        <f t="shared" si="74"/>
        <v>0.58472637180238962</v>
      </c>
      <c r="AT462">
        <f t="shared" si="75"/>
        <v>9.6456571971997622</v>
      </c>
      <c r="AU462">
        <f t="shared" si="76"/>
        <v>1.3755808935733509</v>
      </c>
    </row>
    <row r="463" spans="1:47" x14ac:dyDescent="0.3">
      <c r="A463">
        <v>5</v>
      </c>
      <c r="B463" t="s">
        <v>111</v>
      </c>
      <c r="C463" t="s">
        <v>103</v>
      </c>
      <c r="D463" t="s">
        <v>104</v>
      </c>
      <c r="F463" s="7">
        <v>0</v>
      </c>
      <c r="G463" s="7">
        <v>1</v>
      </c>
      <c r="H463" s="3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>
        <f t="shared" si="44"/>
        <v>210607.4</v>
      </c>
      <c r="N463">
        <f t="shared" si="45"/>
        <v>210607.4</v>
      </c>
      <c r="O463">
        <f t="shared" si="46"/>
        <v>210607.4</v>
      </c>
      <c r="P463">
        <f t="shared" si="47"/>
        <v>201023.6</v>
      </c>
      <c r="Q463">
        <f t="shared" si="48"/>
        <v>201023.6</v>
      </c>
      <c r="R463">
        <f t="shared" si="49"/>
        <v>4669.2</v>
      </c>
      <c r="S463">
        <f t="shared" si="50"/>
        <v>4669.2</v>
      </c>
      <c r="T463">
        <f t="shared" si="51"/>
        <v>3477472</v>
      </c>
      <c r="U463">
        <f t="shared" si="52"/>
        <v>3477472</v>
      </c>
      <c r="V463">
        <f t="shared" si="53"/>
        <v>6097.4</v>
      </c>
      <c r="W463">
        <f t="shared" si="54"/>
        <v>6097.4</v>
      </c>
      <c r="Y463">
        <f t="shared" si="55"/>
        <v>0.37476335241226483</v>
      </c>
      <c r="Z463">
        <f t="shared" si="56"/>
        <v>0.37476335241226483</v>
      </c>
      <c r="AA463">
        <f t="shared" si="57"/>
        <v>0.37476335241226483</v>
      </c>
      <c r="AB463">
        <f t="shared" si="58"/>
        <v>0.40361771019815929</v>
      </c>
      <c r="AC463">
        <f t="shared" si="59"/>
        <v>0.40361771019815929</v>
      </c>
      <c r="AD463">
        <f t="shared" si="60"/>
        <v>0.1101486682076938</v>
      </c>
      <c r="AE463">
        <f t="shared" si="61"/>
        <v>0.1101486682076938</v>
      </c>
      <c r="AF463">
        <f t="shared" si="62"/>
        <v>1.3771273477701469</v>
      </c>
      <c r="AG463">
        <f t="shared" si="63"/>
        <v>1.3771273477701469</v>
      </c>
      <c r="AH463">
        <f t="shared" si="64"/>
        <v>3.4523569396696957E-2</v>
      </c>
      <c r="AI463">
        <f t="shared" si="65"/>
        <v>3.4523569396696957E-2</v>
      </c>
      <c r="AK463">
        <f t="shared" si="66"/>
        <v>0.37476335241226483</v>
      </c>
      <c r="AL463">
        <f t="shared" si="67"/>
        <v>0.37476335241226483</v>
      </c>
      <c r="AM463">
        <f t="shared" si="68"/>
        <v>0.37476335241226483</v>
      </c>
      <c r="AN463">
        <f t="shared" si="69"/>
        <v>0.40361771019815929</v>
      </c>
      <c r="AO463">
        <f t="shared" si="70"/>
        <v>0.40361771019815929</v>
      </c>
      <c r="AP463">
        <f t="shared" si="71"/>
        <v>0.1101486682076938</v>
      </c>
      <c r="AQ463">
        <f t="shared" si="72"/>
        <v>0.1101486682076938</v>
      </c>
      <c r="AR463">
        <f t="shared" si="73"/>
        <v>0.69293114218162377</v>
      </c>
      <c r="AS463">
        <f t="shared" si="74"/>
        <v>0.69293114218162377</v>
      </c>
      <c r="AT463">
        <f t="shared" si="75"/>
        <v>3.4523569396696957E-2</v>
      </c>
      <c r="AU463">
        <f t="shared" si="76"/>
        <v>3.4523569396696957E-2</v>
      </c>
    </row>
    <row r="464" spans="1:47" x14ac:dyDescent="0.3">
      <c r="A464">
        <v>5</v>
      </c>
      <c r="B464" t="s">
        <v>112</v>
      </c>
      <c r="C464" t="s">
        <v>113</v>
      </c>
      <c r="D464" t="s">
        <v>114</v>
      </c>
      <c r="F464" s="7">
        <v>0</v>
      </c>
      <c r="G464" s="7">
        <v>0</v>
      </c>
      <c r="H464" s="3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>
        <f t="shared" si="44"/>
        <v>319086.2</v>
      </c>
      <c r="N464">
        <f t="shared" si="45"/>
        <v>319086.2</v>
      </c>
      <c r="O464">
        <f t="shared" si="46"/>
        <v>319086.2</v>
      </c>
      <c r="P464">
        <f t="shared" si="47"/>
        <v>239957</v>
      </c>
      <c r="Q464">
        <f t="shared" si="48"/>
        <v>239957</v>
      </c>
      <c r="R464">
        <f t="shared" si="49"/>
        <v>125583.6</v>
      </c>
      <c r="S464">
        <f t="shared" si="50"/>
        <v>125583.6</v>
      </c>
      <c r="T464">
        <f t="shared" si="51"/>
        <v>4306558</v>
      </c>
      <c r="U464">
        <f t="shared" si="52"/>
        <v>4306558</v>
      </c>
      <c r="V464">
        <f t="shared" si="53"/>
        <v>228518.39999999999</v>
      </c>
      <c r="W464">
        <f t="shared" si="54"/>
        <v>228518.39999999999</v>
      </c>
      <c r="Y464">
        <f t="shared" si="55"/>
        <v>0.54758718700613829</v>
      </c>
      <c r="Z464">
        <f t="shared" si="56"/>
        <v>0.54758718700613829</v>
      </c>
      <c r="AA464">
        <f t="shared" si="57"/>
        <v>0.54758718700613829</v>
      </c>
      <c r="AB464">
        <f t="shared" si="58"/>
        <v>0.59756048420385921</v>
      </c>
      <c r="AC464">
        <f t="shared" si="59"/>
        <v>0.59756048420385921</v>
      </c>
      <c r="AD464">
        <f t="shared" si="60"/>
        <v>0.54850426400080321</v>
      </c>
      <c r="AE464">
        <f t="shared" si="61"/>
        <v>0.54850426400080321</v>
      </c>
      <c r="AF464">
        <f t="shared" si="62"/>
        <v>2.1176284813904198</v>
      </c>
      <c r="AG464">
        <f t="shared" si="63"/>
        <v>2.1176284813904198</v>
      </c>
      <c r="AH464">
        <f t="shared" si="64"/>
        <v>1.0953159445780329</v>
      </c>
      <c r="AI464">
        <f t="shared" si="65"/>
        <v>1.0953159445780329</v>
      </c>
      <c r="AK464">
        <f t="shared" si="66"/>
        <v>0.54758718700613829</v>
      </c>
      <c r="AL464">
        <f t="shared" si="67"/>
        <v>0.54758718700613829</v>
      </c>
      <c r="AM464">
        <f t="shared" si="68"/>
        <v>0.54758718700613829</v>
      </c>
      <c r="AN464">
        <f t="shared" si="69"/>
        <v>0.59756048420385921</v>
      </c>
      <c r="AO464">
        <f t="shared" si="70"/>
        <v>0.59756048420385921</v>
      </c>
      <c r="AP464">
        <f t="shared" si="71"/>
        <v>0.54850426400080321</v>
      </c>
      <c r="AQ464">
        <f t="shared" si="72"/>
        <v>0.54850426400080321</v>
      </c>
      <c r="AR464">
        <f t="shared" si="73"/>
        <v>1.242595476179849</v>
      </c>
      <c r="AS464">
        <f t="shared" si="74"/>
        <v>1.242595476179849</v>
      </c>
      <c r="AT464">
        <f t="shared" si="75"/>
        <v>1.0953159445780329</v>
      </c>
      <c r="AU464">
        <f t="shared" si="76"/>
        <v>1.0953159445780329</v>
      </c>
    </row>
    <row r="465" spans="1:47" x14ac:dyDescent="0.3">
      <c r="A465">
        <v>5</v>
      </c>
      <c r="B465" t="s">
        <v>115</v>
      </c>
      <c r="C465" t="s">
        <v>113</v>
      </c>
      <c r="D465" t="s">
        <v>114</v>
      </c>
      <c r="F465" s="7">
        <v>0</v>
      </c>
      <c r="G465" s="7">
        <v>1</v>
      </c>
      <c r="H465" s="3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778420.6</v>
      </c>
      <c r="O465">
        <f t="shared" si="46"/>
        <v>778126.2</v>
      </c>
      <c r="P465">
        <f t="shared" si="47"/>
        <v>4663570.4000000004</v>
      </c>
      <c r="Q465">
        <f t="shared" si="48"/>
        <v>374529.6</v>
      </c>
      <c r="R465">
        <f t="shared" si="49"/>
        <v>4324974.2</v>
      </c>
      <c r="S465">
        <f t="shared" si="50"/>
        <v>237742.2</v>
      </c>
      <c r="T465">
        <f t="shared" si="51"/>
        <v>3928340</v>
      </c>
      <c r="U465">
        <f t="shared" si="52"/>
        <v>3194266.8</v>
      </c>
      <c r="V465">
        <f t="shared" si="53"/>
        <v>4677741</v>
      </c>
      <c r="W465">
        <f t="shared" si="54"/>
        <v>533901.6</v>
      </c>
      <c r="Y465">
        <f t="shared" si="55"/>
        <v>2.3059753273846582</v>
      </c>
      <c r="Z465">
        <f t="shared" si="56"/>
        <v>1.0240924333455039</v>
      </c>
      <c r="AA465">
        <f t="shared" si="57"/>
        <v>1.0130081106093709</v>
      </c>
      <c r="AB465">
        <f t="shared" si="58"/>
        <v>3.9479292587959209</v>
      </c>
      <c r="AC465">
        <f t="shared" si="59"/>
        <v>0.89802263920719272</v>
      </c>
      <c r="AD465">
        <f t="shared" si="60"/>
        <v>3.5572187287965789</v>
      </c>
      <c r="AE465">
        <f t="shared" si="61"/>
        <v>0.66294584599090745</v>
      </c>
      <c r="AF465">
        <f t="shared" si="62"/>
        <v>1.7620014909771271</v>
      </c>
      <c r="AG465">
        <f t="shared" si="63"/>
        <v>1.8659153776941819</v>
      </c>
      <c r="AH465">
        <f t="shared" si="64"/>
        <v>4.2442178020020949</v>
      </c>
      <c r="AI465">
        <f t="shared" si="65"/>
        <v>1.8263552692020311</v>
      </c>
      <c r="AK465">
        <f t="shared" si="66"/>
        <v>2.3059753273846582</v>
      </c>
      <c r="AL465">
        <f t="shared" si="67"/>
        <v>0.43488055858761071</v>
      </c>
      <c r="AM465">
        <f t="shared" si="68"/>
        <v>0.42602074060123413</v>
      </c>
      <c r="AN465">
        <f t="shared" si="69"/>
        <v>3.9479292587959209</v>
      </c>
      <c r="AO465">
        <f t="shared" si="70"/>
        <v>0.40962101180048188</v>
      </c>
      <c r="AP465">
        <f t="shared" si="71"/>
        <v>3.5572187287965789</v>
      </c>
      <c r="AQ465">
        <f t="shared" si="72"/>
        <v>0.3680073579773307</v>
      </c>
      <c r="AR465">
        <f t="shared" si="73"/>
        <v>0.96847633818397294</v>
      </c>
      <c r="AS465">
        <f t="shared" si="74"/>
        <v>0.39781564655713741</v>
      </c>
      <c r="AT465">
        <f t="shared" si="75"/>
        <v>4.2442178020020949</v>
      </c>
      <c r="AU465">
        <f t="shared" si="76"/>
        <v>0.79173724742140617</v>
      </c>
    </row>
    <row r="466" spans="1:47" x14ac:dyDescent="0.3">
      <c r="A466">
        <v>5</v>
      </c>
      <c r="B466" t="s">
        <v>116</v>
      </c>
      <c r="C466" t="s">
        <v>113</v>
      </c>
      <c r="D466" t="s">
        <v>114</v>
      </c>
      <c r="F466" s="7">
        <v>0</v>
      </c>
      <c r="G466" s="7">
        <v>1</v>
      </c>
      <c r="H466" s="3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>
        <f t="shared" si="44"/>
        <v>781166.8</v>
      </c>
      <c r="N466">
        <f t="shared" si="45"/>
        <v>781166.8</v>
      </c>
      <c r="O466">
        <f t="shared" si="46"/>
        <v>781166.8</v>
      </c>
      <c r="P466">
        <f t="shared" si="47"/>
        <v>1547781.6</v>
      </c>
      <c r="Q466">
        <f t="shared" si="48"/>
        <v>1547781.6</v>
      </c>
      <c r="R466">
        <f t="shared" si="49"/>
        <v>1990193</v>
      </c>
      <c r="S466">
        <f t="shared" si="50"/>
        <v>1990193</v>
      </c>
      <c r="T466">
        <f t="shared" si="51"/>
        <v>3853685</v>
      </c>
      <c r="U466">
        <f t="shared" si="52"/>
        <v>3853685</v>
      </c>
      <c r="V466">
        <f t="shared" si="53"/>
        <v>3464936</v>
      </c>
      <c r="W466">
        <f t="shared" si="54"/>
        <v>3464936</v>
      </c>
      <c r="Y466">
        <f t="shared" si="55"/>
        <v>0.77920337180839849</v>
      </c>
      <c r="Z466">
        <f t="shared" si="56"/>
        <v>0.77920337180839849</v>
      </c>
      <c r="AA466">
        <f t="shared" si="57"/>
        <v>0.77920337180839849</v>
      </c>
      <c r="AB466">
        <f t="shared" si="58"/>
        <v>0.91077540660044176</v>
      </c>
      <c r="AC466">
        <f t="shared" si="59"/>
        <v>0.91077540660044176</v>
      </c>
      <c r="AD466">
        <f t="shared" si="60"/>
        <v>1.6339201156049969</v>
      </c>
      <c r="AE466">
        <f t="shared" si="61"/>
        <v>1.6339201156049969</v>
      </c>
      <c r="AF466">
        <f t="shared" si="62"/>
        <v>1.711790356796701</v>
      </c>
      <c r="AG466">
        <f t="shared" si="63"/>
        <v>1.711790356796701</v>
      </c>
      <c r="AH466">
        <f t="shared" si="64"/>
        <v>3.818644510407466</v>
      </c>
      <c r="AI466">
        <f t="shared" si="65"/>
        <v>3.818644510407466</v>
      </c>
      <c r="AK466">
        <f t="shared" si="66"/>
        <v>0.77920337180839849</v>
      </c>
      <c r="AL466">
        <f t="shared" si="67"/>
        <v>0.77920337180839849</v>
      </c>
      <c r="AM466">
        <f t="shared" si="68"/>
        <v>0.77920337180839849</v>
      </c>
      <c r="AN466">
        <f t="shared" si="69"/>
        <v>0.91077540660044176</v>
      </c>
      <c r="AO466">
        <f t="shared" si="70"/>
        <v>0.91077540660044176</v>
      </c>
      <c r="AP466">
        <f t="shared" si="71"/>
        <v>1.6339201156049969</v>
      </c>
      <c r="AQ466">
        <f t="shared" si="72"/>
        <v>1.6339201156049969</v>
      </c>
      <c r="AR466">
        <f t="shared" si="73"/>
        <v>0.96050870139151812</v>
      </c>
      <c r="AS466">
        <f t="shared" si="74"/>
        <v>0.96050870139151812</v>
      </c>
      <c r="AT466">
        <f t="shared" si="75"/>
        <v>3.818644510407466</v>
      </c>
      <c r="AU466">
        <f t="shared" si="76"/>
        <v>3.818644510407466</v>
      </c>
    </row>
    <row r="467" spans="1:47" x14ac:dyDescent="0.3">
      <c r="A467">
        <v>5</v>
      </c>
      <c r="B467" t="s">
        <v>117</v>
      </c>
      <c r="C467" t="s">
        <v>113</v>
      </c>
      <c r="D467" t="s">
        <v>114</v>
      </c>
      <c r="F467" s="7">
        <v>0</v>
      </c>
      <c r="G467" s="7">
        <v>0</v>
      </c>
      <c r="H467" s="3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>
        <f t="shared" si="44"/>
        <v>4408749</v>
      </c>
      <c r="N467">
        <f t="shared" si="45"/>
        <v>1588037.4</v>
      </c>
      <c r="O467">
        <f t="shared" si="46"/>
        <v>1594317.2</v>
      </c>
      <c r="P467">
        <f t="shared" si="47"/>
        <v>2025758.4</v>
      </c>
      <c r="Q467">
        <f t="shared" si="48"/>
        <v>524304.80000000005</v>
      </c>
      <c r="R467">
        <f t="shared" si="49"/>
        <v>9883125.4000000004</v>
      </c>
      <c r="S467">
        <f t="shared" si="50"/>
        <v>1188137.8</v>
      </c>
      <c r="T467">
        <f t="shared" si="51"/>
        <v>4039682.4</v>
      </c>
      <c r="U467">
        <f t="shared" si="52"/>
        <v>3536701.8</v>
      </c>
      <c r="V467">
        <f t="shared" si="53"/>
        <v>11459876.6</v>
      </c>
      <c r="W467">
        <f t="shared" si="54"/>
        <v>1589606.3999999999</v>
      </c>
      <c r="Y467">
        <f t="shared" si="55"/>
        <v>3.7662576538044958</v>
      </c>
      <c r="Z467">
        <f t="shared" si="56"/>
        <v>1.601066559390165</v>
      </c>
      <c r="AA467">
        <f t="shared" si="57"/>
        <v>1.587507805798668</v>
      </c>
      <c r="AB467">
        <f t="shared" si="58"/>
        <v>2.4398844659997851</v>
      </c>
      <c r="AC467">
        <f t="shared" si="59"/>
        <v>1.0489683648047501</v>
      </c>
      <c r="AD467">
        <f t="shared" si="60"/>
        <v>8.550539125583601</v>
      </c>
      <c r="AE467">
        <f t="shared" si="61"/>
        <v>1.6154521336313341</v>
      </c>
      <c r="AF467">
        <f t="shared" si="62"/>
        <v>1.8303220385801979</v>
      </c>
      <c r="AG467">
        <f t="shared" si="63"/>
        <v>2.122045124985743</v>
      </c>
      <c r="AH467">
        <f t="shared" si="64"/>
        <v>6.7592846623971123</v>
      </c>
      <c r="AI467">
        <f t="shared" si="65"/>
        <v>2.639585906441789</v>
      </c>
      <c r="AK467">
        <f t="shared" si="66"/>
        <v>3.7662576538044958</v>
      </c>
      <c r="AL467">
        <f t="shared" si="67"/>
        <v>0.60062264781445263</v>
      </c>
      <c r="AM467">
        <f t="shared" si="68"/>
        <v>0.58590521899750458</v>
      </c>
      <c r="AN467">
        <f t="shared" si="69"/>
        <v>2.4398844659997851</v>
      </c>
      <c r="AO467">
        <f t="shared" si="70"/>
        <v>0.47430833540274758</v>
      </c>
      <c r="AP467">
        <f t="shared" si="71"/>
        <v>8.550539125583601</v>
      </c>
      <c r="AQ467">
        <f t="shared" si="72"/>
        <v>0.67703805421479046</v>
      </c>
      <c r="AR467">
        <f t="shared" si="73"/>
        <v>1.0608029655646529</v>
      </c>
      <c r="AS467">
        <f t="shared" si="74"/>
        <v>0.41441233179066328</v>
      </c>
      <c r="AT467">
        <f t="shared" si="75"/>
        <v>6.7592846623971123</v>
      </c>
      <c r="AU467">
        <f t="shared" si="76"/>
        <v>1.1771107485867101</v>
      </c>
    </row>
    <row r="468" spans="1:47" x14ac:dyDescent="0.3">
      <c r="A468">
        <v>5</v>
      </c>
      <c r="B468" t="s">
        <v>118</v>
      </c>
      <c r="C468" t="s">
        <v>113</v>
      </c>
      <c r="D468" t="s">
        <v>114</v>
      </c>
      <c r="F468" s="7">
        <v>0</v>
      </c>
      <c r="G468" s="7">
        <v>1</v>
      </c>
      <c r="H468" s="3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>
        <f t="shared" si="44"/>
        <v>5315485</v>
      </c>
      <c r="N468">
        <f t="shared" si="45"/>
        <v>2233540</v>
      </c>
      <c r="O468">
        <f t="shared" si="46"/>
        <v>2236833.7999999998</v>
      </c>
      <c r="P468">
        <f t="shared" si="47"/>
        <v>15647339</v>
      </c>
      <c r="Q468">
        <f t="shared" si="48"/>
        <v>1333995.3999999999</v>
      </c>
      <c r="R468">
        <f t="shared" si="49"/>
        <v>12464840.6</v>
      </c>
      <c r="S468">
        <f t="shared" si="50"/>
        <v>1721124</v>
      </c>
      <c r="T468">
        <f t="shared" si="51"/>
        <v>4336350.8</v>
      </c>
      <c r="U468">
        <f t="shared" si="52"/>
        <v>3803577.4</v>
      </c>
      <c r="V468">
        <f t="shared" si="53"/>
        <v>15843471.800000001</v>
      </c>
      <c r="W468">
        <f t="shared" si="54"/>
        <v>3203163.8</v>
      </c>
      <c r="Y468">
        <f t="shared" si="55"/>
        <v>4.8897437687963254</v>
      </c>
      <c r="Z468">
        <f t="shared" si="56"/>
        <v>2.066637902415823</v>
      </c>
      <c r="AA468">
        <f t="shared" si="57"/>
        <v>2.0473173238104212</v>
      </c>
      <c r="AB468">
        <f t="shared" si="58"/>
        <v>15.66485434299975</v>
      </c>
      <c r="AC468">
        <f t="shared" si="59"/>
        <v>1.694019587806542</v>
      </c>
      <c r="AD468">
        <f t="shared" si="60"/>
        <v>10.31572710959008</v>
      </c>
      <c r="AE468">
        <f t="shared" si="61"/>
        <v>1.88288024624344</v>
      </c>
      <c r="AF468">
        <f t="shared" si="62"/>
        <v>2.1198640975635499</v>
      </c>
      <c r="AG468">
        <f t="shared" si="63"/>
        <v>2.3782383580226449</v>
      </c>
      <c r="AH468">
        <f t="shared" si="64"/>
        <v>8.7430702635785558</v>
      </c>
      <c r="AI468">
        <f t="shared" si="65"/>
        <v>3.51608766738791</v>
      </c>
      <c r="AK468">
        <f t="shared" si="66"/>
        <v>4.8897437687963254</v>
      </c>
      <c r="AL468">
        <f t="shared" si="67"/>
        <v>0.76209803803358223</v>
      </c>
      <c r="AM468">
        <f t="shared" si="68"/>
        <v>0.74936618759529661</v>
      </c>
      <c r="AN468">
        <f t="shared" si="69"/>
        <v>15.66485434299975</v>
      </c>
      <c r="AO468">
        <f t="shared" si="70"/>
        <v>0.68626982719870289</v>
      </c>
      <c r="AP468">
        <f t="shared" si="71"/>
        <v>10.31572710959008</v>
      </c>
      <c r="AQ468">
        <f t="shared" si="72"/>
        <v>0.7293819398037158</v>
      </c>
      <c r="AR468">
        <f t="shared" si="73"/>
        <v>1.2418619621661491</v>
      </c>
      <c r="AS468">
        <f t="shared" si="74"/>
        <v>0.44805068359710282</v>
      </c>
      <c r="AT468">
        <f t="shared" si="75"/>
        <v>8.7430702635785558</v>
      </c>
      <c r="AU468">
        <f t="shared" si="76"/>
        <v>1.557387943589128</v>
      </c>
    </row>
    <row r="469" spans="1:47" x14ac:dyDescent="0.3">
      <c r="A469">
        <v>5</v>
      </c>
      <c r="B469" t="s">
        <v>119</v>
      </c>
      <c r="C469" t="s">
        <v>113</v>
      </c>
      <c r="D469" t="s">
        <v>114</v>
      </c>
      <c r="F469" s="7">
        <v>0</v>
      </c>
      <c r="G469" s="7">
        <v>0</v>
      </c>
      <c r="H469" s="3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>
        <f t="shared" si="44"/>
        <v>1032997.2</v>
      </c>
      <c r="N469">
        <f t="shared" si="45"/>
        <v>1032997.2</v>
      </c>
      <c r="O469">
        <f t="shared" si="46"/>
        <v>1032997.2</v>
      </c>
      <c r="P469">
        <f t="shared" si="47"/>
        <v>569045.4</v>
      </c>
      <c r="Q469">
        <f t="shared" si="48"/>
        <v>569045.4</v>
      </c>
      <c r="R469">
        <f t="shared" si="49"/>
        <v>3558555.6</v>
      </c>
      <c r="S469">
        <f t="shared" si="50"/>
        <v>3558555.6</v>
      </c>
      <c r="T469">
        <f t="shared" si="51"/>
        <v>3929436.4</v>
      </c>
      <c r="U469">
        <f t="shared" si="52"/>
        <v>3929436.4</v>
      </c>
      <c r="V469">
        <f t="shared" si="53"/>
        <v>3126287.2</v>
      </c>
      <c r="W469">
        <f t="shared" si="54"/>
        <v>3126287.2</v>
      </c>
      <c r="Y469">
        <f t="shared" si="55"/>
        <v>1.1009908011998051</v>
      </c>
      <c r="Z469">
        <f t="shared" si="56"/>
        <v>1.1009908011998051</v>
      </c>
      <c r="AA469">
        <f t="shared" si="57"/>
        <v>1.1009908011998051</v>
      </c>
      <c r="AB469">
        <f t="shared" si="58"/>
        <v>1.0189425385993669</v>
      </c>
      <c r="AC469">
        <f t="shared" si="59"/>
        <v>1.0189425385993669</v>
      </c>
      <c r="AD469">
        <f t="shared" si="60"/>
        <v>2.382736363599542</v>
      </c>
      <c r="AE469">
        <f t="shared" si="61"/>
        <v>2.382736363599542</v>
      </c>
      <c r="AF469">
        <f t="shared" si="62"/>
        <v>1.7720265401527291</v>
      </c>
      <c r="AG469">
        <f t="shared" si="63"/>
        <v>1.7720265401527291</v>
      </c>
      <c r="AH469">
        <f t="shared" si="64"/>
        <v>3.8307866927934811</v>
      </c>
      <c r="AI469">
        <f t="shared" si="65"/>
        <v>3.8307866927934811</v>
      </c>
      <c r="AK469">
        <f t="shared" si="66"/>
        <v>1.1009908011998051</v>
      </c>
      <c r="AL469">
        <f t="shared" si="67"/>
        <v>1.1009908011998051</v>
      </c>
      <c r="AM469">
        <f t="shared" si="68"/>
        <v>1.1009908011998051</v>
      </c>
      <c r="AN469">
        <f t="shared" si="69"/>
        <v>1.0189425385993669</v>
      </c>
      <c r="AO469">
        <f t="shared" si="70"/>
        <v>1.0189425385993669</v>
      </c>
      <c r="AP469">
        <f t="shared" si="71"/>
        <v>2.382736363599542</v>
      </c>
      <c r="AQ469">
        <f t="shared" si="72"/>
        <v>2.382736363599542</v>
      </c>
      <c r="AR469">
        <f t="shared" si="73"/>
        <v>0.97361723736394201</v>
      </c>
      <c r="AS469">
        <f t="shared" si="74"/>
        <v>0.97361723736394201</v>
      </c>
      <c r="AT469">
        <f t="shared" si="75"/>
        <v>3.8307866927934811</v>
      </c>
      <c r="AU469">
        <f t="shared" si="76"/>
        <v>3.8307866927934811</v>
      </c>
    </row>
    <row r="470" spans="1:47" x14ac:dyDescent="0.3">
      <c r="A470">
        <v>5</v>
      </c>
      <c r="B470" t="s">
        <v>120</v>
      </c>
      <c r="C470" t="s">
        <v>113</v>
      </c>
      <c r="D470" t="s">
        <v>114</v>
      </c>
      <c r="F470" s="7">
        <v>0</v>
      </c>
      <c r="G470" s="7">
        <v>0</v>
      </c>
      <c r="H470" s="3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567025</v>
      </c>
      <c r="O470">
        <f t="shared" si="46"/>
        <v>567190.6</v>
      </c>
      <c r="P470">
        <f t="shared" si="47"/>
        <v>2397875.6</v>
      </c>
      <c r="Q470">
        <f t="shared" si="48"/>
        <v>346414.8</v>
      </c>
      <c r="R470">
        <f t="shared" si="49"/>
        <v>5850146.2000000002</v>
      </c>
      <c r="S470">
        <f t="shared" si="50"/>
        <v>253571.4</v>
      </c>
      <c r="T470">
        <f t="shared" si="51"/>
        <v>3855495.2</v>
      </c>
      <c r="U470">
        <f t="shared" si="52"/>
        <v>3115020.2</v>
      </c>
      <c r="V470">
        <f t="shared" si="53"/>
        <v>3518969</v>
      </c>
      <c r="W470">
        <f t="shared" si="54"/>
        <v>417167.6</v>
      </c>
      <c r="Y470">
        <f t="shared" si="55"/>
        <v>1.87867099060677</v>
      </c>
      <c r="Z470">
        <f t="shared" si="56"/>
        <v>0.84651493778219444</v>
      </c>
      <c r="AA470">
        <f t="shared" si="57"/>
        <v>0.83413403304293754</v>
      </c>
      <c r="AB470">
        <f t="shared" si="58"/>
        <v>2.170405660200049</v>
      </c>
      <c r="AC470">
        <f t="shared" si="59"/>
        <v>0.76726831900014081</v>
      </c>
      <c r="AD470">
        <f t="shared" si="60"/>
        <v>4.8201144638005644</v>
      </c>
      <c r="AE470">
        <f t="shared" si="61"/>
        <v>0.76601679099258035</v>
      </c>
      <c r="AF470">
        <f t="shared" si="62"/>
        <v>1.7463345461757851</v>
      </c>
      <c r="AG470">
        <f t="shared" si="63"/>
        <v>1.843483061273582</v>
      </c>
      <c r="AH470">
        <f t="shared" si="64"/>
        <v>3.791603276005481</v>
      </c>
      <c r="AI470">
        <f t="shared" si="65"/>
        <v>1.185207435477059</v>
      </c>
      <c r="AK470">
        <f t="shared" si="66"/>
        <v>1.87867099060677</v>
      </c>
      <c r="AL470">
        <f t="shared" si="67"/>
        <v>0.40874894999433309</v>
      </c>
      <c r="AM470">
        <f t="shared" si="68"/>
        <v>0.40151679742848501</v>
      </c>
      <c r="AN470">
        <f t="shared" si="69"/>
        <v>2.170405660200049</v>
      </c>
      <c r="AO470">
        <f t="shared" si="70"/>
        <v>0.40263067380583378</v>
      </c>
      <c r="AP470">
        <f t="shared" si="71"/>
        <v>4.8201144638005644</v>
      </c>
      <c r="AQ470">
        <f t="shared" si="72"/>
        <v>0.40898984719533471</v>
      </c>
      <c r="AR470">
        <f t="shared" si="73"/>
        <v>0.98482506757136434</v>
      </c>
      <c r="AS470">
        <f t="shared" si="74"/>
        <v>0.39915955219184979</v>
      </c>
      <c r="AT470">
        <f t="shared" si="75"/>
        <v>3.791603276005481</v>
      </c>
      <c r="AU470">
        <f t="shared" si="76"/>
        <v>0.68678469281876464</v>
      </c>
    </row>
    <row r="471" spans="1:47" x14ac:dyDescent="0.3">
      <c r="A471">
        <v>5</v>
      </c>
      <c r="B471" t="s">
        <v>121</v>
      </c>
      <c r="C471" t="s">
        <v>113</v>
      </c>
      <c r="D471" t="s">
        <v>114</v>
      </c>
      <c r="F471" s="7">
        <v>0</v>
      </c>
      <c r="G471" s="7">
        <v>1</v>
      </c>
      <c r="H471" s="3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>
        <f t="shared" si="44"/>
        <v>208470.2</v>
      </c>
      <c r="N471">
        <f t="shared" si="45"/>
        <v>208470.2</v>
      </c>
      <c r="O471">
        <f t="shared" si="46"/>
        <v>208470.2</v>
      </c>
      <c r="P471">
        <f t="shared" si="47"/>
        <v>202026.4</v>
      </c>
      <c r="Q471">
        <f t="shared" si="48"/>
        <v>202026.4</v>
      </c>
      <c r="R471">
        <f t="shared" si="49"/>
        <v>1063.5999999999999</v>
      </c>
      <c r="S471">
        <f t="shared" si="50"/>
        <v>1063.5999999999999</v>
      </c>
      <c r="T471">
        <f t="shared" si="51"/>
        <v>4030484.4</v>
      </c>
      <c r="U471">
        <f t="shared" si="52"/>
        <v>4030484.4</v>
      </c>
      <c r="V471">
        <f t="shared" si="53"/>
        <v>4608.6000000000004</v>
      </c>
      <c r="W471">
        <f t="shared" si="54"/>
        <v>4608.6000000000004</v>
      </c>
      <c r="Y471">
        <f t="shared" si="55"/>
        <v>0.35735868159681561</v>
      </c>
      <c r="Z471">
        <f t="shared" si="56"/>
        <v>0.35735868159681561</v>
      </c>
      <c r="AA471">
        <f t="shared" si="57"/>
        <v>0.35735868159681561</v>
      </c>
      <c r="AB471">
        <f t="shared" si="58"/>
        <v>0.38753829339984802</v>
      </c>
      <c r="AC471">
        <f t="shared" si="59"/>
        <v>0.38753829339984802</v>
      </c>
      <c r="AD471">
        <f t="shared" si="60"/>
        <v>9.3374433822464159E-2</v>
      </c>
      <c r="AE471">
        <f t="shared" si="61"/>
        <v>9.3374433822464159E-2</v>
      </c>
      <c r="AF471">
        <f t="shared" si="62"/>
        <v>1.835939384985249</v>
      </c>
      <c r="AG471">
        <f t="shared" si="63"/>
        <v>1.835939384985249</v>
      </c>
      <c r="AH471">
        <f t="shared" si="64"/>
        <v>2.554555179085578E-2</v>
      </c>
      <c r="AI471">
        <f t="shared" si="65"/>
        <v>2.554555179085578E-2</v>
      </c>
      <c r="AK471">
        <f t="shared" si="66"/>
        <v>0.35735868159681561</v>
      </c>
      <c r="AL471">
        <f t="shared" si="67"/>
        <v>0.35735868159681561</v>
      </c>
      <c r="AM471">
        <f t="shared" si="68"/>
        <v>0.35735868159681561</v>
      </c>
      <c r="AN471">
        <f t="shared" si="69"/>
        <v>0.38753829339984802</v>
      </c>
      <c r="AO471">
        <f t="shared" si="70"/>
        <v>0.38753829339984802</v>
      </c>
      <c r="AP471">
        <f t="shared" si="71"/>
        <v>9.3374433822464159E-2</v>
      </c>
      <c r="AQ471">
        <f t="shared" si="72"/>
        <v>9.3374433822464159E-2</v>
      </c>
      <c r="AR471">
        <f t="shared" si="73"/>
        <v>1.074295002582949</v>
      </c>
      <c r="AS471">
        <f t="shared" si="74"/>
        <v>1.074295002582949</v>
      </c>
      <c r="AT471">
        <f t="shared" si="75"/>
        <v>2.554555179085578E-2</v>
      </c>
      <c r="AU471">
        <f t="shared" si="76"/>
        <v>2.554555179085578E-2</v>
      </c>
    </row>
    <row r="472" spans="1:47" x14ac:dyDescent="0.3">
      <c r="A472">
        <v>6</v>
      </c>
      <c r="B472" t="s">
        <v>122</v>
      </c>
      <c r="C472" t="s">
        <v>123</v>
      </c>
      <c r="D472" t="s">
        <v>124</v>
      </c>
      <c r="F472" s="7">
        <v>0</v>
      </c>
      <c r="G472" s="7">
        <v>0</v>
      </c>
      <c r="H472" s="3">
        <v>0</v>
      </c>
      <c r="I472">
        <f t="shared" si="77"/>
        <v>0</v>
      </c>
      <c r="J472">
        <f t="shared" si="77"/>
        <v>1</v>
      </c>
      <c r="K472">
        <v>3</v>
      </c>
      <c r="L472">
        <v>0</v>
      </c>
      <c r="M472">
        <f t="shared" si="44"/>
        <v>623122.6</v>
      </c>
      <c r="N472">
        <f t="shared" si="45"/>
        <v>660646.6</v>
      </c>
      <c r="O472">
        <f t="shared" si="46"/>
        <v>658491.19999999995</v>
      </c>
      <c r="P472">
        <f t="shared" si="47"/>
        <v>444173</v>
      </c>
      <c r="Q472">
        <f t="shared" si="48"/>
        <v>300291.40000000002</v>
      </c>
      <c r="R472">
        <f t="shared" si="49"/>
        <v>477290.2</v>
      </c>
      <c r="S472">
        <f t="shared" si="50"/>
        <v>202361</v>
      </c>
      <c r="T472">
        <f t="shared" si="51"/>
        <v>3001506.4</v>
      </c>
      <c r="U472">
        <f t="shared" si="52"/>
        <v>2492038.7999999998</v>
      </c>
      <c r="V472">
        <f t="shared" si="53"/>
        <v>1187507</v>
      </c>
      <c r="W472">
        <f t="shared" si="54"/>
        <v>537538.4</v>
      </c>
      <c r="Y472">
        <f t="shared" si="55"/>
        <v>0.86270050180610269</v>
      </c>
      <c r="Z472">
        <f t="shared" si="56"/>
        <v>0.89674655018607152</v>
      </c>
      <c r="AA472">
        <f t="shared" si="57"/>
        <v>0.88872815726790577</v>
      </c>
      <c r="AB472">
        <f t="shared" si="58"/>
        <v>0.89567438020312695</v>
      </c>
      <c r="AC472">
        <f t="shared" si="59"/>
        <v>0.74143804900231769</v>
      </c>
      <c r="AD472">
        <f t="shared" si="60"/>
        <v>1.596458129794337</v>
      </c>
      <c r="AE472">
        <f t="shared" si="61"/>
        <v>0.73115419995738196</v>
      </c>
      <c r="AF472">
        <f t="shared" si="62"/>
        <v>0.46348044704645869</v>
      </c>
      <c r="AG472">
        <f t="shared" si="63"/>
        <v>0.6864408583613113</v>
      </c>
      <c r="AH472">
        <f t="shared" si="64"/>
        <v>3.1006992058013561</v>
      </c>
      <c r="AI472">
        <f t="shared" si="65"/>
        <v>1.484803776466288</v>
      </c>
      <c r="AK472">
        <f t="shared" si="66"/>
        <v>0.86270050180610269</v>
      </c>
      <c r="AL472">
        <f t="shared" si="67"/>
        <v>0.5384464429924265</v>
      </c>
      <c r="AM472">
        <f t="shared" si="68"/>
        <v>0.5298051914200187</v>
      </c>
      <c r="AN472">
        <f t="shared" si="69"/>
        <v>0.89567438020312695</v>
      </c>
      <c r="AO472">
        <f t="shared" si="70"/>
        <v>0.46924157220346391</v>
      </c>
      <c r="AP472">
        <f t="shared" si="71"/>
        <v>1.596458129794337</v>
      </c>
      <c r="AQ472">
        <f t="shared" si="72"/>
        <v>0.40180462877033279</v>
      </c>
      <c r="AR472">
        <f t="shared" si="73"/>
        <v>0.35735531344544141</v>
      </c>
      <c r="AS472">
        <f t="shared" si="74"/>
        <v>0.31220914039295172</v>
      </c>
      <c r="AT472">
        <f t="shared" si="75"/>
        <v>3.1006992058013561</v>
      </c>
      <c r="AU472">
        <f t="shared" si="76"/>
        <v>0.93477853619260709</v>
      </c>
    </row>
    <row r="473" spans="1:47" x14ac:dyDescent="0.3">
      <c r="A473">
        <v>6</v>
      </c>
      <c r="B473" t="s">
        <v>125</v>
      </c>
      <c r="C473" t="s">
        <v>123</v>
      </c>
      <c r="D473" t="s">
        <v>124</v>
      </c>
      <c r="F473" s="7">
        <v>0</v>
      </c>
      <c r="G473" s="7">
        <v>1</v>
      </c>
      <c r="H473" s="3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>
        <f t="shared" si="44"/>
        <v>391828.4</v>
      </c>
      <c r="N473">
        <f t="shared" si="45"/>
        <v>391828.4</v>
      </c>
      <c r="O473">
        <f t="shared" si="46"/>
        <v>391828.4</v>
      </c>
      <c r="P473">
        <f t="shared" si="47"/>
        <v>236045</v>
      </c>
      <c r="Q473">
        <f t="shared" si="48"/>
        <v>236045</v>
      </c>
      <c r="R473">
        <f t="shared" si="49"/>
        <v>195592.4</v>
      </c>
      <c r="S473">
        <f t="shared" si="50"/>
        <v>195592.4</v>
      </c>
      <c r="T473">
        <f t="shared" si="51"/>
        <v>2999604.4</v>
      </c>
      <c r="U473">
        <f t="shared" si="52"/>
        <v>2999604.4</v>
      </c>
      <c r="V473">
        <f t="shared" si="53"/>
        <v>72201.600000000006</v>
      </c>
      <c r="W473">
        <f t="shared" si="54"/>
        <v>72201.600000000006</v>
      </c>
      <c r="Y473">
        <f t="shared" si="55"/>
        <v>0.49441178319975732</v>
      </c>
      <c r="Z473">
        <f t="shared" si="56"/>
        <v>0.49441178319975732</v>
      </c>
      <c r="AA473">
        <f t="shared" si="57"/>
        <v>0.49441178319975732</v>
      </c>
      <c r="AB473">
        <f t="shared" si="58"/>
        <v>0.44847579400229731</v>
      </c>
      <c r="AC473">
        <f t="shared" si="59"/>
        <v>0.44847579400229731</v>
      </c>
      <c r="AD473">
        <f t="shared" si="60"/>
        <v>1.045642180216964</v>
      </c>
      <c r="AE473">
        <f t="shared" si="61"/>
        <v>1.045642180216964</v>
      </c>
      <c r="AF473">
        <f t="shared" si="62"/>
        <v>0.46603885216172791</v>
      </c>
      <c r="AG473">
        <f t="shared" si="63"/>
        <v>0.46603885216172791</v>
      </c>
      <c r="AH473">
        <f t="shared" si="64"/>
        <v>0.14245503040729091</v>
      </c>
      <c r="AI473">
        <f t="shared" si="65"/>
        <v>0.14245503040729091</v>
      </c>
      <c r="AK473">
        <f t="shared" si="66"/>
        <v>0.49441178319975732</v>
      </c>
      <c r="AL473">
        <f t="shared" si="67"/>
        <v>0.49441178319975732</v>
      </c>
      <c r="AM473">
        <f t="shared" si="68"/>
        <v>0.49441178319975732</v>
      </c>
      <c r="AN473">
        <f t="shared" si="69"/>
        <v>0.44847579400229731</v>
      </c>
      <c r="AO473">
        <f t="shared" si="70"/>
        <v>0.44847579400229731</v>
      </c>
      <c r="AP473">
        <f t="shared" si="71"/>
        <v>1.045642180216964</v>
      </c>
      <c r="AQ473">
        <f t="shared" si="72"/>
        <v>1.045642180216964</v>
      </c>
      <c r="AR473">
        <f t="shared" si="73"/>
        <v>0.35666390019468958</v>
      </c>
      <c r="AS473">
        <f t="shared" si="74"/>
        <v>0.35666390019468958</v>
      </c>
      <c r="AT473">
        <f t="shared" si="75"/>
        <v>0.14245503040729091</v>
      </c>
      <c r="AU473">
        <f t="shared" si="76"/>
        <v>0.14245503040729091</v>
      </c>
    </row>
    <row r="474" spans="1:47" x14ac:dyDescent="0.3">
      <c r="A474">
        <v>6</v>
      </c>
      <c r="B474" t="s">
        <v>126</v>
      </c>
      <c r="C474" t="s">
        <v>123</v>
      </c>
      <c r="D474" t="s">
        <v>124</v>
      </c>
      <c r="F474" s="7">
        <v>0</v>
      </c>
      <c r="G474" s="7">
        <v>1</v>
      </c>
      <c r="H474" s="3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>
        <f t="shared" si="44"/>
        <v>367392.4</v>
      </c>
      <c r="N474">
        <f t="shared" si="45"/>
        <v>468894.8</v>
      </c>
      <c r="O474">
        <f t="shared" si="46"/>
        <v>468741</v>
      </c>
      <c r="P474">
        <f t="shared" si="47"/>
        <v>433332.4</v>
      </c>
      <c r="Q474">
        <f t="shared" si="48"/>
        <v>269027.20000000001</v>
      </c>
      <c r="R474">
        <f t="shared" si="49"/>
        <v>289901.59999999998</v>
      </c>
      <c r="S474">
        <f t="shared" si="50"/>
        <v>218002.4</v>
      </c>
      <c r="T474">
        <f t="shared" si="51"/>
        <v>2965491.8</v>
      </c>
      <c r="U474">
        <f t="shared" si="52"/>
        <v>2435578</v>
      </c>
      <c r="V474">
        <f t="shared" si="53"/>
        <v>21360</v>
      </c>
      <c r="W474">
        <f t="shared" si="54"/>
        <v>58078.6</v>
      </c>
      <c r="Y474">
        <f t="shared" si="55"/>
        <v>0.44615038539050139</v>
      </c>
      <c r="Z474">
        <f t="shared" si="56"/>
        <v>0.69040035958169033</v>
      </c>
      <c r="AA474">
        <f t="shared" si="57"/>
        <v>0.69388880482874815</v>
      </c>
      <c r="AB474">
        <f t="shared" si="58"/>
        <v>0.54240986560180315</v>
      </c>
      <c r="AC474">
        <f t="shared" si="59"/>
        <v>0.60423040080640933</v>
      </c>
      <c r="AD474">
        <f t="shared" si="60"/>
        <v>1.1416289910092019</v>
      </c>
      <c r="AE474">
        <f t="shared" si="61"/>
        <v>1.18583980522817</v>
      </c>
      <c r="AF474">
        <f t="shared" si="62"/>
        <v>0.41981109759071839</v>
      </c>
      <c r="AG474">
        <f t="shared" si="63"/>
        <v>0.62005880640354005</v>
      </c>
      <c r="AH474">
        <f t="shared" si="64"/>
        <v>8.0484012595843479E-2</v>
      </c>
      <c r="AI474">
        <f t="shared" si="65"/>
        <v>0.50230072200065479</v>
      </c>
      <c r="AK474">
        <f t="shared" si="66"/>
        <v>0.44615038539050139</v>
      </c>
      <c r="AL474">
        <f t="shared" si="67"/>
        <v>0.41731547758681697</v>
      </c>
      <c r="AM474">
        <f t="shared" si="68"/>
        <v>0.42132708659628398</v>
      </c>
      <c r="AN474">
        <f t="shared" si="69"/>
        <v>0.54240986560180315</v>
      </c>
      <c r="AO474">
        <f t="shared" si="70"/>
        <v>0.40548548979859328</v>
      </c>
      <c r="AP474">
        <f t="shared" si="71"/>
        <v>1.1416289910092019</v>
      </c>
      <c r="AQ474">
        <f t="shared" si="72"/>
        <v>0.69993136901175601</v>
      </c>
      <c r="AR474">
        <f t="shared" si="73"/>
        <v>0.35025333120720459</v>
      </c>
      <c r="AS474">
        <f t="shared" si="74"/>
        <v>0.30525386355584477</v>
      </c>
      <c r="AT474">
        <f t="shared" si="75"/>
        <v>8.0484012595843479E-2</v>
      </c>
      <c r="AU474">
        <f t="shared" si="76"/>
        <v>0.32985708880005399</v>
      </c>
    </row>
    <row r="475" spans="1:47" x14ac:dyDescent="0.3">
      <c r="A475">
        <v>6</v>
      </c>
      <c r="B475" t="s">
        <v>127</v>
      </c>
      <c r="C475" t="s">
        <v>123</v>
      </c>
      <c r="D475" t="s">
        <v>124</v>
      </c>
      <c r="F475" s="7">
        <v>0</v>
      </c>
      <c r="G475" s="7">
        <v>0</v>
      </c>
      <c r="H475" s="3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>
        <f t="shared" si="44"/>
        <v>355374.2</v>
      </c>
      <c r="N475">
        <f t="shared" si="45"/>
        <v>401320.6</v>
      </c>
      <c r="O475">
        <f t="shared" si="46"/>
        <v>401578.8</v>
      </c>
      <c r="P475">
        <f t="shared" si="47"/>
        <v>234725.8</v>
      </c>
      <c r="Q475">
        <f t="shared" si="48"/>
        <v>225368.4</v>
      </c>
      <c r="R475">
        <f t="shared" si="49"/>
        <v>217926.39999999999</v>
      </c>
      <c r="S475">
        <f t="shared" si="50"/>
        <v>194963.8</v>
      </c>
      <c r="T475">
        <f t="shared" si="51"/>
        <v>2964979.6</v>
      </c>
      <c r="U475">
        <f t="shared" si="52"/>
        <v>2433500.6</v>
      </c>
      <c r="V475">
        <f t="shared" si="53"/>
        <v>527.4</v>
      </c>
      <c r="W475">
        <f t="shared" si="54"/>
        <v>28458.799999999999</v>
      </c>
      <c r="Y475">
        <f t="shared" si="55"/>
        <v>0.40578482260461901</v>
      </c>
      <c r="Z475">
        <f t="shared" si="56"/>
        <v>0.63778202283428986</v>
      </c>
      <c r="AA475">
        <f t="shared" si="57"/>
        <v>0.62471889849985018</v>
      </c>
      <c r="AB475">
        <f t="shared" si="58"/>
        <v>0.36636336259834928</v>
      </c>
      <c r="AC475">
        <f t="shared" si="59"/>
        <v>0.55982160319981633</v>
      </c>
      <c r="AD475">
        <f t="shared" si="60"/>
        <v>1.0732608760008591</v>
      </c>
      <c r="AE475">
        <f t="shared" si="61"/>
        <v>1.304264986037742</v>
      </c>
      <c r="AF475">
        <f t="shared" si="62"/>
        <v>0.41882750642253092</v>
      </c>
      <c r="AG475">
        <f t="shared" si="63"/>
        <v>0.62142077417811381</v>
      </c>
      <c r="AH475">
        <f t="shared" si="64"/>
        <v>6.6979939816519214E-3</v>
      </c>
      <c r="AI475">
        <f t="shared" si="65"/>
        <v>0.3304426648071967</v>
      </c>
      <c r="AK475">
        <f t="shared" si="66"/>
        <v>0.40578482260461901</v>
      </c>
      <c r="AL475">
        <f t="shared" si="67"/>
        <v>0.39189288642955938</v>
      </c>
      <c r="AM475">
        <f t="shared" si="68"/>
        <v>0.38739156196825209</v>
      </c>
      <c r="AN475">
        <f t="shared" si="69"/>
        <v>0.36636336259834928</v>
      </c>
      <c r="AO475">
        <f t="shared" si="70"/>
        <v>0.37141425660229288</v>
      </c>
      <c r="AP475">
        <f t="shared" si="71"/>
        <v>1.0732608760008591</v>
      </c>
      <c r="AQ475">
        <f t="shared" si="72"/>
        <v>0.81788065782748165</v>
      </c>
      <c r="AR475">
        <f t="shared" si="73"/>
        <v>0.34589100102893999</v>
      </c>
      <c r="AS475">
        <f t="shared" si="74"/>
        <v>0.30906068520853291</v>
      </c>
      <c r="AT475">
        <f t="shared" si="75"/>
        <v>6.6979939816519214E-3</v>
      </c>
      <c r="AU475">
        <f t="shared" si="76"/>
        <v>0.25653566620312629</v>
      </c>
    </row>
    <row r="476" spans="1:47" x14ac:dyDescent="0.3">
      <c r="A476">
        <v>6</v>
      </c>
      <c r="B476" t="s">
        <v>128</v>
      </c>
      <c r="C476" t="s">
        <v>123</v>
      </c>
      <c r="D476" t="s">
        <v>124</v>
      </c>
      <c r="F476" s="7">
        <v>0</v>
      </c>
      <c r="G476" s="7">
        <v>1</v>
      </c>
      <c r="H476" s="3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>
        <f t="shared" si="44"/>
        <v>1103736</v>
      </c>
      <c r="N476">
        <f t="shared" si="45"/>
        <v>765911.8</v>
      </c>
      <c r="O476">
        <f t="shared" si="46"/>
        <v>766144.2</v>
      </c>
      <c r="P476">
        <f t="shared" si="47"/>
        <v>869599.8</v>
      </c>
      <c r="Q476">
        <f t="shared" si="48"/>
        <v>385338.8</v>
      </c>
      <c r="R476">
        <f t="shared" si="49"/>
        <v>1407443.4</v>
      </c>
      <c r="S476">
        <f t="shared" si="50"/>
        <v>373268.8</v>
      </c>
      <c r="T476">
        <f t="shared" si="51"/>
        <v>3038410.8</v>
      </c>
      <c r="U476">
        <f t="shared" si="52"/>
        <v>2529225.6</v>
      </c>
      <c r="V476">
        <f t="shared" si="53"/>
        <v>2238261</v>
      </c>
      <c r="W476">
        <f t="shared" si="54"/>
        <v>904373.4</v>
      </c>
      <c r="Y476">
        <f t="shared" si="55"/>
        <v>1.2760336351930159</v>
      </c>
      <c r="Z476">
        <f t="shared" si="56"/>
        <v>0.99471385945798829</v>
      </c>
      <c r="AA476">
        <f t="shared" si="57"/>
        <v>0.99503556159324946</v>
      </c>
      <c r="AB476">
        <f t="shared" si="58"/>
        <v>1.2303666652005629</v>
      </c>
      <c r="AC476">
        <f t="shared" si="59"/>
        <v>0.81140527359675618</v>
      </c>
      <c r="AD476">
        <f t="shared" si="60"/>
        <v>2.235355706815608</v>
      </c>
      <c r="AE476">
        <f t="shared" si="61"/>
        <v>1.0453512581763791</v>
      </c>
      <c r="AF476">
        <f t="shared" si="62"/>
        <v>0.49351534519810231</v>
      </c>
      <c r="AG476">
        <f t="shared" si="63"/>
        <v>0.72019193156156691</v>
      </c>
      <c r="AH476">
        <f t="shared" si="64"/>
        <v>3.374973537388724</v>
      </c>
      <c r="AI476">
        <f t="shared" si="65"/>
        <v>2.251107855245936</v>
      </c>
      <c r="AK476">
        <f t="shared" si="66"/>
        <v>1.2760336351930159</v>
      </c>
      <c r="AL476">
        <f t="shared" si="67"/>
        <v>0.56571883360156794</v>
      </c>
      <c r="AM476">
        <f t="shared" si="68"/>
        <v>0.56235681460238995</v>
      </c>
      <c r="AN476">
        <f t="shared" si="69"/>
        <v>1.2303666652005629</v>
      </c>
      <c r="AO476">
        <f t="shared" si="70"/>
        <v>0.50518927739758512</v>
      </c>
      <c r="AP476">
        <f t="shared" si="71"/>
        <v>2.235355706815608</v>
      </c>
      <c r="AQ476">
        <f t="shared" si="72"/>
        <v>0.56457448077853767</v>
      </c>
      <c r="AR476">
        <f t="shared" si="73"/>
        <v>0.37853709638584399</v>
      </c>
      <c r="AS476">
        <f t="shared" si="74"/>
        <v>0.32190446560271091</v>
      </c>
      <c r="AT476">
        <f t="shared" si="75"/>
        <v>3.374973537388724</v>
      </c>
      <c r="AU476">
        <f t="shared" si="76"/>
        <v>1.520944738993421</v>
      </c>
    </row>
    <row r="477" spans="1:47" x14ac:dyDescent="0.3">
      <c r="A477">
        <v>6</v>
      </c>
      <c r="B477" t="s">
        <v>129</v>
      </c>
      <c r="C477" t="s">
        <v>123</v>
      </c>
      <c r="D477" t="s">
        <v>124</v>
      </c>
      <c r="F477" s="7">
        <v>0</v>
      </c>
      <c r="G477" s="7">
        <v>0</v>
      </c>
      <c r="H477" s="3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>
        <f t="shared" si="44"/>
        <v>570411.80000000005</v>
      </c>
      <c r="N477">
        <f t="shared" si="45"/>
        <v>503573.2</v>
      </c>
      <c r="O477">
        <f t="shared" si="46"/>
        <v>505201.4</v>
      </c>
      <c r="P477">
        <f t="shared" si="47"/>
        <v>286209.59999999998</v>
      </c>
      <c r="Q477">
        <f t="shared" si="48"/>
        <v>301473.59999999998</v>
      </c>
      <c r="R477">
        <f t="shared" si="49"/>
        <v>228253.6</v>
      </c>
      <c r="S477">
        <f t="shared" si="50"/>
        <v>257970.4</v>
      </c>
      <c r="T477">
        <f t="shared" si="51"/>
        <v>3037943.2</v>
      </c>
      <c r="U477">
        <f t="shared" si="52"/>
        <v>2519341.2000000002</v>
      </c>
      <c r="V477">
        <f t="shared" si="53"/>
        <v>543614</v>
      </c>
      <c r="W477">
        <f t="shared" si="54"/>
        <v>332390.2</v>
      </c>
      <c r="Y477">
        <f t="shared" si="55"/>
        <v>0.6004119831952266</v>
      </c>
      <c r="Z477">
        <f t="shared" si="56"/>
        <v>0.74477965658297762</v>
      </c>
      <c r="AA477">
        <f t="shared" si="57"/>
        <v>0.75039129735669119</v>
      </c>
      <c r="AB477">
        <f t="shared" si="58"/>
        <v>0.47154755479423333</v>
      </c>
      <c r="AC477">
        <f t="shared" si="59"/>
        <v>0.64345027139352173</v>
      </c>
      <c r="AD477">
        <f t="shared" si="60"/>
        <v>1.0820434425957499</v>
      </c>
      <c r="AE477">
        <f t="shared" si="61"/>
        <v>1.089240145566873</v>
      </c>
      <c r="AF477">
        <f t="shared" si="62"/>
        <v>0.49442886142060161</v>
      </c>
      <c r="AG477">
        <f t="shared" si="63"/>
        <v>0.71900165154365825</v>
      </c>
      <c r="AH477">
        <f t="shared" si="64"/>
        <v>0.98236557199852537</v>
      </c>
      <c r="AI477">
        <f t="shared" si="65"/>
        <v>0.96637506417464469</v>
      </c>
      <c r="AK477">
        <f t="shared" si="66"/>
        <v>0.6004119831952266</v>
      </c>
      <c r="AL477">
        <f t="shared" si="67"/>
        <v>0.40550228297943253</v>
      </c>
      <c r="AM477">
        <f t="shared" si="68"/>
        <v>0.41070221759146081</v>
      </c>
      <c r="AN477">
        <f t="shared" si="69"/>
        <v>0.47154755479423333</v>
      </c>
      <c r="AO477">
        <f t="shared" si="70"/>
        <v>0.40986109780205882</v>
      </c>
      <c r="AP477">
        <f t="shared" si="71"/>
        <v>1.0820434425957499</v>
      </c>
      <c r="AQ477">
        <f t="shared" si="72"/>
        <v>0.67131402678787711</v>
      </c>
      <c r="AR477">
        <f t="shared" si="73"/>
        <v>0.37599870621925208</v>
      </c>
      <c r="AS477">
        <f t="shared" si="74"/>
        <v>0.32694884198717772</v>
      </c>
      <c r="AT477">
        <f t="shared" si="75"/>
        <v>0.98236557199852537</v>
      </c>
      <c r="AU477">
        <f t="shared" si="76"/>
        <v>0.60068916460732003</v>
      </c>
    </row>
    <row r="478" spans="1:47" x14ac:dyDescent="0.3">
      <c r="A478">
        <v>6</v>
      </c>
      <c r="B478" t="s">
        <v>130</v>
      </c>
      <c r="C478" t="s">
        <v>123</v>
      </c>
      <c r="D478" t="s">
        <v>124</v>
      </c>
      <c r="F478" s="7">
        <v>0</v>
      </c>
      <c r="G478" s="7">
        <v>0</v>
      </c>
      <c r="H478" s="3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>
        <f t="shared" si="44"/>
        <v>659628.4</v>
      </c>
      <c r="N478">
        <f t="shared" si="45"/>
        <v>659628.4</v>
      </c>
      <c r="O478">
        <f t="shared" si="46"/>
        <v>659628.4</v>
      </c>
      <c r="P478">
        <f t="shared" si="47"/>
        <v>736767.4</v>
      </c>
      <c r="Q478">
        <f t="shared" si="48"/>
        <v>736767.4</v>
      </c>
      <c r="R478">
        <f t="shared" si="49"/>
        <v>484121.4</v>
      </c>
      <c r="S478">
        <f t="shared" si="50"/>
        <v>484121.4</v>
      </c>
      <c r="T478">
        <f t="shared" si="51"/>
        <v>2971883.6</v>
      </c>
      <c r="U478">
        <f t="shared" si="52"/>
        <v>2971883.6</v>
      </c>
      <c r="V478">
        <f t="shared" si="53"/>
        <v>470268.2</v>
      </c>
      <c r="W478">
        <f t="shared" si="54"/>
        <v>470268.2</v>
      </c>
      <c r="Y478">
        <f t="shared" si="55"/>
        <v>0.68151731898542489</v>
      </c>
      <c r="Z478">
        <f t="shared" si="56"/>
        <v>0.68151731898542489</v>
      </c>
      <c r="AA478">
        <f t="shared" si="57"/>
        <v>0.68151731898542489</v>
      </c>
      <c r="AB478">
        <f t="shared" si="58"/>
        <v>0.65117822779575363</v>
      </c>
      <c r="AC478">
        <f t="shared" si="59"/>
        <v>0.65117822779575363</v>
      </c>
      <c r="AD478">
        <f t="shared" si="60"/>
        <v>1.2681123524089339</v>
      </c>
      <c r="AE478">
        <f t="shared" si="61"/>
        <v>1.2681123524089339</v>
      </c>
      <c r="AF478">
        <f t="shared" si="62"/>
        <v>0.42837694541085508</v>
      </c>
      <c r="AG478">
        <f t="shared" si="63"/>
        <v>0.42837694541085508</v>
      </c>
      <c r="AH478">
        <f t="shared" si="64"/>
        <v>0.75929379700683053</v>
      </c>
      <c r="AI478">
        <f t="shared" si="65"/>
        <v>0.75929379700683053</v>
      </c>
      <c r="AK478">
        <f t="shared" si="66"/>
        <v>0.68151731898542489</v>
      </c>
      <c r="AL478">
        <f t="shared" si="67"/>
        <v>0.68151731898542489</v>
      </c>
      <c r="AM478">
        <f t="shared" si="68"/>
        <v>0.68151731898542489</v>
      </c>
      <c r="AN478">
        <f t="shared" si="69"/>
        <v>0.65117822779575363</v>
      </c>
      <c r="AO478">
        <f t="shared" si="70"/>
        <v>0.65117822779575363</v>
      </c>
      <c r="AP478">
        <f t="shared" si="71"/>
        <v>1.2681123524089339</v>
      </c>
      <c r="AQ478">
        <f t="shared" si="72"/>
        <v>1.2681123524089339</v>
      </c>
      <c r="AR478">
        <f t="shared" si="73"/>
        <v>0.3565118374070152</v>
      </c>
      <c r="AS478">
        <f t="shared" si="74"/>
        <v>0.3565118374070152</v>
      </c>
      <c r="AT478">
        <f t="shared" si="75"/>
        <v>0.75929379700683053</v>
      </c>
      <c r="AU478">
        <f t="shared" si="76"/>
        <v>0.75929379700683053</v>
      </c>
    </row>
    <row r="479" spans="1:47" x14ac:dyDescent="0.3">
      <c r="A479">
        <v>6</v>
      </c>
      <c r="B479" t="s">
        <v>131</v>
      </c>
      <c r="C479" t="s">
        <v>123</v>
      </c>
      <c r="D479" t="s">
        <v>124</v>
      </c>
      <c r="F479" s="7">
        <v>0</v>
      </c>
      <c r="G479" s="7">
        <v>1</v>
      </c>
      <c r="H479" s="3">
        <v>0</v>
      </c>
      <c r="I479">
        <f t="shared" si="77"/>
        <v>0</v>
      </c>
      <c r="J479">
        <f t="shared" si="77"/>
        <v>1</v>
      </c>
      <c r="K479">
        <v>3</v>
      </c>
      <c r="L479">
        <v>0</v>
      </c>
      <c r="M479">
        <f t="shared" si="44"/>
        <v>233765.6</v>
      </c>
      <c r="N479">
        <f t="shared" si="45"/>
        <v>308629.8</v>
      </c>
      <c r="O479">
        <f t="shared" si="46"/>
        <v>308780.59999999998</v>
      </c>
      <c r="P479">
        <f t="shared" si="47"/>
        <v>251124.6</v>
      </c>
      <c r="Q479">
        <f t="shared" si="48"/>
        <v>258471.8</v>
      </c>
      <c r="R479">
        <f t="shared" si="49"/>
        <v>199467.4</v>
      </c>
      <c r="S479">
        <f t="shared" si="50"/>
        <v>211513.4</v>
      </c>
      <c r="T479">
        <f t="shared" si="51"/>
        <v>2971089.2</v>
      </c>
      <c r="U479">
        <f t="shared" si="52"/>
        <v>2439044</v>
      </c>
      <c r="V479">
        <f t="shared" si="53"/>
        <v>1120.2</v>
      </c>
      <c r="W479">
        <f t="shared" si="54"/>
        <v>29216</v>
      </c>
      <c r="Y479">
        <f t="shared" si="55"/>
        <v>0.34974052100442349</v>
      </c>
      <c r="Z479">
        <f t="shared" si="56"/>
        <v>0.60312795742647718</v>
      </c>
      <c r="AA479">
        <f t="shared" si="57"/>
        <v>0.6040624435874633</v>
      </c>
      <c r="AB479">
        <f t="shared" si="58"/>
        <v>0.38119811340002341</v>
      </c>
      <c r="AC479">
        <f t="shared" si="59"/>
        <v>0.60175963779911401</v>
      </c>
      <c r="AD479">
        <f t="shared" si="60"/>
        <v>1.1294865314033811</v>
      </c>
      <c r="AE479">
        <f t="shared" si="61"/>
        <v>1.3356257135514169</v>
      </c>
      <c r="AF479">
        <f t="shared" si="62"/>
        <v>0.42951913683209569</v>
      </c>
      <c r="AG479">
        <f t="shared" si="63"/>
        <v>0.64237685784464704</v>
      </c>
      <c r="AH479">
        <f t="shared" si="64"/>
        <v>1.0119901213329219E-2</v>
      </c>
      <c r="AI479">
        <f t="shared" si="65"/>
        <v>0.35169065798399968</v>
      </c>
      <c r="AK479">
        <f t="shared" si="66"/>
        <v>0.34974052100442349</v>
      </c>
      <c r="AL479">
        <f t="shared" si="67"/>
        <v>0.38756012081867081</v>
      </c>
      <c r="AM479">
        <f t="shared" si="68"/>
        <v>0.38305150336818772</v>
      </c>
      <c r="AN479">
        <f t="shared" si="69"/>
        <v>0.38119811340002341</v>
      </c>
      <c r="AO479">
        <f t="shared" si="70"/>
        <v>0.39993992238887582</v>
      </c>
      <c r="AP479">
        <f t="shared" si="71"/>
        <v>1.1294865314033811</v>
      </c>
      <c r="AQ479">
        <f t="shared" si="72"/>
        <v>0.86250349940964954</v>
      </c>
      <c r="AR479">
        <f t="shared" si="73"/>
        <v>0.3545491610304452</v>
      </c>
      <c r="AS479">
        <f t="shared" si="74"/>
        <v>0.3219306273735128</v>
      </c>
      <c r="AT479">
        <f t="shared" si="75"/>
        <v>1.0119901213329219E-2</v>
      </c>
      <c r="AU479">
        <f t="shared" si="76"/>
        <v>0.27768827277468522</v>
      </c>
    </row>
    <row r="480" spans="1:47" x14ac:dyDescent="0.3">
      <c r="A480">
        <v>7</v>
      </c>
      <c r="B480" t="s">
        <v>132</v>
      </c>
      <c r="C480" t="s">
        <v>133</v>
      </c>
      <c r="D480" t="s">
        <v>134</v>
      </c>
      <c r="F480" s="7">
        <v>0</v>
      </c>
      <c r="G480" s="7">
        <v>0</v>
      </c>
      <c r="H480" s="3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1915746.4</v>
      </c>
      <c r="O480">
        <f t="shared" si="46"/>
        <v>1931404.8</v>
      </c>
      <c r="P480">
        <f t="shared" si="47"/>
        <v>1014775</v>
      </c>
      <c r="Q480">
        <f t="shared" si="48"/>
        <v>1133005</v>
      </c>
      <c r="R480">
        <f t="shared" si="49"/>
        <v>972987.4</v>
      </c>
      <c r="S480">
        <f t="shared" si="50"/>
        <v>1235201.3999999999</v>
      </c>
      <c r="T480">
        <f t="shared" si="51"/>
        <v>4884451.4000000004</v>
      </c>
      <c r="U480">
        <f t="shared" si="52"/>
        <v>4193024.6</v>
      </c>
      <c r="V480">
        <f t="shared" si="53"/>
        <v>855986.4</v>
      </c>
      <c r="W480">
        <f t="shared" si="54"/>
        <v>1382782.2</v>
      </c>
      <c r="Y480">
        <f t="shared" si="55"/>
        <v>1.473650893010199</v>
      </c>
      <c r="Z480">
        <f t="shared" si="56"/>
        <v>1.749123173649423</v>
      </c>
      <c r="AA480">
        <f t="shared" si="57"/>
        <v>1.7471006350009699</v>
      </c>
      <c r="AB480">
        <f t="shared" si="58"/>
        <v>1.463405597396195</v>
      </c>
      <c r="AC480">
        <f t="shared" si="59"/>
        <v>1.4505018936033589</v>
      </c>
      <c r="AD480">
        <f t="shared" si="60"/>
        <v>0.9671052099904045</v>
      </c>
      <c r="AE480">
        <f t="shared" si="61"/>
        <v>1.5334815668291411</v>
      </c>
      <c r="AF480">
        <f t="shared" si="62"/>
        <v>2.4591859903768638</v>
      </c>
      <c r="AG480">
        <f t="shared" si="63"/>
        <v>2.5879930797033008</v>
      </c>
      <c r="AH480">
        <f t="shared" si="64"/>
        <v>3.100663460791111</v>
      </c>
      <c r="AI480">
        <f t="shared" si="65"/>
        <v>3.079400297813117</v>
      </c>
      <c r="AK480">
        <f t="shared" si="66"/>
        <v>1.473650893010199</v>
      </c>
      <c r="AL480">
        <f t="shared" si="67"/>
        <v>0.48164635500870651</v>
      </c>
      <c r="AM480">
        <f t="shared" si="68"/>
        <v>0.48033073220867661</v>
      </c>
      <c r="AN480">
        <f t="shared" si="69"/>
        <v>1.463405597396195</v>
      </c>
      <c r="AO480">
        <f t="shared" si="70"/>
        <v>0.44566808820527509</v>
      </c>
      <c r="AP480">
        <f t="shared" si="71"/>
        <v>0.9671052099904045</v>
      </c>
      <c r="AQ480">
        <f t="shared" si="72"/>
        <v>0.45065839922754092</v>
      </c>
      <c r="AR480">
        <f t="shared" si="73"/>
        <v>1.2835778005770411</v>
      </c>
      <c r="AS480">
        <f t="shared" si="74"/>
        <v>0.37766331698512662</v>
      </c>
      <c r="AT480">
        <f t="shared" si="75"/>
        <v>3.100663460791111</v>
      </c>
      <c r="AU480">
        <f t="shared" si="76"/>
        <v>1.5680083504179489</v>
      </c>
    </row>
    <row r="481" spans="1:47" x14ac:dyDescent="0.3">
      <c r="A481">
        <v>7</v>
      </c>
      <c r="B481" t="s">
        <v>135</v>
      </c>
      <c r="C481" t="s">
        <v>133</v>
      </c>
      <c r="D481" t="s">
        <v>134</v>
      </c>
      <c r="F481" s="7">
        <v>0</v>
      </c>
      <c r="G481" s="7">
        <v>1</v>
      </c>
      <c r="H481" s="3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>
        <f t="shared" si="44"/>
        <v>3089676</v>
      </c>
      <c r="N481">
        <f t="shared" si="45"/>
        <v>3089676</v>
      </c>
      <c r="O481">
        <f t="shared" si="46"/>
        <v>3089676</v>
      </c>
      <c r="P481">
        <f t="shared" si="47"/>
        <v>4290516.2</v>
      </c>
      <c r="Q481">
        <f t="shared" si="48"/>
        <v>4290516.2</v>
      </c>
      <c r="R481">
        <f t="shared" si="49"/>
        <v>3206274.8</v>
      </c>
      <c r="S481">
        <f t="shared" si="50"/>
        <v>3206274.8</v>
      </c>
      <c r="T481">
        <f t="shared" si="51"/>
        <v>4895271.2</v>
      </c>
      <c r="U481">
        <f t="shared" si="52"/>
        <v>4895271.2</v>
      </c>
      <c r="V481">
        <f t="shared" si="53"/>
        <v>7112350.4000000004</v>
      </c>
      <c r="W481">
        <f t="shared" si="54"/>
        <v>7112350.4000000004</v>
      </c>
      <c r="Y481">
        <f t="shared" si="55"/>
        <v>3.0966383311781098</v>
      </c>
      <c r="Z481">
        <f t="shared" si="56"/>
        <v>3.0966383311781098</v>
      </c>
      <c r="AA481">
        <f t="shared" si="57"/>
        <v>3.0966383311781098</v>
      </c>
      <c r="AB481">
        <f t="shared" si="58"/>
        <v>4.042659053200623</v>
      </c>
      <c r="AC481">
        <f t="shared" si="59"/>
        <v>4.042659053200623</v>
      </c>
      <c r="AD481">
        <f t="shared" si="60"/>
        <v>2.5987070230068641</v>
      </c>
      <c r="AE481">
        <f t="shared" si="61"/>
        <v>2.5987070230068641</v>
      </c>
      <c r="AF481">
        <f t="shared" si="62"/>
        <v>2.4904669723589898</v>
      </c>
      <c r="AG481">
        <f t="shared" si="63"/>
        <v>2.4904669723589898</v>
      </c>
      <c r="AH481">
        <f t="shared" si="64"/>
        <v>5.3051863394095564</v>
      </c>
      <c r="AI481">
        <f t="shared" si="65"/>
        <v>5.3051863394095564</v>
      </c>
      <c r="AK481">
        <f t="shared" si="66"/>
        <v>3.0966383311781098</v>
      </c>
      <c r="AL481">
        <f t="shared" si="67"/>
        <v>3.0966383311781098</v>
      </c>
      <c r="AM481">
        <f t="shared" si="68"/>
        <v>3.0966383311781098</v>
      </c>
      <c r="AN481">
        <f t="shared" si="69"/>
        <v>4.042659053200623</v>
      </c>
      <c r="AO481">
        <f t="shared" si="70"/>
        <v>4.042659053200623</v>
      </c>
      <c r="AP481">
        <f t="shared" si="71"/>
        <v>2.5987070230068641</v>
      </c>
      <c r="AQ481">
        <f t="shared" si="72"/>
        <v>2.5987070230068641</v>
      </c>
      <c r="AR481">
        <f t="shared" si="73"/>
        <v>1.302860139554832</v>
      </c>
      <c r="AS481">
        <f t="shared" si="74"/>
        <v>1.302860139554832</v>
      </c>
      <c r="AT481">
        <f t="shared" si="75"/>
        <v>5.3051863394095564</v>
      </c>
      <c r="AU481">
        <f t="shared" si="76"/>
        <v>5.3051863394095564</v>
      </c>
    </row>
    <row r="482" spans="1:47" x14ac:dyDescent="0.3">
      <c r="A482">
        <v>7</v>
      </c>
      <c r="B482" t="s">
        <v>136</v>
      </c>
      <c r="C482" t="s">
        <v>133</v>
      </c>
      <c r="D482" t="s">
        <v>134</v>
      </c>
      <c r="F482" s="7">
        <v>0</v>
      </c>
      <c r="G482" s="7">
        <v>1</v>
      </c>
      <c r="H482" s="3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808053.8</v>
      </c>
      <c r="O482">
        <f t="shared" si="46"/>
        <v>807277.4</v>
      </c>
      <c r="P482">
        <f t="shared" si="47"/>
        <v>326637</v>
      </c>
      <c r="Q482">
        <f t="shared" si="48"/>
        <v>327921.2</v>
      </c>
      <c r="R482">
        <f t="shared" si="49"/>
        <v>207457.4</v>
      </c>
      <c r="S482">
        <f t="shared" si="50"/>
        <v>199221</v>
      </c>
      <c r="T482">
        <f t="shared" si="51"/>
        <v>3452162.6</v>
      </c>
      <c r="U482">
        <f t="shared" si="52"/>
        <v>2877935.2</v>
      </c>
      <c r="V482">
        <f t="shared" si="53"/>
        <v>751336.8</v>
      </c>
      <c r="W482">
        <f t="shared" si="54"/>
        <v>666857.80000000005</v>
      </c>
      <c r="Y482">
        <f t="shared" si="55"/>
        <v>0.942140128382016</v>
      </c>
      <c r="Z482">
        <f t="shared" si="56"/>
        <v>0.96873816275037827</v>
      </c>
      <c r="AA482">
        <f t="shared" si="57"/>
        <v>0.96404008441604672</v>
      </c>
      <c r="AB482">
        <f t="shared" si="58"/>
        <v>0.7279127632034943</v>
      </c>
      <c r="AC482">
        <f t="shared" si="59"/>
        <v>0.75121841580839832</v>
      </c>
      <c r="AD482">
        <f t="shared" si="60"/>
        <v>0.81844929881626738</v>
      </c>
      <c r="AE482">
        <f t="shared" si="61"/>
        <v>0.93374291898217054</v>
      </c>
      <c r="AF482">
        <f t="shared" si="62"/>
        <v>1.23769776042318</v>
      </c>
      <c r="AG482">
        <f t="shared" si="63"/>
        <v>1.444201843289193</v>
      </c>
      <c r="AH482">
        <f t="shared" si="64"/>
        <v>2.5907337069977081</v>
      </c>
      <c r="AI482">
        <f t="shared" si="65"/>
        <v>1.798706140811555</v>
      </c>
      <c r="AK482">
        <f t="shared" si="66"/>
        <v>0.942140128382016</v>
      </c>
      <c r="AL482">
        <f t="shared" si="67"/>
        <v>0.37276479097781701</v>
      </c>
      <c r="AM482">
        <f t="shared" si="68"/>
        <v>0.3654043819755316</v>
      </c>
      <c r="AN482">
        <f t="shared" si="69"/>
        <v>0.7279127632034943</v>
      </c>
      <c r="AO482">
        <f t="shared" si="70"/>
        <v>0.28719337900984099</v>
      </c>
      <c r="AP482">
        <f t="shared" si="71"/>
        <v>0.81844929881626738</v>
      </c>
      <c r="AQ482">
        <f t="shared" si="72"/>
        <v>0.29010247058467942</v>
      </c>
      <c r="AR482">
        <f t="shared" si="73"/>
        <v>0.67638766542077067</v>
      </c>
      <c r="AS482">
        <f t="shared" si="74"/>
        <v>0.28611315260641279</v>
      </c>
      <c r="AT482">
        <f t="shared" si="75"/>
        <v>2.5907337069977081</v>
      </c>
      <c r="AU482">
        <f t="shared" si="76"/>
        <v>0.60445306401234122</v>
      </c>
    </row>
    <row r="483" spans="1:47" x14ac:dyDescent="0.3">
      <c r="A483">
        <v>7</v>
      </c>
      <c r="B483" t="s">
        <v>137</v>
      </c>
      <c r="C483" t="s">
        <v>133</v>
      </c>
      <c r="D483" t="s">
        <v>134</v>
      </c>
      <c r="F483" s="7">
        <v>0</v>
      </c>
      <c r="G483" s="7">
        <v>0</v>
      </c>
      <c r="H483" s="3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1031302.8</v>
      </c>
      <c r="O483">
        <f t="shared" si="46"/>
        <v>1031467.4</v>
      </c>
      <c r="P483">
        <f t="shared" si="47"/>
        <v>1086458.3999999999</v>
      </c>
      <c r="Q483">
        <f t="shared" si="48"/>
        <v>736325</v>
      </c>
      <c r="R483">
        <f t="shared" si="49"/>
        <v>521542.6</v>
      </c>
      <c r="S483">
        <f t="shared" si="50"/>
        <v>443509.8</v>
      </c>
      <c r="T483">
        <f t="shared" si="51"/>
        <v>3447800.2</v>
      </c>
      <c r="U483">
        <f t="shared" si="52"/>
        <v>2880513.2</v>
      </c>
      <c r="V483">
        <f t="shared" si="53"/>
        <v>1751115.2</v>
      </c>
      <c r="W483">
        <f t="shared" si="54"/>
        <v>1383732</v>
      </c>
      <c r="Y483">
        <f t="shared" si="55"/>
        <v>0.92672142020892356</v>
      </c>
      <c r="Z483">
        <f t="shared" si="56"/>
        <v>1.149562096619047</v>
      </c>
      <c r="AA483">
        <f t="shared" si="57"/>
        <v>1.14140123159159</v>
      </c>
      <c r="AB483">
        <f t="shared" si="58"/>
        <v>1.3697402837977279</v>
      </c>
      <c r="AC483">
        <f t="shared" si="59"/>
        <v>1.146851884201169</v>
      </c>
      <c r="AD483">
        <f t="shared" si="60"/>
        <v>1.2301440360024569</v>
      </c>
      <c r="AE483">
        <f t="shared" si="61"/>
        <v>1.266233797790483</v>
      </c>
      <c r="AF483">
        <f t="shared" si="62"/>
        <v>1.2442417055601249</v>
      </c>
      <c r="AG483">
        <f t="shared" si="63"/>
        <v>1.4489389816764739</v>
      </c>
      <c r="AH483">
        <f t="shared" si="64"/>
        <v>3.4568463972071179</v>
      </c>
      <c r="AI483">
        <f t="shared" si="65"/>
        <v>2.3418989465455531</v>
      </c>
      <c r="AK483">
        <f t="shared" si="66"/>
        <v>0.92672142020892356</v>
      </c>
      <c r="AL483">
        <f t="shared" si="67"/>
        <v>0.37978944482747468</v>
      </c>
      <c r="AM483">
        <f t="shared" si="68"/>
        <v>0.37754955498967319</v>
      </c>
      <c r="AN483">
        <f t="shared" si="69"/>
        <v>1.3697402837977279</v>
      </c>
      <c r="AO483">
        <f t="shared" si="70"/>
        <v>0.37552038720750708</v>
      </c>
      <c r="AP483">
        <f t="shared" si="71"/>
        <v>1.2301440360024569</v>
      </c>
      <c r="AQ483">
        <f t="shared" si="72"/>
        <v>0.36575251319445667</v>
      </c>
      <c r="AR483">
        <f t="shared" si="73"/>
        <v>0.6843706729472615</v>
      </c>
      <c r="AS483">
        <f t="shared" si="74"/>
        <v>0.28259133880492299</v>
      </c>
      <c r="AT483">
        <f t="shared" si="75"/>
        <v>3.4568463972071179</v>
      </c>
      <c r="AU483">
        <f t="shared" si="76"/>
        <v>0.80332957417704165</v>
      </c>
    </row>
    <row r="484" spans="1:47" x14ac:dyDescent="0.3">
      <c r="A484">
        <v>7</v>
      </c>
      <c r="B484" t="s">
        <v>138</v>
      </c>
      <c r="C484" t="s">
        <v>133</v>
      </c>
      <c r="D484" t="s">
        <v>134</v>
      </c>
      <c r="F484" s="7">
        <v>0</v>
      </c>
      <c r="G484" s="7">
        <v>1</v>
      </c>
      <c r="H484" s="3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1751836.2</v>
      </c>
      <c r="O484">
        <f t="shared" si="46"/>
        <v>1753677.6</v>
      </c>
      <c r="P484">
        <f t="shared" si="47"/>
        <v>347999.6</v>
      </c>
      <c r="Q484">
        <f t="shared" si="48"/>
        <v>1046352</v>
      </c>
      <c r="R484">
        <f t="shared" si="49"/>
        <v>181533.6</v>
      </c>
      <c r="S484">
        <f t="shared" si="50"/>
        <v>471287.8</v>
      </c>
      <c r="T484">
        <f t="shared" si="51"/>
        <v>3664953.4</v>
      </c>
      <c r="U484">
        <f t="shared" si="52"/>
        <v>3147998.2</v>
      </c>
      <c r="V484">
        <f t="shared" si="53"/>
        <v>272164</v>
      </c>
      <c r="W484">
        <f t="shared" si="54"/>
        <v>941223.6</v>
      </c>
      <c r="Y484">
        <f t="shared" si="55"/>
        <v>1.7252162946155289</v>
      </c>
      <c r="Z484">
        <f t="shared" si="56"/>
        <v>1.628458380571101</v>
      </c>
      <c r="AA484">
        <f t="shared" si="57"/>
        <v>1.6181270302622579</v>
      </c>
      <c r="AB484">
        <f t="shared" si="58"/>
        <v>0.77700864520156754</v>
      </c>
      <c r="AC484">
        <f t="shared" si="59"/>
        <v>1.3168651523970769</v>
      </c>
      <c r="AD484">
        <f t="shared" si="60"/>
        <v>0.77062728360760957</v>
      </c>
      <c r="AE484">
        <f t="shared" si="61"/>
        <v>1.2560910231899469</v>
      </c>
      <c r="AF484">
        <f t="shared" si="62"/>
        <v>1.485383782966528</v>
      </c>
      <c r="AG484">
        <f t="shared" si="63"/>
        <v>1.7245265567908059</v>
      </c>
      <c r="AH484">
        <f t="shared" si="64"/>
        <v>2.0600078286021022</v>
      </c>
      <c r="AI484">
        <f t="shared" si="65"/>
        <v>2.1418272007955239</v>
      </c>
      <c r="AK484">
        <f t="shared" si="66"/>
        <v>1.7252162946155289</v>
      </c>
      <c r="AL484">
        <f t="shared" si="67"/>
        <v>0.4954113811836578</v>
      </c>
      <c r="AM484">
        <f t="shared" si="68"/>
        <v>0.48691316059557721</v>
      </c>
      <c r="AN484">
        <f t="shared" si="69"/>
        <v>0.77700864520156754</v>
      </c>
      <c r="AO484">
        <f t="shared" si="70"/>
        <v>0.41233022000233183</v>
      </c>
      <c r="AP484">
        <f t="shared" si="71"/>
        <v>0.77062728360760957</v>
      </c>
      <c r="AQ484">
        <f t="shared" si="72"/>
        <v>0.39493867778219283</v>
      </c>
      <c r="AR484">
        <f t="shared" si="73"/>
        <v>0.83600528294919063</v>
      </c>
      <c r="AS484">
        <f t="shared" si="74"/>
        <v>0.32743268202757458</v>
      </c>
      <c r="AT484">
        <f t="shared" si="75"/>
        <v>2.0600078286021022</v>
      </c>
      <c r="AU484">
        <f t="shared" si="76"/>
        <v>0.95197481521172445</v>
      </c>
    </row>
    <row r="485" spans="1:47" x14ac:dyDescent="0.3">
      <c r="A485">
        <v>7</v>
      </c>
      <c r="B485" t="s">
        <v>139</v>
      </c>
      <c r="C485" t="s">
        <v>133</v>
      </c>
      <c r="D485" t="s">
        <v>134</v>
      </c>
      <c r="F485" s="7">
        <v>0</v>
      </c>
      <c r="G485" s="7">
        <v>0</v>
      </c>
      <c r="H485" s="3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910007.2</v>
      </c>
      <c r="O485">
        <f t="shared" si="46"/>
        <v>911381.6</v>
      </c>
      <c r="P485">
        <f t="shared" si="47"/>
        <v>482415.4</v>
      </c>
      <c r="Q485">
        <f t="shared" si="48"/>
        <v>860369</v>
      </c>
      <c r="R485">
        <f t="shared" si="49"/>
        <v>132356.4</v>
      </c>
      <c r="S485">
        <f t="shared" si="50"/>
        <v>219848.4</v>
      </c>
      <c r="T485">
        <f t="shared" si="51"/>
        <v>3657574.2</v>
      </c>
      <c r="U485">
        <f t="shared" si="52"/>
        <v>3126808.2</v>
      </c>
      <c r="V485">
        <f t="shared" si="53"/>
        <v>207770.4</v>
      </c>
      <c r="W485">
        <f t="shared" si="54"/>
        <v>317820.2</v>
      </c>
      <c r="Y485">
        <f t="shared" si="55"/>
        <v>0.78307646360481153</v>
      </c>
      <c r="Z485">
        <f t="shared" si="56"/>
        <v>0.99973708580946552</v>
      </c>
      <c r="AA485">
        <f t="shared" si="57"/>
        <v>0.99455336858518417</v>
      </c>
      <c r="AB485">
        <f t="shared" si="58"/>
        <v>0.62934015200589788</v>
      </c>
      <c r="AC485">
        <f t="shared" si="59"/>
        <v>0.90918459500244353</v>
      </c>
      <c r="AD485">
        <f t="shared" si="60"/>
        <v>0.70917940719518813</v>
      </c>
      <c r="AE485">
        <f t="shared" si="61"/>
        <v>0.92541367613011971</v>
      </c>
      <c r="AF485">
        <f t="shared" si="62"/>
        <v>1.508532682841178</v>
      </c>
      <c r="AG485">
        <f t="shared" si="63"/>
        <v>1.7440720390877691</v>
      </c>
      <c r="AH485">
        <f t="shared" si="64"/>
        <v>2.312253216782119</v>
      </c>
      <c r="AI485">
        <f t="shared" si="65"/>
        <v>1.6812223636196</v>
      </c>
      <c r="AK485">
        <f t="shared" si="66"/>
        <v>0.78307646360481153</v>
      </c>
      <c r="AL485">
        <f t="shared" si="67"/>
        <v>0.3199677826371044</v>
      </c>
      <c r="AM485">
        <f t="shared" si="68"/>
        <v>0.31608920079888769</v>
      </c>
      <c r="AN485">
        <f t="shared" si="69"/>
        <v>0.62934015200589788</v>
      </c>
      <c r="AO485">
        <f t="shared" si="70"/>
        <v>0.31088233180053071</v>
      </c>
      <c r="AP485">
        <f t="shared" si="71"/>
        <v>0.70917940719518813</v>
      </c>
      <c r="AQ485">
        <f t="shared" si="72"/>
        <v>0.28652012337697669</v>
      </c>
      <c r="AR485">
        <f t="shared" si="73"/>
        <v>0.84846410223981361</v>
      </c>
      <c r="AS485">
        <f t="shared" si="74"/>
        <v>0.32649458163650708</v>
      </c>
      <c r="AT485">
        <f t="shared" si="75"/>
        <v>2.312253216782119</v>
      </c>
      <c r="AU485">
        <f t="shared" si="76"/>
        <v>0.60102779280859975</v>
      </c>
    </row>
    <row r="486" spans="1:47" x14ac:dyDescent="0.3">
      <c r="A486">
        <v>7</v>
      </c>
      <c r="B486" t="s">
        <v>140</v>
      </c>
      <c r="C486" t="s">
        <v>133</v>
      </c>
      <c r="D486" t="s">
        <v>134</v>
      </c>
      <c r="F486" s="7">
        <v>0</v>
      </c>
      <c r="G486" s="7">
        <v>0</v>
      </c>
      <c r="H486" s="3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>
        <f t="shared" si="44"/>
        <v>2682862.4</v>
      </c>
      <c r="N486">
        <f t="shared" si="45"/>
        <v>2682862.4</v>
      </c>
      <c r="O486">
        <f t="shared" si="46"/>
        <v>2682862.4</v>
      </c>
      <c r="P486">
        <f t="shared" si="47"/>
        <v>246323.20000000001</v>
      </c>
      <c r="Q486">
        <f t="shared" si="48"/>
        <v>246323.20000000001</v>
      </c>
      <c r="R486">
        <f t="shared" si="49"/>
        <v>200260.6</v>
      </c>
      <c r="S486">
        <f t="shared" si="50"/>
        <v>200260.6</v>
      </c>
      <c r="T486">
        <f t="shared" si="51"/>
        <v>3638570</v>
      </c>
      <c r="U486">
        <f t="shared" si="52"/>
        <v>3638570</v>
      </c>
      <c r="V486">
        <f t="shared" si="53"/>
        <v>37841.800000000003</v>
      </c>
      <c r="W486">
        <f t="shared" si="54"/>
        <v>37841.800000000003</v>
      </c>
      <c r="Y486">
        <f t="shared" si="55"/>
        <v>1.7577077843830919</v>
      </c>
      <c r="Z486">
        <f t="shared" si="56"/>
        <v>1.7577077843830919</v>
      </c>
      <c r="AA486">
        <f t="shared" si="57"/>
        <v>1.7577077843830919</v>
      </c>
      <c r="AB486">
        <f t="shared" si="58"/>
        <v>0.45743890680023469</v>
      </c>
      <c r="AC486">
        <f t="shared" si="59"/>
        <v>0.45743890680023469</v>
      </c>
      <c r="AD486">
        <f t="shared" si="60"/>
        <v>0.962246723996941</v>
      </c>
      <c r="AE486">
        <f t="shared" si="61"/>
        <v>0.962246723996941</v>
      </c>
      <c r="AF486">
        <f t="shared" si="62"/>
        <v>1.353008343372494</v>
      </c>
      <c r="AG486">
        <f t="shared" si="63"/>
        <v>1.353008343372494</v>
      </c>
      <c r="AH486">
        <f t="shared" si="64"/>
        <v>0.2615301568061113</v>
      </c>
      <c r="AI486">
        <f t="shared" si="65"/>
        <v>0.2615301568061113</v>
      </c>
      <c r="AK486">
        <f t="shared" si="66"/>
        <v>1.7577077843830919</v>
      </c>
      <c r="AL486">
        <f t="shared" si="67"/>
        <v>1.7577077843830919</v>
      </c>
      <c r="AM486">
        <f t="shared" si="68"/>
        <v>1.7577077843830919</v>
      </c>
      <c r="AN486">
        <f t="shared" si="69"/>
        <v>0.45743890680023469</v>
      </c>
      <c r="AO486">
        <f t="shared" si="70"/>
        <v>0.45743890680023469</v>
      </c>
      <c r="AP486">
        <f t="shared" si="71"/>
        <v>0.962246723996941</v>
      </c>
      <c r="AQ486">
        <f t="shared" si="72"/>
        <v>0.962246723996941</v>
      </c>
      <c r="AR486">
        <f t="shared" si="73"/>
        <v>0.78105591817293318</v>
      </c>
      <c r="AS486">
        <f t="shared" si="74"/>
        <v>0.78105591817293318</v>
      </c>
      <c r="AT486">
        <f t="shared" si="75"/>
        <v>0.2615301568061113</v>
      </c>
      <c r="AU486">
        <f t="shared" si="76"/>
        <v>0.2615301568061113</v>
      </c>
    </row>
    <row r="487" spans="1:47" x14ac:dyDescent="0.3">
      <c r="A487">
        <v>7</v>
      </c>
      <c r="B487" t="s">
        <v>141</v>
      </c>
      <c r="C487" t="s">
        <v>133</v>
      </c>
      <c r="D487" t="s">
        <v>134</v>
      </c>
      <c r="F487" s="7">
        <v>0</v>
      </c>
      <c r="G487" s="7">
        <v>1</v>
      </c>
      <c r="H487" s="3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2271303.2000000002</v>
      </c>
      <c r="O487">
        <f t="shared" si="46"/>
        <v>2270530.7999999998</v>
      </c>
      <c r="P487">
        <f t="shared" si="47"/>
        <v>220160.4</v>
      </c>
      <c r="Q487">
        <f t="shared" si="48"/>
        <v>476133.4</v>
      </c>
      <c r="R487">
        <f t="shared" si="49"/>
        <v>192620.2</v>
      </c>
      <c r="S487">
        <f t="shared" si="50"/>
        <v>344066.8</v>
      </c>
      <c r="T487">
        <f t="shared" si="51"/>
        <v>3639713.4</v>
      </c>
      <c r="U487">
        <f t="shared" si="52"/>
        <v>3016737.6</v>
      </c>
      <c r="V487">
        <f t="shared" si="53"/>
        <v>127144.4</v>
      </c>
      <c r="W487">
        <f t="shared" si="54"/>
        <v>263412.40000000002</v>
      </c>
      <c r="Y487">
        <f t="shared" si="55"/>
        <v>2.7595131870126348</v>
      </c>
      <c r="Z487">
        <f t="shared" si="56"/>
        <v>1.797630368033424</v>
      </c>
      <c r="AA487">
        <f t="shared" si="57"/>
        <v>1.789517319842707</v>
      </c>
      <c r="AB487">
        <f t="shared" si="58"/>
        <v>0.50421819040202531</v>
      </c>
      <c r="AC487">
        <f t="shared" si="59"/>
        <v>0.74184850039891903</v>
      </c>
      <c r="AD487">
        <f t="shared" si="60"/>
        <v>1.002329894597642</v>
      </c>
      <c r="AE487">
        <f t="shared" si="61"/>
        <v>1.216937854792923</v>
      </c>
      <c r="AF487">
        <f t="shared" si="62"/>
        <v>1.3330119782127441</v>
      </c>
      <c r="AG487">
        <f t="shared" si="63"/>
        <v>1.500049814768136</v>
      </c>
      <c r="AH487">
        <f t="shared" si="64"/>
        <v>1.2663927358109499</v>
      </c>
      <c r="AI487">
        <f t="shared" si="65"/>
        <v>1.442988000554033</v>
      </c>
      <c r="AK487">
        <f t="shared" si="66"/>
        <v>2.7595131870126348</v>
      </c>
      <c r="AL487">
        <f t="shared" si="67"/>
        <v>0.54537768680602317</v>
      </c>
      <c r="AM487">
        <f t="shared" si="68"/>
        <v>0.54195839921012523</v>
      </c>
      <c r="AN487">
        <f t="shared" si="69"/>
        <v>0.50421819040202531</v>
      </c>
      <c r="AO487">
        <f t="shared" si="70"/>
        <v>0.31076799880538603</v>
      </c>
      <c r="AP487">
        <f t="shared" si="71"/>
        <v>1.002329894597642</v>
      </c>
      <c r="AQ487">
        <f t="shared" si="72"/>
        <v>0.3483567565912381</v>
      </c>
      <c r="AR487">
        <f t="shared" si="73"/>
        <v>0.76268229482229799</v>
      </c>
      <c r="AS487">
        <f t="shared" si="74"/>
        <v>0.31263267380418253</v>
      </c>
      <c r="AT487">
        <f t="shared" si="75"/>
        <v>1.2663927358109499</v>
      </c>
      <c r="AU487">
        <f t="shared" si="76"/>
        <v>0.56390739980852234</v>
      </c>
    </row>
    <row r="488" spans="1:47" x14ac:dyDescent="0.3">
      <c r="A488">
        <v>7</v>
      </c>
      <c r="B488" t="s">
        <v>142</v>
      </c>
      <c r="C488" t="s">
        <v>143</v>
      </c>
      <c r="D488" t="s">
        <v>144</v>
      </c>
      <c r="F488" s="7">
        <v>0</v>
      </c>
      <c r="G488" s="7">
        <v>0</v>
      </c>
      <c r="H488" s="3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>
        <f t="shared" si="44"/>
        <v>1828962.8</v>
      </c>
      <c r="N488">
        <f t="shared" si="45"/>
        <v>1828962.8</v>
      </c>
      <c r="O488">
        <f t="shared" si="46"/>
        <v>1828962.8</v>
      </c>
      <c r="P488">
        <f t="shared" si="47"/>
        <v>2367710.2000000002</v>
      </c>
      <c r="Q488">
        <f t="shared" si="48"/>
        <v>2367710.2000000002</v>
      </c>
      <c r="R488">
        <f t="shared" si="49"/>
        <v>1918490.2</v>
      </c>
      <c r="S488">
        <f t="shared" si="50"/>
        <v>1918490.2</v>
      </c>
      <c r="T488">
        <f t="shared" si="51"/>
        <v>4494862</v>
      </c>
      <c r="U488">
        <f t="shared" si="52"/>
        <v>4494862</v>
      </c>
      <c r="V488">
        <f t="shared" si="53"/>
        <v>2724994.2</v>
      </c>
      <c r="W488">
        <f t="shared" si="54"/>
        <v>2724994.2</v>
      </c>
      <c r="Y488">
        <f t="shared" si="55"/>
        <v>2.190479582617991</v>
      </c>
      <c r="Z488">
        <f t="shared" si="56"/>
        <v>2.190479582617991</v>
      </c>
      <c r="AA488">
        <f t="shared" si="57"/>
        <v>2.190479582617991</v>
      </c>
      <c r="AB488">
        <f t="shared" si="58"/>
        <v>2.5475305345986272</v>
      </c>
      <c r="AC488">
        <f t="shared" si="59"/>
        <v>2.5475305345986272</v>
      </c>
      <c r="AD488">
        <f t="shared" si="60"/>
        <v>1.569611146196257</v>
      </c>
      <c r="AE488">
        <f t="shared" si="61"/>
        <v>1.569611146196257</v>
      </c>
      <c r="AF488">
        <f t="shared" si="62"/>
        <v>2.0396670167450792</v>
      </c>
      <c r="AG488">
        <f t="shared" si="63"/>
        <v>2.0396670167450792</v>
      </c>
      <c r="AH488">
        <f t="shared" si="64"/>
        <v>3.77987868260825</v>
      </c>
      <c r="AI488">
        <f t="shared" si="65"/>
        <v>3.77987868260825</v>
      </c>
      <c r="AK488">
        <f t="shared" si="66"/>
        <v>2.190479582617991</v>
      </c>
      <c r="AL488">
        <f t="shared" si="67"/>
        <v>2.190479582617991</v>
      </c>
      <c r="AM488">
        <f t="shared" si="68"/>
        <v>2.190479582617991</v>
      </c>
      <c r="AN488">
        <f t="shared" si="69"/>
        <v>2.5475305345986272</v>
      </c>
      <c r="AO488">
        <f t="shared" si="70"/>
        <v>2.5475305345986272</v>
      </c>
      <c r="AP488">
        <f t="shared" si="71"/>
        <v>1.569611146196257</v>
      </c>
      <c r="AQ488">
        <f t="shared" si="72"/>
        <v>1.569611146196257</v>
      </c>
      <c r="AR488">
        <f t="shared" si="73"/>
        <v>1.295615135168191</v>
      </c>
      <c r="AS488">
        <f t="shared" si="74"/>
        <v>1.295615135168191</v>
      </c>
      <c r="AT488">
        <f t="shared" si="75"/>
        <v>3.77987868260825</v>
      </c>
      <c r="AU488">
        <f t="shared" si="76"/>
        <v>3.77987868260825</v>
      </c>
    </row>
    <row r="489" spans="1:47" x14ac:dyDescent="0.3">
      <c r="A489">
        <v>7</v>
      </c>
      <c r="B489" t="s">
        <v>145</v>
      </c>
      <c r="C489" t="s">
        <v>143</v>
      </c>
      <c r="D489" t="s">
        <v>144</v>
      </c>
      <c r="F489" s="7">
        <v>0</v>
      </c>
      <c r="G489" s="7">
        <v>1</v>
      </c>
      <c r="H489" s="3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2761441.4</v>
      </c>
      <c r="O489">
        <f t="shared" si="46"/>
        <v>2777805.4</v>
      </c>
      <c r="P489">
        <f t="shared" si="47"/>
        <v>5105499.2</v>
      </c>
      <c r="Q489">
        <f t="shared" si="48"/>
        <v>2295930</v>
      </c>
      <c r="R489">
        <f t="shared" si="49"/>
        <v>1304607.3999999999</v>
      </c>
      <c r="S489">
        <f t="shared" si="50"/>
        <v>1627923.2</v>
      </c>
      <c r="T489">
        <f t="shared" si="51"/>
        <v>4489197</v>
      </c>
      <c r="U489">
        <f t="shared" si="52"/>
        <v>3866654.2</v>
      </c>
      <c r="V489">
        <f t="shared" si="53"/>
        <v>2425089.7999999998</v>
      </c>
      <c r="W489">
        <f t="shared" si="54"/>
        <v>2027175.8</v>
      </c>
      <c r="Y489">
        <f t="shared" si="55"/>
        <v>1.9153765586088409</v>
      </c>
      <c r="Z489">
        <f t="shared" si="56"/>
        <v>2.2358323748456308</v>
      </c>
      <c r="AA489">
        <f t="shared" si="57"/>
        <v>2.2286929033813072</v>
      </c>
      <c r="AB489">
        <f t="shared" si="58"/>
        <v>4.990220860604313</v>
      </c>
      <c r="AC489">
        <f t="shared" si="59"/>
        <v>2.468115028814645</v>
      </c>
      <c r="AD489">
        <f t="shared" si="60"/>
        <v>1.908746965590399</v>
      </c>
      <c r="AE489">
        <f t="shared" si="61"/>
        <v>2.1678206088021401</v>
      </c>
      <c r="AF489">
        <f t="shared" si="62"/>
        <v>2.050015760189853</v>
      </c>
      <c r="AG489">
        <f t="shared" si="63"/>
        <v>2.1667330908356228</v>
      </c>
      <c r="AH489">
        <f t="shared" si="64"/>
        <v>3.8043624685960822</v>
      </c>
      <c r="AI489">
        <f t="shared" si="65"/>
        <v>3.2706260858220051</v>
      </c>
      <c r="AK489">
        <f t="shared" si="66"/>
        <v>1.9153765586088409</v>
      </c>
      <c r="AL489">
        <f t="shared" si="67"/>
        <v>0.5701440146076493</v>
      </c>
      <c r="AM489">
        <f t="shared" si="68"/>
        <v>0.57631984802428637</v>
      </c>
      <c r="AN489">
        <f t="shared" si="69"/>
        <v>4.990220860604313</v>
      </c>
      <c r="AO489">
        <f t="shared" si="70"/>
        <v>0.75185351680265744</v>
      </c>
      <c r="AP489">
        <f t="shared" si="71"/>
        <v>1.908746965590399</v>
      </c>
      <c r="AQ489">
        <f t="shared" si="72"/>
        <v>0.51364417857257649</v>
      </c>
      <c r="AR489">
        <f t="shared" si="73"/>
        <v>1.3068066815962081</v>
      </c>
      <c r="AS489">
        <f t="shared" si="74"/>
        <v>0.362328533816617</v>
      </c>
      <c r="AT489">
        <f t="shared" si="75"/>
        <v>3.8043624685960822</v>
      </c>
      <c r="AU489">
        <f t="shared" si="76"/>
        <v>1.553241985011846</v>
      </c>
    </row>
    <row r="490" spans="1:47" x14ac:dyDescent="0.3">
      <c r="A490">
        <v>7</v>
      </c>
      <c r="B490" t="s">
        <v>146</v>
      </c>
      <c r="C490" t="s">
        <v>143</v>
      </c>
      <c r="D490" t="s">
        <v>144</v>
      </c>
      <c r="F490" s="7">
        <v>0</v>
      </c>
      <c r="G490" s="7">
        <v>1</v>
      </c>
      <c r="H490" s="3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1042901.2</v>
      </c>
      <c r="O490">
        <f t="shared" si="46"/>
        <v>1042662.2</v>
      </c>
      <c r="P490">
        <f t="shared" si="47"/>
        <v>744153.2</v>
      </c>
      <c r="Q490">
        <f t="shared" si="48"/>
        <v>564972.80000000005</v>
      </c>
      <c r="R490">
        <f t="shared" si="49"/>
        <v>443271</v>
      </c>
      <c r="S490">
        <f t="shared" si="50"/>
        <v>384354.2</v>
      </c>
      <c r="T490">
        <f t="shared" si="51"/>
        <v>3433139.4</v>
      </c>
      <c r="U490">
        <f t="shared" si="52"/>
        <v>2862142.4</v>
      </c>
      <c r="V490">
        <f t="shared" si="53"/>
        <v>1904336.6</v>
      </c>
      <c r="W490">
        <f t="shared" si="54"/>
        <v>1476173.2</v>
      </c>
      <c r="Y490">
        <f t="shared" si="55"/>
        <v>0.75270760840503503</v>
      </c>
      <c r="Z490">
        <f t="shared" si="56"/>
        <v>1.134752772876527</v>
      </c>
      <c r="AA490">
        <f t="shared" si="57"/>
        <v>1.130611220037099</v>
      </c>
      <c r="AB490">
        <f t="shared" si="58"/>
        <v>0.70455677300051323</v>
      </c>
      <c r="AC490">
        <f t="shared" si="59"/>
        <v>0.84741016940679403</v>
      </c>
      <c r="AD490">
        <f t="shared" si="60"/>
        <v>0.93452630040701479</v>
      </c>
      <c r="AE490">
        <f t="shared" si="61"/>
        <v>1.076493974565528</v>
      </c>
      <c r="AF490">
        <f t="shared" si="62"/>
        <v>1.13511821560096</v>
      </c>
      <c r="AG490">
        <f t="shared" si="63"/>
        <v>1.3080720105208461</v>
      </c>
      <c r="AH490">
        <f t="shared" si="64"/>
        <v>3.622619425784797</v>
      </c>
      <c r="AI490">
        <f t="shared" si="65"/>
        <v>2.2888453930150718</v>
      </c>
      <c r="AK490">
        <f t="shared" si="66"/>
        <v>0.75270760840503503</v>
      </c>
      <c r="AL490">
        <f t="shared" si="67"/>
        <v>0.37426482400624078</v>
      </c>
      <c r="AM490">
        <f t="shared" si="68"/>
        <v>0.37200376220280312</v>
      </c>
      <c r="AN490">
        <f t="shared" si="69"/>
        <v>0.70455677300051323</v>
      </c>
      <c r="AO490">
        <f t="shared" si="70"/>
        <v>0.3005337295937352</v>
      </c>
      <c r="AP490">
        <f t="shared" si="71"/>
        <v>0.93452630040701479</v>
      </c>
      <c r="AQ490">
        <f t="shared" si="72"/>
        <v>0.31189370757201679</v>
      </c>
      <c r="AR490">
        <f t="shared" si="73"/>
        <v>0.66313641479937357</v>
      </c>
      <c r="AS490">
        <f t="shared" si="74"/>
        <v>0.29033403885550801</v>
      </c>
      <c r="AT490">
        <f t="shared" si="75"/>
        <v>3.622619425784797</v>
      </c>
      <c r="AU490">
        <f t="shared" si="76"/>
        <v>0.74713340779999271</v>
      </c>
    </row>
    <row r="491" spans="1:47" x14ac:dyDescent="0.3">
      <c r="A491">
        <v>7</v>
      </c>
      <c r="B491" t="s">
        <v>147</v>
      </c>
      <c r="C491" t="s">
        <v>143</v>
      </c>
      <c r="D491" t="s">
        <v>144</v>
      </c>
      <c r="F491" s="7">
        <v>0</v>
      </c>
      <c r="G491" s="7">
        <v>0</v>
      </c>
      <c r="H491" s="3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371720</v>
      </c>
      <c r="O491">
        <f t="shared" si="46"/>
        <v>371712.4</v>
      </c>
      <c r="P491">
        <f t="shared" si="47"/>
        <v>286664</v>
      </c>
      <c r="Q491">
        <f t="shared" si="48"/>
        <v>281207.8</v>
      </c>
      <c r="R491">
        <f t="shared" si="49"/>
        <v>171907.4</v>
      </c>
      <c r="S491">
        <f t="shared" si="50"/>
        <v>155090</v>
      </c>
      <c r="T491">
        <f t="shared" si="51"/>
        <v>3430780.6</v>
      </c>
      <c r="U491">
        <f t="shared" si="52"/>
        <v>2852052.8</v>
      </c>
      <c r="V491">
        <f t="shared" si="53"/>
        <v>2180.1999999999998</v>
      </c>
      <c r="W491">
        <f t="shared" si="54"/>
        <v>74736.399999999994</v>
      </c>
      <c r="Y491">
        <f t="shared" si="55"/>
        <v>0.42581403621006758</v>
      </c>
      <c r="Z491">
        <f t="shared" si="56"/>
        <v>0.62291700219502677</v>
      </c>
      <c r="AA491">
        <f t="shared" si="57"/>
        <v>0.59458336643874643</v>
      </c>
      <c r="AB491">
        <f t="shared" si="58"/>
        <v>0.42653923240432051</v>
      </c>
      <c r="AC491">
        <f t="shared" si="59"/>
        <v>0.6033260322001297</v>
      </c>
      <c r="AD491">
        <f t="shared" si="60"/>
        <v>0.5743349999887869</v>
      </c>
      <c r="AE491">
        <f t="shared" si="61"/>
        <v>0.78228025474818419</v>
      </c>
      <c r="AF491">
        <f t="shared" si="62"/>
        <v>1.142054441617802</v>
      </c>
      <c r="AG491">
        <f t="shared" si="63"/>
        <v>1.302341172995511</v>
      </c>
      <c r="AH491">
        <f t="shared" si="64"/>
        <v>1.1458660766947961E-2</v>
      </c>
      <c r="AI491">
        <f t="shared" si="65"/>
        <v>0.33384601661236962</v>
      </c>
      <c r="AK491">
        <f t="shared" si="66"/>
        <v>0.42581403621006758</v>
      </c>
      <c r="AL491">
        <f t="shared" si="67"/>
        <v>0.25613921923795713</v>
      </c>
      <c r="AM491">
        <f t="shared" si="68"/>
        <v>0.24274445100454611</v>
      </c>
      <c r="AN491">
        <f t="shared" si="69"/>
        <v>0.42653923240432051</v>
      </c>
      <c r="AO491">
        <f t="shared" si="70"/>
        <v>0.24625673300179191</v>
      </c>
      <c r="AP491">
        <f t="shared" si="71"/>
        <v>0.5743349999887869</v>
      </c>
      <c r="AQ491">
        <f t="shared" si="72"/>
        <v>0.26137371119111769</v>
      </c>
      <c r="AR491">
        <f t="shared" si="73"/>
        <v>0.67345440600765871</v>
      </c>
      <c r="AS491">
        <f t="shared" si="74"/>
        <v>0.2876794275827706</v>
      </c>
      <c r="AT491">
        <f t="shared" si="75"/>
        <v>1.1458660766947961E-2</v>
      </c>
      <c r="AU491">
        <f t="shared" si="76"/>
        <v>0.26230507557047528</v>
      </c>
    </row>
    <row r="492" spans="1:47" x14ac:dyDescent="0.3">
      <c r="A492">
        <v>7</v>
      </c>
      <c r="B492" t="s">
        <v>148</v>
      </c>
      <c r="C492" t="s">
        <v>143</v>
      </c>
      <c r="D492" t="s">
        <v>144</v>
      </c>
      <c r="F492" s="7">
        <v>0</v>
      </c>
      <c r="G492" s="7">
        <v>1</v>
      </c>
      <c r="H492" s="3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1299848.8</v>
      </c>
      <c r="O492">
        <f t="shared" si="46"/>
        <v>1303482.6000000001</v>
      </c>
      <c r="P492">
        <f t="shared" si="47"/>
        <v>337782.4</v>
      </c>
      <c r="Q492">
        <f t="shared" si="48"/>
        <v>428614.8</v>
      </c>
      <c r="R492">
        <f t="shared" si="49"/>
        <v>228596.2</v>
      </c>
      <c r="S492">
        <f t="shared" si="50"/>
        <v>286782</v>
      </c>
      <c r="T492">
        <f t="shared" si="51"/>
        <v>3588745.6</v>
      </c>
      <c r="U492">
        <f t="shared" si="52"/>
        <v>3055240.4</v>
      </c>
      <c r="V492">
        <f t="shared" si="53"/>
        <v>442924.2</v>
      </c>
      <c r="W492">
        <f t="shared" si="54"/>
        <v>448253.8</v>
      </c>
      <c r="Y492">
        <f t="shared" si="55"/>
        <v>1.091333225986455</v>
      </c>
      <c r="Z492">
        <f t="shared" si="56"/>
        <v>1.3146630179136991</v>
      </c>
      <c r="AA492">
        <f t="shared" si="57"/>
        <v>1.30188192439964</v>
      </c>
      <c r="AB492">
        <f t="shared" si="58"/>
        <v>0.82509589999681343</v>
      </c>
      <c r="AC492">
        <f t="shared" si="59"/>
        <v>0.88250378459924828</v>
      </c>
      <c r="AD492">
        <f t="shared" si="60"/>
        <v>1.0659492122125811</v>
      </c>
      <c r="AE492">
        <f t="shared" si="61"/>
        <v>1.1690588422119621</v>
      </c>
      <c r="AF492">
        <f t="shared" si="62"/>
        <v>1.321896675380412</v>
      </c>
      <c r="AG492">
        <f t="shared" si="63"/>
        <v>1.521259815816302</v>
      </c>
      <c r="AH492">
        <f t="shared" si="64"/>
        <v>2.6696710433927371</v>
      </c>
      <c r="AI492">
        <f t="shared" si="65"/>
        <v>1.7702391209662891</v>
      </c>
      <c r="AK492">
        <f t="shared" si="66"/>
        <v>1.091333225986455</v>
      </c>
      <c r="AL492">
        <f t="shared" si="67"/>
        <v>0.47866857057670131</v>
      </c>
      <c r="AM492">
        <f t="shared" si="68"/>
        <v>0.47672143541276463</v>
      </c>
      <c r="AN492">
        <f t="shared" si="69"/>
        <v>0.82509589999681343</v>
      </c>
      <c r="AO492">
        <f t="shared" si="70"/>
        <v>0.32369800239976032</v>
      </c>
      <c r="AP492">
        <f t="shared" si="71"/>
        <v>1.0659492122125811</v>
      </c>
      <c r="AQ492">
        <f t="shared" si="72"/>
        <v>0.35558756038080902</v>
      </c>
      <c r="AR492">
        <f t="shared" si="73"/>
        <v>0.76763936298666524</v>
      </c>
      <c r="AS492">
        <f t="shared" si="74"/>
        <v>0.31599546038778492</v>
      </c>
      <c r="AT492">
        <f t="shared" si="75"/>
        <v>2.6696710433927371</v>
      </c>
      <c r="AU492">
        <f t="shared" si="76"/>
        <v>0.77068946459330623</v>
      </c>
    </row>
    <row r="493" spans="1:47" x14ac:dyDescent="0.3">
      <c r="A493">
        <v>7</v>
      </c>
      <c r="B493" t="s">
        <v>149</v>
      </c>
      <c r="C493" t="s">
        <v>143</v>
      </c>
      <c r="D493" t="s">
        <v>144</v>
      </c>
      <c r="F493" s="7">
        <v>0</v>
      </c>
      <c r="G493" s="7">
        <v>0</v>
      </c>
      <c r="H493" s="3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2212213.6</v>
      </c>
      <c r="O493">
        <f t="shared" si="46"/>
        <v>2211958.2000000002</v>
      </c>
      <c r="P493">
        <f t="shared" si="47"/>
        <v>801108.4</v>
      </c>
      <c r="Q493">
        <f t="shared" si="48"/>
        <v>832188.2</v>
      </c>
      <c r="R493">
        <f t="shared" si="49"/>
        <v>417479.4</v>
      </c>
      <c r="S493">
        <f t="shared" si="50"/>
        <v>386503.2</v>
      </c>
      <c r="T493">
        <f t="shared" si="51"/>
        <v>3588444.8</v>
      </c>
      <c r="U493">
        <f t="shared" si="52"/>
        <v>3044479.8</v>
      </c>
      <c r="V493">
        <f t="shared" si="53"/>
        <v>1857730</v>
      </c>
      <c r="W493">
        <f t="shared" si="54"/>
        <v>1805225.8</v>
      </c>
      <c r="Y493">
        <f t="shared" si="55"/>
        <v>2.0796073657926168</v>
      </c>
      <c r="Z493">
        <f t="shared" si="56"/>
        <v>1.8236603375524281</v>
      </c>
      <c r="AA493">
        <f t="shared" si="57"/>
        <v>1.805252054403536</v>
      </c>
      <c r="AB493">
        <f t="shared" si="58"/>
        <v>0.95052970240649304</v>
      </c>
      <c r="AC493">
        <f t="shared" si="59"/>
        <v>1.057198248413624</v>
      </c>
      <c r="AD493">
        <f t="shared" si="60"/>
        <v>1.063704423396848</v>
      </c>
      <c r="AE493">
        <f t="shared" si="61"/>
        <v>1.1776802717824471</v>
      </c>
      <c r="AF493">
        <f t="shared" si="62"/>
        <v>1.2984584072139109</v>
      </c>
      <c r="AG493">
        <f t="shared" si="63"/>
        <v>1.490473822550848</v>
      </c>
      <c r="AH493">
        <f t="shared" si="64"/>
        <v>2.713947548589204</v>
      </c>
      <c r="AI493">
        <f t="shared" si="65"/>
        <v>2.1757328355568459</v>
      </c>
      <c r="AK493">
        <f t="shared" si="66"/>
        <v>2.0796073657926168</v>
      </c>
      <c r="AL493">
        <f t="shared" si="67"/>
        <v>0.50910793258808551</v>
      </c>
      <c r="AM493">
        <f t="shared" si="68"/>
        <v>0.50474108337657531</v>
      </c>
      <c r="AN493">
        <f t="shared" si="69"/>
        <v>0.95052970240649304</v>
      </c>
      <c r="AO493">
        <f t="shared" si="70"/>
        <v>0.42002540960384072</v>
      </c>
      <c r="AP493">
        <f t="shared" si="71"/>
        <v>1.063704423396848</v>
      </c>
      <c r="AQ493">
        <f t="shared" si="72"/>
        <v>0.3467360085924156</v>
      </c>
      <c r="AR493">
        <f t="shared" si="73"/>
        <v>0.7609435520251282</v>
      </c>
      <c r="AS493">
        <f t="shared" si="74"/>
        <v>0.30422113201348111</v>
      </c>
      <c r="AT493">
        <f t="shared" si="75"/>
        <v>2.713947548589204</v>
      </c>
      <c r="AU493">
        <f t="shared" si="76"/>
        <v>0.67389199518365783</v>
      </c>
    </row>
    <row r="494" spans="1:47" x14ac:dyDescent="0.3">
      <c r="A494">
        <v>7</v>
      </c>
      <c r="B494" t="s">
        <v>150</v>
      </c>
      <c r="C494" t="s">
        <v>143</v>
      </c>
      <c r="D494" t="s">
        <v>144</v>
      </c>
      <c r="F494" s="7">
        <v>0</v>
      </c>
      <c r="G494" s="7">
        <v>0</v>
      </c>
      <c r="H494" s="3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1957375.2</v>
      </c>
      <c r="O494">
        <f t="shared" si="46"/>
        <v>1958176.8</v>
      </c>
      <c r="P494">
        <f t="shared" si="47"/>
        <v>215606.2</v>
      </c>
      <c r="Q494">
        <f t="shared" si="48"/>
        <v>829340.4</v>
      </c>
      <c r="R494">
        <f t="shared" si="49"/>
        <v>187974.39999999999</v>
      </c>
      <c r="S494">
        <f t="shared" si="50"/>
        <v>591415</v>
      </c>
      <c r="T494">
        <f t="shared" si="51"/>
        <v>3963477.2</v>
      </c>
      <c r="U494">
        <f t="shared" si="52"/>
        <v>3286439.8</v>
      </c>
      <c r="V494">
        <f t="shared" si="53"/>
        <v>48474.400000000001</v>
      </c>
      <c r="W494">
        <f t="shared" si="54"/>
        <v>267576</v>
      </c>
      <c r="Y494">
        <f t="shared" si="55"/>
        <v>0.67784988938365132</v>
      </c>
      <c r="Z494">
        <f t="shared" si="56"/>
        <v>1.5924560694140379</v>
      </c>
      <c r="AA494">
        <f t="shared" si="57"/>
        <v>1.588945183961187</v>
      </c>
      <c r="AB494">
        <f t="shared" si="58"/>
        <v>0.40093346979701888</v>
      </c>
      <c r="AC494">
        <f t="shared" si="59"/>
        <v>0.91577370940649416</v>
      </c>
      <c r="AD494">
        <f t="shared" si="60"/>
        <v>0.94898202439071611</v>
      </c>
      <c r="AE494">
        <f t="shared" si="61"/>
        <v>1.345141641364898</v>
      </c>
      <c r="AF494">
        <f t="shared" si="62"/>
        <v>1.473995661444496</v>
      </c>
      <c r="AG494">
        <f t="shared" si="63"/>
        <v>1.5703291649348099</v>
      </c>
      <c r="AH494">
        <f t="shared" si="64"/>
        <v>0.46470917279366403</v>
      </c>
      <c r="AI494">
        <f t="shared" si="65"/>
        <v>1.174422464589588</v>
      </c>
      <c r="AK494">
        <f t="shared" si="66"/>
        <v>0.67784988938365132</v>
      </c>
      <c r="AL494">
        <f t="shared" si="67"/>
        <v>0.59541430440731347</v>
      </c>
      <c r="AM494">
        <f t="shared" si="68"/>
        <v>0.58972636477556084</v>
      </c>
      <c r="AN494">
        <f t="shared" si="69"/>
        <v>0.40093346979701888</v>
      </c>
      <c r="AO494">
        <f t="shared" si="70"/>
        <v>0.40497644320712423</v>
      </c>
      <c r="AP494">
        <f t="shared" si="71"/>
        <v>0.94898202439071611</v>
      </c>
      <c r="AQ494">
        <f t="shared" si="72"/>
        <v>0.40817883596755572</v>
      </c>
      <c r="AR494">
        <f t="shared" si="73"/>
        <v>1.03732711984776</v>
      </c>
      <c r="AS494">
        <f t="shared" si="74"/>
        <v>0.3279216604074463</v>
      </c>
      <c r="AT494">
        <f t="shared" si="75"/>
        <v>0.46470917279366403</v>
      </c>
      <c r="AU494">
        <f t="shared" si="76"/>
        <v>0.51759064820362255</v>
      </c>
    </row>
    <row r="495" spans="1:47" x14ac:dyDescent="0.3">
      <c r="A495">
        <v>7</v>
      </c>
      <c r="B495" t="s">
        <v>151</v>
      </c>
      <c r="C495" t="s">
        <v>143</v>
      </c>
      <c r="D495" t="s">
        <v>144</v>
      </c>
      <c r="F495" s="7">
        <v>0</v>
      </c>
      <c r="G495" s="7">
        <v>1</v>
      </c>
      <c r="H495" s="3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>
        <f t="shared" si="44"/>
        <v>26181323.199999999</v>
      </c>
      <c r="N495">
        <f t="shared" si="45"/>
        <v>26181323.199999999</v>
      </c>
      <c r="O495">
        <f t="shared" si="46"/>
        <v>26181323.199999999</v>
      </c>
      <c r="P495">
        <f t="shared" si="47"/>
        <v>13188082.199999999</v>
      </c>
      <c r="Q495">
        <f t="shared" si="48"/>
        <v>13188082.199999999</v>
      </c>
      <c r="R495">
        <f t="shared" si="49"/>
        <v>13092143</v>
      </c>
      <c r="S495">
        <f t="shared" si="50"/>
        <v>13092143</v>
      </c>
      <c r="T495">
        <f t="shared" si="51"/>
        <v>3990877.2</v>
      </c>
      <c r="U495">
        <f t="shared" si="52"/>
        <v>3990877.2</v>
      </c>
      <c r="V495">
        <f t="shared" si="53"/>
        <v>20097045</v>
      </c>
      <c r="W495">
        <f t="shared" si="54"/>
        <v>20097045</v>
      </c>
      <c r="Y495">
        <f t="shared" si="55"/>
        <v>56.868704253004402</v>
      </c>
      <c r="Z495">
        <f t="shared" si="56"/>
        <v>56.868704253004402</v>
      </c>
      <c r="AA495">
        <f t="shared" si="57"/>
        <v>56.868704253004402</v>
      </c>
      <c r="AB495">
        <f t="shared" si="58"/>
        <v>74.047229079200775</v>
      </c>
      <c r="AC495">
        <f t="shared" si="59"/>
        <v>74.047229079200775</v>
      </c>
      <c r="AD495">
        <f t="shared" si="60"/>
        <v>50.348526494798719</v>
      </c>
      <c r="AE495">
        <f t="shared" si="61"/>
        <v>50.348526494798719</v>
      </c>
      <c r="AF495">
        <f t="shared" si="62"/>
        <v>1.453290613181889</v>
      </c>
      <c r="AG495">
        <f t="shared" si="63"/>
        <v>1.453290613181889</v>
      </c>
      <c r="AH495">
        <f t="shared" si="64"/>
        <v>12.404020391404631</v>
      </c>
      <c r="AI495">
        <f t="shared" si="65"/>
        <v>12.404020391404631</v>
      </c>
      <c r="AK495">
        <f t="shared" si="66"/>
        <v>56.868704253004402</v>
      </c>
      <c r="AL495">
        <f t="shared" si="67"/>
        <v>56.868704253004402</v>
      </c>
      <c r="AM495">
        <f t="shared" si="68"/>
        <v>56.868704253004402</v>
      </c>
      <c r="AN495">
        <f t="shared" si="69"/>
        <v>74.047229079200775</v>
      </c>
      <c r="AO495">
        <f t="shared" si="70"/>
        <v>74.047229079200775</v>
      </c>
      <c r="AP495">
        <f t="shared" si="71"/>
        <v>50.348526494798719</v>
      </c>
      <c r="AQ495">
        <f t="shared" si="72"/>
        <v>50.348526494798719</v>
      </c>
      <c r="AR495">
        <f t="shared" si="73"/>
        <v>1.032426863990259</v>
      </c>
      <c r="AS495">
        <f t="shared" si="74"/>
        <v>1.032426863990259</v>
      </c>
      <c r="AT495">
        <f t="shared" si="75"/>
        <v>12.404020391404631</v>
      </c>
      <c r="AU495">
        <f t="shared" si="76"/>
        <v>12.404020391404631</v>
      </c>
    </row>
    <row r="496" spans="1:47" x14ac:dyDescent="0.3">
      <c r="A496">
        <v>8</v>
      </c>
      <c r="B496" t="s">
        <v>152</v>
      </c>
      <c r="C496" t="s">
        <v>153</v>
      </c>
      <c r="D496" t="s">
        <v>154</v>
      </c>
      <c r="F496" s="7">
        <v>0</v>
      </c>
      <c r="G496" s="7">
        <v>0</v>
      </c>
      <c r="H496" s="3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>
        <f t="shared" si="44"/>
        <v>1503065.2</v>
      </c>
      <c r="N496">
        <f t="shared" si="45"/>
        <v>1503065.2</v>
      </c>
      <c r="O496">
        <f t="shared" si="46"/>
        <v>1503065.2</v>
      </c>
      <c r="P496">
        <f t="shared" si="47"/>
        <v>3564945.4</v>
      </c>
      <c r="Q496">
        <f t="shared" si="48"/>
        <v>3564945.4</v>
      </c>
      <c r="R496">
        <f t="shared" si="49"/>
        <v>2087235.8</v>
      </c>
      <c r="S496">
        <f t="shared" si="50"/>
        <v>2087235.8</v>
      </c>
      <c r="T496">
        <f t="shared" si="51"/>
        <v>3146374.2</v>
      </c>
      <c r="U496">
        <f t="shared" si="52"/>
        <v>3146374.2</v>
      </c>
      <c r="V496">
        <f t="shared" si="53"/>
        <v>2710669.2</v>
      </c>
      <c r="W496">
        <f t="shared" si="54"/>
        <v>2710669.2</v>
      </c>
      <c r="Y496">
        <f t="shared" si="55"/>
        <v>1.8124786332016809</v>
      </c>
      <c r="Z496">
        <f t="shared" si="56"/>
        <v>1.8124786332016809</v>
      </c>
      <c r="AA496">
        <f t="shared" si="57"/>
        <v>1.8124786332016809</v>
      </c>
      <c r="AB496">
        <f t="shared" si="58"/>
        <v>3.513906522199977</v>
      </c>
      <c r="AC496">
        <f t="shared" si="59"/>
        <v>3.513906522199977</v>
      </c>
      <c r="AD496">
        <f t="shared" si="60"/>
        <v>2.5756617771927268</v>
      </c>
      <c r="AE496">
        <f t="shared" si="61"/>
        <v>2.5756617771927268</v>
      </c>
      <c r="AF496">
        <f t="shared" si="62"/>
        <v>0.91289934678934515</v>
      </c>
      <c r="AG496">
        <f t="shared" si="63"/>
        <v>0.91289934678934515</v>
      </c>
      <c r="AH496">
        <f t="shared" si="64"/>
        <v>3.5862723144004121</v>
      </c>
      <c r="AI496">
        <f t="shared" si="65"/>
        <v>3.5862723144004121</v>
      </c>
      <c r="AK496">
        <f t="shared" si="66"/>
        <v>1.8124786332016809</v>
      </c>
      <c r="AL496">
        <f t="shared" si="67"/>
        <v>1.8124786332016809</v>
      </c>
      <c r="AM496">
        <f t="shared" si="68"/>
        <v>1.8124786332016809</v>
      </c>
      <c r="AN496">
        <f t="shared" si="69"/>
        <v>3.513906522199977</v>
      </c>
      <c r="AO496">
        <f t="shared" si="70"/>
        <v>3.513906522199977</v>
      </c>
      <c r="AP496">
        <f t="shared" si="71"/>
        <v>2.5756617771927268</v>
      </c>
      <c r="AQ496">
        <f t="shared" si="72"/>
        <v>2.5756617771927268</v>
      </c>
      <c r="AR496">
        <f t="shared" si="73"/>
        <v>0.47749433399876579</v>
      </c>
      <c r="AS496">
        <f t="shared" si="74"/>
        <v>0.47749433399876579</v>
      </c>
      <c r="AT496">
        <f t="shared" si="75"/>
        <v>3.5862723144004121</v>
      </c>
      <c r="AU496">
        <f t="shared" si="76"/>
        <v>3.5862723144004121</v>
      </c>
    </row>
    <row r="497" spans="1:47" x14ac:dyDescent="0.3">
      <c r="A497">
        <v>8</v>
      </c>
      <c r="B497" t="s">
        <v>155</v>
      </c>
      <c r="C497" t="s">
        <v>153</v>
      </c>
      <c r="D497" t="s">
        <v>154</v>
      </c>
      <c r="F497" s="7">
        <v>0</v>
      </c>
      <c r="G497" s="7">
        <v>1</v>
      </c>
      <c r="H497" s="3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>
        <f t="shared" si="44"/>
        <v>671697</v>
      </c>
      <c r="N497">
        <f t="shared" si="45"/>
        <v>671697</v>
      </c>
      <c r="O497">
        <f t="shared" si="46"/>
        <v>671697</v>
      </c>
      <c r="P497">
        <f t="shared" si="47"/>
        <v>1307813</v>
      </c>
      <c r="Q497">
        <f t="shared" si="48"/>
        <v>1307813</v>
      </c>
      <c r="R497">
        <f t="shared" si="49"/>
        <v>969468.4</v>
      </c>
      <c r="S497">
        <f t="shared" si="50"/>
        <v>969468.4</v>
      </c>
      <c r="T497">
        <f t="shared" si="51"/>
        <v>2930421.6</v>
      </c>
      <c r="U497">
        <f t="shared" si="52"/>
        <v>2930421.6</v>
      </c>
      <c r="V497">
        <f t="shared" si="53"/>
        <v>891210.8</v>
      </c>
      <c r="W497">
        <f t="shared" si="54"/>
        <v>891210.8</v>
      </c>
      <c r="Y497">
        <f t="shared" si="55"/>
        <v>0.7528486756025814</v>
      </c>
      <c r="Z497">
        <f t="shared" si="56"/>
        <v>0.7528486756025814</v>
      </c>
      <c r="AA497">
        <f t="shared" si="57"/>
        <v>0.7528486756025814</v>
      </c>
      <c r="AB497">
        <f t="shared" si="58"/>
        <v>1.233788571998593</v>
      </c>
      <c r="AC497">
        <f t="shared" si="59"/>
        <v>1.233788571998593</v>
      </c>
      <c r="AD497">
        <f t="shared" si="60"/>
        <v>1.848812915000599</v>
      </c>
      <c r="AE497">
        <f t="shared" si="61"/>
        <v>1.848812915000599</v>
      </c>
      <c r="AF497">
        <f t="shared" si="62"/>
        <v>0.63212504842085759</v>
      </c>
      <c r="AG497">
        <f t="shared" si="63"/>
        <v>0.63212504842085759</v>
      </c>
      <c r="AH497">
        <f t="shared" si="64"/>
        <v>2.7774756066035482</v>
      </c>
      <c r="AI497">
        <f t="shared" si="65"/>
        <v>2.7774756066035482</v>
      </c>
      <c r="AK497">
        <f t="shared" si="66"/>
        <v>0.7528486756025814</v>
      </c>
      <c r="AL497">
        <f t="shared" si="67"/>
        <v>0.7528486756025814</v>
      </c>
      <c r="AM497">
        <f t="shared" si="68"/>
        <v>0.7528486756025814</v>
      </c>
      <c r="AN497">
        <f t="shared" si="69"/>
        <v>1.233788571998593</v>
      </c>
      <c r="AO497">
        <f t="shared" si="70"/>
        <v>1.233788571998593</v>
      </c>
      <c r="AP497">
        <f t="shared" si="71"/>
        <v>1.848812915000599</v>
      </c>
      <c r="AQ497">
        <f t="shared" si="72"/>
        <v>1.848812915000599</v>
      </c>
      <c r="AR497">
        <f t="shared" si="73"/>
        <v>0.36351092159748077</v>
      </c>
      <c r="AS497">
        <f t="shared" si="74"/>
        <v>0.36351092159748077</v>
      </c>
      <c r="AT497">
        <f t="shared" si="75"/>
        <v>2.7774756066035482</v>
      </c>
      <c r="AU497">
        <f t="shared" si="76"/>
        <v>2.7774756066035482</v>
      </c>
    </row>
    <row r="498" spans="1:47" x14ac:dyDescent="0.3">
      <c r="A498">
        <v>8</v>
      </c>
      <c r="B498" t="s">
        <v>156</v>
      </c>
      <c r="C498" t="s">
        <v>153</v>
      </c>
      <c r="D498" t="s">
        <v>154</v>
      </c>
      <c r="F498" s="7">
        <v>0</v>
      </c>
      <c r="G498" s="7">
        <v>1</v>
      </c>
      <c r="H498" s="3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552102.19999999995</v>
      </c>
      <c r="O498">
        <f t="shared" si="46"/>
        <v>553113.80000000005</v>
      </c>
      <c r="P498">
        <f t="shared" si="47"/>
        <v>211034.2</v>
      </c>
      <c r="Q498">
        <f t="shared" si="48"/>
        <v>330381.40000000002</v>
      </c>
      <c r="R498">
        <f t="shared" si="49"/>
        <v>203632.2</v>
      </c>
      <c r="S498">
        <f t="shared" si="50"/>
        <v>258808.8</v>
      </c>
      <c r="T498">
        <f t="shared" si="51"/>
        <v>3140626</v>
      </c>
      <c r="U498">
        <f t="shared" si="52"/>
        <v>2824419.6</v>
      </c>
      <c r="V498">
        <f t="shared" si="53"/>
        <v>91534.6</v>
      </c>
      <c r="W498">
        <f t="shared" si="54"/>
        <v>175532.79999999999</v>
      </c>
      <c r="Y498">
        <f t="shared" si="55"/>
        <v>0.57454793798970061</v>
      </c>
      <c r="Z498">
        <f t="shared" si="56"/>
        <v>0.87766942840535189</v>
      </c>
      <c r="AA498">
        <f t="shared" si="57"/>
        <v>0.87683160165324803</v>
      </c>
      <c r="AB498">
        <f t="shared" si="58"/>
        <v>0.43068612879724238</v>
      </c>
      <c r="AC498">
        <f t="shared" si="59"/>
        <v>0.73865523340646178</v>
      </c>
      <c r="AD498">
        <f t="shared" si="60"/>
        <v>1.1894188890117221</v>
      </c>
      <c r="AE498">
        <f t="shared" si="61"/>
        <v>1.294550955179147</v>
      </c>
      <c r="AF498">
        <f t="shared" si="62"/>
        <v>0.91809602277353408</v>
      </c>
      <c r="AG498">
        <f t="shared" si="63"/>
        <v>1.605081737088039</v>
      </c>
      <c r="AH498">
        <f t="shared" si="64"/>
        <v>0.36430953739909461</v>
      </c>
      <c r="AI498">
        <f t="shared" si="65"/>
        <v>1.0080805841949769</v>
      </c>
      <c r="AK498">
        <f t="shared" si="66"/>
        <v>0.57454793798970061</v>
      </c>
      <c r="AL498">
        <f t="shared" si="67"/>
        <v>0.38496668579755339</v>
      </c>
      <c r="AM498">
        <f t="shared" si="68"/>
        <v>0.38406044339062639</v>
      </c>
      <c r="AN498">
        <f t="shared" si="69"/>
        <v>0.43068612879724238</v>
      </c>
      <c r="AO498">
        <f t="shared" si="70"/>
        <v>0.35667604860209401</v>
      </c>
      <c r="AP498">
        <f t="shared" si="71"/>
        <v>1.1894188890117221</v>
      </c>
      <c r="AQ498">
        <f t="shared" si="72"/>
        <v>0.47836980799911538</v>
      </c>
      <c r="AR498">
        <f t="shared" si="73"/>
        <v>0.47225327417254448</v>
      </c>
      <c r="AS498">
        <f t="shared" si="74"/>
        <v>0.38962682139826937</v>
      </c>
      <c r="AT498">
        <f t="shared" si="75"/>
        <v>0.36430953739909461</v>
      </c>
      <c r="AU498">
        <f t="shared" si="76"/>
        <v>0.54625893898773936</v>
      </c>
    </row>
    <row r="499" spans="1:47" x14ac:dyDescent="0.3">
      <c r="A499">
        <v>8</v>
      </c>
      <c r="B499" t="s">
        <v>157</v>
      </c>
      <c r="C499" t="s">
        <v>153</v>
      </c>
      <c r="D499" t="s">
        <v>154</v>
      </c>
      <c r="F499" s="7">
        <v>0</v>
      </c>
      <c r="G499" s="7">
        <v>0</v>
      </c>
      <c r="H499" s="3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>
        <f t="shared" si="44"/>
        <v>467016.4</v>
      </c>
      <c r="N499">
        <f t="shared" si="45"/>
        <v>467016.4</v>
      </c>
      <c r="O499">
        <f t="shared" si="46"/>
        <v>467016.4</v>
      </c>
      <c r="P499">
        <f t="shared" si="47"/>
        <v>297050</v>
      </c>
      <c r="Q499">
        <f t="shared" si="48"/>
        <v>297050</v>
      </c>
      <c r="R499">
        <f t="shared" si="49"/>
        <v>223017.2</v>
      </c>
      <c r="S499">
        <f t="shared" si="50"/>
        <v>223017.2</v>
      </c>
      <c r="T499">
        <f t="shared" si="51"/>
        <v>2927316.4</v>
      </c>
      <c r="U499">
        <f t="shared" si="52"/>
        <v>2927316.4</v>
      </c>
      <c r="V499">
        <f t="shared" si="53"/>
        <v>5865.2</v>
      </c>
      <c r="W499">
        <f t="shared" si="54"/>
        <v>5865.2</v>
      </c>
      <c r="Y499">
        <f t="shared" si="55"/>
        <v>0.48066913441289222</v>
      </c>
      <c r="Z499">
        <f t="shared" si="56"/>
        <v>0.48066913441289222</v>
      </c>
      <c r="AA499">
        <f t="shared" si="57"/>
        <v>0.48066913441289222</v>
      </c>
      <c r="AB499">
        <f t="shared" si="58"/>
        <v>0.39317113959987182</v>
      </c>
      <c r="AC499">
        <f t="shared" si="59"/>
        <v>0.39317113959987182</v>
      </c>
      <c r="AD499">
        <f t="shared" si="60"/>
        <v>0.94011089619016275</v>
      </c>
      <c r="AE499">
        <f t="shared" si="61"/>
        <v>0.94011089619016275</v>
      </c>
      <c r="AF499">
        <f t="shared" si="62"/>
        <v>0.63238444199087096</v>
      </c>
      <c r="AG499">
        <f t="shared" si="63"/>
        <v>0.63238444199087096</v>
      </c>
      <c r="AH499">
        <f t="shared" si="64"/>
        <v>2.2864696988835882E-2</v>
      </c>
      <c r="AI499">
        <f t="shared" si="65"/>
        <v>2.2864696988835882E-2</v>
      </c>
      <c r="AK499">
        <f t="shared" si="66"/>
        <v>0.48066913441289222</v>
      </c>
      <c r="AL499">
        <f t="shared" si="67"/>
        <v>0.48066913441289222</v>
      </c>
      <c r="AM499">
        <f t="shared" si="68"/>
        <v>0.48066913441289222</v>
      </c>
      <c r="AN499">
        <f t="shared" si="69"/>
        <v>0.39317113959987182</v>
      </c>
      <c r="AO499">
        <f t="shared" si="70"/>
        <v>0.39317113959987182</v>
      </c>
      <c r="AP499">
        <f t="shared" si="71"/>
        <v>0.94011089619016275</v>
      </c>
      <c r="AQ499">
        <f t="shared" si="72"/>
        <v>0.94011089619016275</v>
      </c>
      <c r="AR499">
        <f t="shared" si="73"/>
        <v>0.35887068358715618</v>
      </c>
      <c r="AS499">
        <f t="shared" si="74"/>
        <v>0.35887068358715618</v>
      </c>
      <c r="AT499">
        <f t="shared" si="75"/>
        <v>2.2864696988835882E-2</v>
      </c>
      <c r="AU499">
        <f t="shared" si="76"/>
        <v>2.2864696988835882E-2</v>
      </c>
    </row>
    <row r="500" spans="1:47" x14ac:dyDescent="0.3">
      <c r="A500">
        <v>8</v>
      </c>
      <c r="B500" t="s">
        <v>158</v>
      </c>
      <c r="C500" t="s">
        <v>153</v>
      </c>
      <c r="D500" t="s">
        <v>154</v>
      </c>
      <c r="F500" s="7">
        <v>0</v>
      </c>
      <c r="G500" s="7">
        <v>1</v>
      </c>
      <c r="H500" s="3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>
        <f t="shared" si="44"/>
        <v>795350.4</v>
      </c>
      <c r="N500">
        <f t="shared" si="45"/>
        <v>795350.4</v>
      </c>
      <c r="O500">
        <f t="shared" si="46"/>
        <v>795350.4</v>
      </c>
      <c r="P500">
        <f t="shared" si="47"/>
        <v>1605108.4</v>
      </c>
      <c r="Q500">
        <f t="shared" si="48"/>
        <v>1605108.4</v>
      </c>
      <c r="R500">
        <f t="shared" si="49"/>
        <v>1105939.6000000001</v>
      </c>
      <c r="S500">
        <f t="shared" si="50"/>
        <v>1105939.6000000001</v>
      </c>
      <c r="T500">
        <f t="shared" si="51"/>
        <v>3211572.8</v>
      </c>
      <c r="U500">
        <f t="shared" si="52"/>
        <v>3211572.8</v>
      </c>
      <c r="V500">
        <f t="shared" si="53"/>
        <v>914901.2</v>
      </c>
      <c r="W500">
        <f t="shared" si="54"/>
        <v>914901.2</v>
      </c>
      <c r="Y500">
        <f t="shared" si="55"/>
        <v>0.84946836740709841</v>
      </c>
      <c r="Z500">
        <f t="shared" si="56"/>
        <v>0.84946836740709841</v>
      </c>
      <c r="AA500">
        <f t="shared" si="57"/>
        <v>0.84946836740709841</v>
      </c>
      <c r="AB500">
        <f t="shared" si="58"/>
        <v>1.4280591895978429</v>
      </c>
      <c r="AC500">
        <f t="shared" si="59"/>
        <v>1.4280591895978429</v>
      </c>
      <c r="AD500">
        <f t="shared" si="60"/>
        <v>1.9714023178094069</v>
      </c>
      <c r="AE500">
        <f t="shared" si="61"/>
        <v>1.9714023178094069</v>
      </c>
      <c r="AF500">
        <f t="shared" si="62"/>
        <v>0.96508944340748715</v>
      </c>
      <c r="AG500">
        <f t="shared" si="63"/>
        <v>0.96508944340748715</v>
      </c>
      <c r="AH500">
        <f t="shared" si="64"/>
        <v>2.9631616751896219</v>
      </c>
      <c r="AI500">
        <f t="shared" si="65"/>
        <v>2.9631616751896219</v>
      </c>
      <c r="AK500">
        <f t="shared" si="66"/>
        <v>0.84946836740709841</v>
      </c>
      <c r="AL500">
        <f t="shared" si="67"/>
        <v>0.84946836740709841</v>
      </c>
      <c r="AM500">
        <f t="shared" si="68"/>
        <v>0.84946836740709841</v>
      </c>
      <c r="AN500">
        <f t="shared" si="69"/>
        <v>1.4280591895978429</v>
      </c>
      <c r="AO500">
        <f t="shared" si="70"/>
        <v>1.4280591895978429</v>
      </c>
      <c r="AP500">
        <f t="shared" si="71"/>
        <v>1.9714023178094069</v>
      </c>
      <c r="AQ500">
        <f t="shared" si="72"/>
        <v>1.9714023178094069</v>
      </c>
      <c r="AR500">
        <f t="shared" si="73"/>
        <v>0.69649384500226008</v>
      </c>
      <c r="AS500">
        <f t="shared" si="74"/>
        <v>0.69649384500226008</v>
      </c>
      <c r="AT500">
        <f t="shared" si="75"/>
        <v>2.9631616751896219</v>
      </c>
      <c r="AU500">
        <f t="shared" si="76"/>
        <v>2.9631616751896219</v>
      </c>
    </row>
    <row r="501" spans="1:47" x14ac:dyDescent="0.3">
      <c r="A501">
        <v>8</v>
      </c>
      <c r="B501" t="s">
        <v>159</v>
      </c>
      <c r="C501" t="s">
        <v>153</v>
      </c>
      <c r="D501" t="s">
        <v>154</v>
      </c>
      <c r="F501" s="7">
        <v>0</v>
      </c>
      <c r="G501" s="7">
        <v>0</v>
      </c>
      <c r="H501" s="3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469803.2</v>
      </c>
      <c r="O501">
        <f t="shared" si="46"/>
        <v>469789</v>
      </c>
      <c r="P501">
        <f t="shared" si="47"/>
        <v>298349</v>
      </c>
      <c r="Q501">
        <f t="shared" si="48"/>
        <v>329814.2</v>
      </c>
      <c r="R501">
        <f t="shared" si="49"/>
        <v>257198</v>
      </c>
      <c r="S501">
        <f t="shared" si="50"/>
        <v>281562.2</v>
      </c>
      <c r="T501">
        <f t="shared" si="51"/>
        <v>3925914.4</v>
      </c>
      <c r="U501">
        <f t="shared" si="52"/>
        <v>2224498.4</v>
      </c>
      <c r="V501">
        <f t="shared" si="53"/>
        <v>811</v>
      </c>
      <c r="W501">
        <f t="shared" si="54"/>
        <v>9862.7999999999993</v>
      </c>
      <c r="Y501">
        <f t="shared" si="55"/>
        <v>0.42244519339874392</v>
      </c>
      <c r="Z501">
        <f t="shared" si="56"/>
        <v>0.74579317560419445</v>
      </c>
      <c r="AA501">
        <f t="shared" si="57"/>
        <v>0.74932646879460663</v>
      </c>
      <c r="AB501">
        <f t="shared" si="58"/>
        <v>0.35701453839719749</v>
      </c>
      <c r="AC501">
        <f t="shared" si="59"/>
        <v>0.60030385680729526</v>
      </c>
      <c r="AD501">
        <f t="shared" si="60"/>
        <v>1.047523613809608</v>
      </c>
      <c r="AE501">
        <f t="shared" si="61"/>
        <v>1.2970435054623519</v>
      </c>
      <c r="AF501">
        <f t="shared" si="62"/>
        <v>1.7364666591747659</v>
      </c>
      <c r="AG501">
        <f t="shared" si="63"/>
        <v>0.94547673970228063</v>
      </c>
      <c r="AH501">
        <f t="shared" si="64"/>
        <v>5.8654970023780603E-3</v>
      </c>
      <c r="AI501">
        <f t="shared" si="65"/>
        <v>0.28618654344463718</v>
      </c>
      <c r="AK501">
        <f t="shared" si="66"/>
        <v>0.42244519339874392</v>
      </c>
      <c r="AL501">
        <f t="shared" si="67"/>
        <v>0.35834712738869712</v>
      </c>
      <c r="AM501">
        <f t="shared" si="68"/>
        <v>0.36668846542015671</v>
      </c>
      <c r="AN501">
        <f t="shared" si="69"/>
        <v>0.35701453839719749</v>
      </c>
      <c r="AO501">
        <f t="shared" si="70"/>
        <v>0.31102572400704948</v>
      </c>
      <c r="AP501">
        <f t="shared" si="71"/>
        <v>1.047523613809608</v>
      </c>
      <c r="AQ501">
        <f t="shared" si="72"/>
        <v>0.46251186522422361</v>
      </c>
      <c r="AR501">
        <f t="shared" si="73"/>
        <v>1.234500595775899</v>
      </c>
      <c r="AS501">
        <f t="shared" si="74"/>
        <v>0.35064814160577951</v>
      </c>
      <c r="AT501">
        <f t="shared" si="75"/>
        <v>5.8654970023780603E-3</v>
      </c>
      <c r="AU501">
        <f t="shared" si="76"/>
        <v>0.26990323840873309</v>
      </c>
    </row>
    <row r="502" spans="1:47" x14ac:dyDescent="0.3">
      <c r="A502">
        <v>8</v>
      </c>
      <c r="B502" t="s">
        <v>160</v>
      </c>
      <c r="C502" t="s">
        <v>153</v>
      </c>
      <c r="D502" t="s">
        <v>154</v>
      </c>
      <c r="F502" s="7">
        <v>0</v>
      </c>
      <c r="G502" s="7">
        <v>0</v>
      </c>
      <c r="H502" s="3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>
        <f t="shared" si="44"/>
        <v>465002</v>
      </c>
      <c r="N502">
        <f t="shared" si="45"/>
        <v>465002</v>
      </c>
      <c r="O502">
        <f t="shared" si="46"/>
        <v>465002</v>
      </c>
      <c r="P502">
        <f t="shared" si="47"/>
        <v>304031.2</v>
      </c>
      <c r="Q502">
        <f t="shared" si="48"/>
        <v>304031.2</v>
      </c>
      <c r="R502">
        <f t="shared" si="49"/>
        <v>267810</v>
      </c>
      <c r="S502">
        <f t="shared" si="50"/>
        <v>267810</v>
      </c>
      <c r="T502">
        <f t="shared" si="51"/>
        <v>3210873.8</v>
      </c>
      <c r="U502">
        <f t="shared" si="52"/>
        <v>3210873.8</v>
      </c>
      <c r="V502">
        <f t="shared" si="53"/>
        <v>2815.4</v>
      </c>
      <c r="W502">
        <f t="shared" si="54"/>
        <v>2815.4</v>
      </c>
      <c r="Y502">
        <f t="shared" si="55"/>
        <v>0.46933531218674029</v>
      </c>
      <c r="Z502">
        <f t="shared" si="56"/>
        <v>0.46933531218674029</v>
      </c>
      <c r="AA502">
        <f t="shared" si="57"/>
        <v>0.46933531218674029</v>
      </c>
      <c r="AB502">
        <f t="shared" si="58"/>
        <v>0.36865417160443031</v>
      </c>
      <c r="AC502">
        <f t="shared" si="59"/>
        <v>0.36865417160443031</v>
      </c>
      <c r="AD502">
        <f t="shared" si="60"/>
        <v>0.91212387221166868</v>
      </c>
      <c r="AE502">
        <f t="shared" si="61"/>
        <v>0.91212387221166868</v>
      </c>
      <c r="AF502">
        <f t="shared" si="62"/>
        <v>0.96028344662627207</v>
      </c>
      <c r="AG502">
        <f t="shared" si="63"/>
        <v>0.96028344662627207</v>
      </c>
      <c r="AH502">
        <f t="shared" si="64"/>
        <v>1.5217990800738299E-2</v>
      </c>
      <c r="AI502">
        <f t="shared" si="65"/>
        <v>1.5217990800738299E-2</v>
      </c>
      <c r="AK502">
        <f t="shared" si="66"/>
        <v>0.46933531218674029</v>
      </c>
      <c r="AL502">
        <f t="shared" si="67"/>
        <v>0.46933531218674029</v>
      </c>
      <c r="AM502">
        <f t="shared" si="68"/>
        <v>0.46933531218674029</v>
      </c>
      <c r="AN502">
        <f t="shared" si="69"/>
        <v>0.36865417160443031</v>
      </c>
      <c r="AO502">
        <f t="shared" si="70"/>
        <v>0.36865417160443031</v>
      </c>
      <c r="AP502">
        <f t="shared" si="71"/>
        <v>0.91212387221166868</v>
      </c>
      <c r="AQ502">
        <f t="shared" si="72"/>
        <v>0.91212387221166868</v>
      </c>
      <c r="AR502">
        <f t="shared" si="73"/>
        <v>0.68771780100651081</v>
      </c>
      <c r="AS502">
        <f t="shared" si="74"/>
        <v>0.68771780100651081</v>
      </c>
      <c r="AT502">
        <f t="shared" si="75"/>
        <v>1.5217990800738299E-2</v>
      </c>
      <c r="AU502">
        <f t="shared" si="76"/>
        <v>1.5217990800738299E-2</v>
      </c>
    </row>
    <row r="503" spans="1:47" x14ac:dyDescent="0.3">
      <c r="A503">
        <v>8</v>
      </c>
      <c r="B503" t="s">
        <v>161</v>
      </c>
      <c r="C503" t="s">
        <v>153</v>
      </c>
      <c r="D503" t="s">
        <v>154</v>
      </c>
      <c r="F503" s="7">
        <v>0</v>
      </c>
      <c r="G503" s="7">
        <v>1</v>
      </c>
      <c r="H503" s="3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>
        <f t="shared" si="44"/>
        <v>4784816</v>
      </c>
      <c r="N503">
        <f t="shared" si="45"/>
        <v>4784816</v>
      </c>
      <c r="O503">
        <f t="shared" si="46"/>
        <v>4784816</v>
      </c>
      <c r="P503">
        <f t="shared" si="47"/>
        <v>2491198</v>
      </c>
      <c r="Q503">
        <f t="shared" si="48"/>
        <v>2491198</v>
      </c>
      <c r="R503">
        <f t="shared" si="49"/>
        <v>2439856.4</v>
      </c>
      <c r="S503">
        <f t="shared" si="50"/>
        <v>2439856.4</v>
      </c>
      <c r="T503">
        <f t="shared" si="51"/>
        <v>3932292.6</v>
      </c>
      <c r="U503">
        <f t="shared" si="52"/>
        <v>3932292.6</v>
      </c>
      <c r="V503">
        <f t="shared" si="53"/>
        <v>5218272.8</v>
      </c>
      <c r="W503">
        <f t="shared" si="54"/>
        <v>5218272.8</v>
      </c>
      <c r="Y503">
        <f t="shared" si="55"/>
        <v>10.697249945998189</v>
      </c>
      <c r="Z503">
        <f t="shared" si="56"/>
        <v>10.697249945998189</v>
      </c>
      <c r="AA503">
        <f t="shared" si="57"/>
        <v>10.697249945998189</v>
      </c>
      <c r="AB503">
        <f t="shared" si="58"/>
        <v>13.60986551899987</v>
      </c>
      <c r="AC503">
        <f t="shared" si="59"/>
        <v>13.60986551899987</v>
      </c>
      <c r="AD503">
        <f t="shared" si="60"/>
        <v>12.55418971601175</v>
      </c>
      <c r="AE503">
        <f t="shared" si="61"/>
        <v>12.55418971601175</v>
      </c>
      <c r="AF503">
        <f t="shared" si="62"/>
        <v>1.729473426204641</v>
      </c>
      <c r="AG503">
        <f t="shared" si="63"/>
        <v>1.729473426204641</v>
      </c>
      <c r="AH503">
        <f t="shared" si="64"/>
        <v>4.9378562901867564</v>
      </c>
      <c r="AI503">
        <f t="shared" si="65"/>
        <v>4.9378562901867564</v>
      </c>
      <c r="AK503">
        <f t="shared" si="66"/>
        <v>10.697249945998189</v>
      </c>
      <c r="AL503">
        <f t="shared" si="67"/>
        <v>10.697249945998189</v>
      </c>
      <c r="AM503">
        <f t="shared" si="68"/>
        <v>10.697249945998189</v>
      </c>
      <c r="AN503">
        <f t="shared" si="69"/>
        <v>13.60986551899987</v>
      </c>
      <c r="AO503">
        <f t="shared" si="70"/>
        <v>13.60986551899987</v>
      </c>
      <c r="AP503">
        <f t="shared" si="71"/>
        <v>12.55418971601175</v>
      </c>
      <c r="AQ503">
        <f t="shared" si="72"/>
        <v>12.55418971601175</v>
      </c>
      <c r="AR503">
        <f t="shared" si="73"/>
        <v>1.224794344604015</v>
      </c>
      <c r="AS503">
        <f t="shared" si="74"/>
        <v>1.224794344604015</v>
      </c>
      <c r="AT503">
        <f t="shared" si="75"/>
        <v>4.9378562901867564</v>
      </c>
      <c r="AU503">
        <f t="shared" si="76"/>
        <v>4.9378562901867564</v>
      </c>
    </row>
    <row r="504" spans="1:47" x14ac:dyDescent="0.3">
      <c r="A504">
        <v>9</v>
      </c>
      <c r="B504" t="s">
        <v>162</v>
      </c>
      <c r="C504" t="s">
        <v>163</v>
      </c>
      <c r="D504" t="s">
        <v>164</v>
      </c>
      <c r="F504" s="7">
        <v>0</v>
      </c>
      <c r="G504" s="7">
        <v>0</v>
      </c>
      <c r="H504" s="3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1408292.6</v>
      </c>
      <c r="O504">
        <f t="shared" si="46"/>
        <v>1407779</v>
      </c>
      <c r="P504">
        <f t="shared" si="47"/>
        <v>2101040.6</v>
      </c>
      <c r="Q504">
        <f t="shared" si="48"/>
        <v>901772</v>
      </c>
      <c r="R504">
        <f t="shared" si="49"/>
        <v>1871168.4</v>
      </c>
      <c r="S504">
        <f t="shared" si="50"/>
        <v>1244862.2</v>
      </c>
      <c r="T504">
        <f t="shared" si="51"/>
        <v>4278519.8</v>
      </c>
      <c r="U504">
        <f t="shared" si="52"/>
        <v>3695788</v>
      </c>
      <c r="V504">
        <f t="shared" si="53"/>
        <v>3490419</v>
      </c>
      <c r="W504">
        <f t="shared" si="54"/>
        <v>2543510.7999999998</v>
      </c>
      <c r="Y504">
        <f t="shared" si="55"/>
        <v>1.5156855843961241</v>
      </c>
      <c r="Z504">
        <f t="shared" si="56"/>
        <v>1.600366158341058</v>
      </c>
      <c r="AA504">
        <f t="shared" si="57"/>
        <v>1.575006106437649</v>
      </c>
      <c r="AB504">
        <f t="shared" si="58"/>
        <v>2.6393860615964519</v>
      </c>
      <c r="AC504">
        <f t="shared" si="59"/>
        <v>1.427711682009976</v>
      </c>
      <c r="AD504">
        <f t="shared" si="60"/>
        <v>1.524436681007501</v>
      </c>
      <c r="AE504">
        <f t="shared" si="61"/>
        <v>1.7036747884238139</v>
      </c>
      <c r="AF504">
        <f t="shared" si="62"/>
        <v>1.979510279244278</v>
      </c>
      <c r="AG504">
        <f t="shared" si="63"/>
        <v>2.3293170259217728</v>
      </c>
      <c r="AH504">
        <f t="shared" si="64"/>
        <v>3.514349311392289</v>
      </c>
      <c r="AI504">
        <f t="shared" si="65"/>
        <v>3.453815981454682</v>
      </c>
      <c r="AK504">
        <f t="shared" si="66"/>
        <v>1.5156855843961241</v>
      </c>
      <c r="AL504">
        <f t="shared" si="67"/>
        <v>0.61753709678305313</v>
      </c>
      <c r="AM504">
        <f t="shared" si="68"/>
        <v>0.60552871582331136</v>
      </c>
      <c r="AN504">
        <f t="shared" si="69"/>
        <v>2.6393860615964519</v>
      </c>
      <c r="AO504">
        <f t="shared" si="70"/>
        <v>0.55545566259825141</v>
      </c>
      <c r="AP504">
        <f t="shared" si="71"/>
        <v>1.524436681007501</v>
      </c>
      <c r="AQ504">
        <f t="shared" si="72"/>
        <v>0.61478049561847004</v>
      </c>
      <c r="AR504">
        <f t="shared" si="73"/>
        <v>1.1421562756411729</v>
      </c>
      <c r="AS504">
        <f t="shared" si="74"/>
        <v>0.49944233762798829</v>
      </c>
      <c r="AT504">
        <f t="shared" si="75"/>
        <v>3.514349311392289</v>
      </c>
      <c r="AU504">
        <f t="shared" si="76"/>
        <v>1.74932875399245</v>
      </c>
    </row>
    <row r="505" spans="1:47" x14ac:dyDescent="0.3">
      <c r="A505">
        <v>9</v>
      </c>
      <c r="B505" t="s">
        <v>165</v>
      </c>
      <c r="C505" t="s">
        <v>163</v>
      </c>
      <c r="D505" t="s">
        <v>164</v>
      </c>
      <c r="F505" s="7">
        <v>0</v>
      </c>
      <c r="G505" s="7">
        <v>1</v>
      </c>
      <c r="H505" s="3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>
        <f t="shared" si="44"/>
        <v>969826.6</v>
      </c>
      <c r="N505">
        <f t="shared" si="45"/>
        <v>969826.6</v>
      </c>
      <c r="O505">
        <f t="shared" si="46"/>
        <v>969826.6</v>
      </c>
      <c r="P505">
        <f t="shared" si="47"/>
        <v>726458.8</v>
      </c>
      <c r="Q505">
        <f t="shared" si="48"/>
        <v>726458.8</v>
      </c>
      <c r="R505">
        <f t="shared" si="49"/>
        <v>2451285</v>
      </c>
      <c r="S505">
        <f t="shared" si="50"/>
        <v>2451285</v>
      </c>
      <c r="T505">
        <f t="shared" si="51"/>
        <v>4567194</v>
      </c>
      <c r="U505">
        <f t="shared" si="52"/>
        <v>4567194</v>
      </c>
      <c r="V505">
        <f t="shared" si="53"/>
        <v>1027132.8</v>
      </c>
      <c r="W505">
        <f t="shared" si="54"/>
        <v>1027132.8</v>
      </c>
      <c r="Y505">
        <f t="shared" si="55"/>
        <v>1.2673618600005281</v>
      </c>
      <c r="Z505">
        <f t="shared" si="56"/>
        <v>1.2673618600005281</v>
      </c>
      <c r="AA505">
        <f t="shared" si="57"/>
        <v>1.2673618600005281</v>
      </c>
      <c r="AB505">
        <f t="shared" si="58"/>
        <v>1.4077565506013341</v>
      </c>
      <c r="AC505">
        <f t="shared" si="59"/>
        <v>1.4077565506013341</v>
      </c>
      <c r="AD505">
        <f t="shared" si="60"/>
        <v>2.711453838821035</v>
      </c>
      <c r="AE505">
        <f t="shared" si="61"/>
        <v>2.711453838821035</v>
      </c>
      <c r="AF505">
        <f t="shared" si="62"/>
        <v>2.1833231962285931</v>
      </c>
      <c r="AG505">
        <f t="shared" si="63"/>
        <v>2.1833231962285931</v>
      </c>
      <c r="AH505">
        <f t="shared" si="64"/>
        <v>2.0316511426004582</v>
      </c>
      <c r="AI505">
        <f t="shared" si="65"/>
        <v>2.0316511426004582</v>
      </c>
      <c r="AK505">
        <f t="shared" si="66"/>
        <v>1.2673618600005281</v>
      </c>
      <c r="AL505">
        <f t="shared" si="67"/>
        <v>1.2673618600005281</v>
      </c>
      <c r="AM505">
        <f t="shared" si="68"/>
        <v>1.2673618600005281</v>
      </c>
      <c r="AN505">
        <f t="shared" si="69"/>
        <v>1.4077565506013341</v>
      </c>
      <c r="AO505">
        <f t="shared" si="70"/>
        <v>1.4077565506013341</v>
      </c>
      <c r="AP505">
        <f t="shared" si="71"/>
        <v>2.711453838821035</v>
      </c>
      <c r="AQ505">
        <f t="shared" si="72"/>
        <v>2.711453838821035</v>
      </c>
      <c r="AR505">
        <f t="shared" si="73"/>
        <v>1.281828422634862</v>
      </c>
      <c r="AS505">
        <f t="shared" si="74"/>
        <v>1.281828422634862</v>
      </c>
      <c r="AT505">
        <f t="shared" si="75"/>
        <v>2.0316511426004582</v>
      </c>
      <c r="AU505">
        <f t="shared" si="76"/>
        <v>2.0316511426004582</v>
      </c>
    </row>
    <row r="506" spans="1:47" x14ac:dyDescent="0.3">
      <c r="A506">
        <v>9</v>
      </c>
      <c r="B506" t="s">
        <v>166</v>
      </c>
      <c r="C506" t="s">
        <v>163</v>
      </c>
      <c r="D506" t="s">
        <v>164</v>
      </c>
      <c r="F506" s="7">
        <v>0</v>
      </c>
      <c r="G506" s="7">
        <v>1</v>
      </c>
      <c r="H506" s="3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1805139.4</v>
      </c>
      <c r="O506">
        <f t="shared" si="46"/>
        <v>1815183.2</v>
      </c>
      <c r="P506">
        <f t="shared" si="47"/>
        <v>1927101</v>
      </c>
      <c r="Q506">
        <f t="shared" si="48"/>
        <v>1698716.6</v>
      </c>
      <c r="R506">
        <f t="shared" si="49"/>
        <v>982454</v>
      </c>
      <c r="S506">
        <f t="shared" si="50"/>
        <v>1670897.6</v>
      </c>
      <c r="T506">
        <f t="shared" si="51"/>
        <v>4277166.5999999996</v>
      </c>
      <c r="U506">
        <f t="shared" si="52"/>
        <v>3708380</v>
      </c>
      <c r="V506">
        <f t="shared" si="53"/>
        <v>3119203.4</v>
      </c>
      <c r="W506">
        <f t="shared" si="54"/>
        <v>2650283.6</v>
      </c>
      <c r="Y506">
        <f t="shared" si="55"/>
        <v>1.4970767397899181</v>
      </c>
      <c r="Z506">
        <f t="shared" si="56"/>
        <v>1.888786108535714</v>
      </c>
      <c r="AA506">
        <f t="shared" si="57"/>
        <v>1.8830088680027981</v>
      </c>
      <c r="AB506">
        <f t="shared" si="58"/>
        <v>2.466890116003924</v>
      </c>
      <c r="AC506">
        <f t="shared" si="59"/>
        <v>1.9990997642016739</v>
      </c>
      <c r="AD506">
        <f t="shared" si="60"/>
        <v>2.3395281124045142</v>
      </c>
      <c r="AE506">
        <f t="shared" si="61"/>
        <v>2.0821537017240188</v>
      </c>
      <c r="AF506">
        <f t="shared" si="62"/>
        <v>1.9811944569810289</v>
      </c>
      <c r="AG506">
        <f t="shared" si="63"/>
        <v>2.3897344250814059</v>
      </c>
      <c r="AH506">
        <f t="shared" si="64"/>
        <v>3.7317060718080031</v>
      </c>
      <c r="AI506">
        <f t="shared" si="65"/>
        <v>3.7902190126478672</v>
      </c>
      <c r="AK506">
        <f t="shared" si="66"/>
        <v>1.4970767397899181</v>
      </c>
      <c r="AL506">
        <f t="shared" si="67"/>
        <v>0.70381605098955335</v>
      </c>
      <c r="AM506">
        <f t="shared" si="68"/>
        <v>0.70529574741376566</v>
      </c>
      <c r="AN506">
        <f t="shared" si="69"/>
        <v>2.466890116003924</v>
      </c>
      <c r="AO506">
        <f t="shared" si="70"/>
        <v>0.74567858359951056</v>
      </c>
      <c r="AP506">
        <f t="shared" si="71"/>
        <v>2.3395281124045142</v>
      </c>
      <c r="AQ506">
        <f t="shared" si="72"/>
        <v>0.75738498377613728</v>
      </c>
      <c r="AR506">
        <f t="shared" si="73"/>
        <v>1.1402737143798729</v>
      </c>
      <c r="AS506">
        <f t="shared" si="74"/>
        <v>0.52590124978451058</v>
      </c>
      <c r="AT506">
        <f t="shared" si="75"/>
        <v>3.7317060718080031</v>
      </c>
      <c r="AU506">
        <f t="shared" si="76"/>
        <v>2.0798174968454992</v>
      </c>
    </row>
    <row r="507" spans="1:47" x14ac:dyDescent="0.3">
      <c r="A507">
        <v>9</v>
      </c>
      <c r="B507" t="s">
        <v>167</v>
      </c>
      <c r="C507" t="s">
        <v>163</v>
      </c>
      <c r="D507" t="s">
        <v>164</v>
      </c>
      <c r="F507" s="7">
        <v>0</v>
      </c>
      <c r="G507" s="7">
        <v>0</v>
      </c>
      <c r="H507" s="3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>
        <f t="shared" si="44"/>
        <v>967783</v>
      </c>
      <c r="N507">
        <f t="shared" si="45"/>
        <v>967783</v>
      </c>
      <c r="O507">
        <f t="shared" si="46"/>
        <v>967783</v>
      </c>
      <c r="P507">
        <f t="shared" si="47"/>
        <v>2181678</v>
      </c>
      <c r="Q507">
        <f t="shared" si="48"/>
        <v>2181678</v>
      </c>
      <c r="R507">
        <f t="shared" si="49"/>
        <v>656776</v>
      </c>
      <c r="S507">
        <f t="shared" si="50"/>
        <v>656776</v>
      </c>
      <c r="T507">
        <f t="shared" si="51"/>
        <v>4553574.5999999996</v>
      </c>
      <c r="U507">
        <f t="shared" si="52"/>
        <v>4553574.5999999996</v>
      </c>
      <c r="V507">
        <f t="shared" si="53"/>
        <v>2255078.3999999999</v>
      </c>
      <c r="W507">
        <f t="shared" si="54"/>
        <v>2255078.3999999999</v>
      </c>
      <c r="Y507">
        <f t="shared" si="55"/>
        <v>1.2355662187910641</v>
      </c>
      <c r="Z507">
        <f t="shared" si="56"/>
        <v>1.2355662187910641</v>
      </c>
      <c r="AA507">
        <f t="shared" si="57"/>
        <v>1.2355662187910641</v>
      </c>
      <c r="AB507">
        <f t="shared" si="58"/>
        <v>2.3492381440009922</v>
      </c>
      <c r="AC507">
        <f t="shared" si="59"/>
        <v>2.3492381440009922</v>
      </c>
      <c r="AD507">
        <f t="shared" si="60"/>
        <v>1.589443780004512</v>
      </c>
      <c r="AE507">
        <f t="shared" si="61"/>
        <v>1.589443780004512</v>
      </c>
      <c r="AF507">
        <f t="shared" si="62"/>
        <v>2.184872085426468</v>
      </c>
      <c r="AG507">
        <f t="shared" si="63"/>
        <v>2.184872085426468</v>
      </c>
      <c r="AH507">
        <f t="shared" si="64"/>
        <v>3.2951639967970552</v>
      </c>
      <c r="AI507">
        <f t="shared" si="65"/>
        <v>3.2951639967970552</v>
      </c>
      <c r="AK507">
        <f t="shared" si="66"/>
        <v>1.2355662187910641</v>
      </c>
      <c r="AL507">
        <f t="shared" si="67"/>
        <v>1.2355662187910641</v>
      </c>
      <c r="AM507">
        <f t="shared" si="68"/>
        <v>1.2355662187910641</v>
      </c>
      <c r="AN507">
        <f t="shared" si="69"/>
        <v>2.3492381440009922</v>
      </c>
      <c r="AO507">
        <f t="shared" si="70"/>
        <v>2.3492381440009922</v>
      </c>
      <c r="AP507">
        <f t="shared" si="71"/>
        <v>1.589443780004512</v>
      </c>
      <c r="AQ507">
        <f t="shared" si="72"/>
        <v>1.589443780004512</v>
      </c>
      <c r="AR507">
        <f t="shared" si="73"/>
        <v>1.2829748470219779</v>
      </c>
      <c r="AS507">
        <f t="shared" si="74"/>
        <v>1.2829748470219779</v>
      </c>
      <c r="AT507">
        <f t="shared" si="75"/>
        <v>3.2951639967970552</v>
      </c>
      <c r="AU507">
        <f t="shared" si="76"/>
        <v>3.2951639967970552</v>
      </c>
    </row>
    <row r="508" spans="1:47" x14ac:dyDescent="0.3">
      <c r="A508">
        <v>9</v>
      </c>
      <c r="B508" t="s">
        <v>168</v>
      </c>
      <c r="C508" t="s">
        <v>163</v>
      </c>
      <c r="D508" t="s">
        <v>164</v>
      </c>
      <c r="F508" s="7">
        <v>0</v>
      </c>
      <c r="G508" s="7">
        <v>1</v>
      </c>
      <c r="H508" s="3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>
        <f t="shared" si="44"/>
        <v>1253979.8</v>
      </c>
      <c r="N508">
        <f t="shared" si="45"/>
        <v>1253979.8</v>
      </c>
      <c r="O508">
        <f t="shared" si="46"/>
        <v>1253979.8</v>
      </c>
      <c r="P508">
        <f t="shared" si="47"/>
        <v>2327824</v>
      </c>
      <c r="Q508">
        <f t="shared" si="48"/>
        <v>2327824</v>
      </c>
      <c r="R508">
        <f t="shared" si="49"/>
        <v>3611426</v>
      </c>
      <c r="S508">
        <f t="shared" si="50"/>
        <v>3611426</v>
      </c>
      <c r="T508">
        <f t="shared" si="51"/>
        <v>4771918.4000000004</v>
      </c>
      <c r="U508">
        <f t="shared" si="52"/>
        <v>4771918.4000000004</v>
      </c>
      <c r="V508">
        <f t="shared" si="53"/>
        <v>8293988.7999999998</v>
      </c>
      <c r="W508">
        <f t="shared" si="54"/>
        <v>8293988.7999999998</v>
      </c>
      <c r="Y508">
        <f t="shared" si="55"/>
        <v>1.624939542193897</v>
      </c>
      <c r="Z508">
        <f t="shared" si="56"/>
        <v>1.624939542193897</v>
      </c>
      <c r="AA508">
        <f t="shared" si="57"/>
        <v>1.624939542193897</v>
      </c>
      <c r="AB508">
        <f t="shared" si="58"/>
        <v>2.3233445630001368</v>
      </c>
      <c r="AC508">
        <f t="shared" si="59"/>
        <v>2.3233445630001368</v>
      </c>
      <c r="AD508">
        <f t="shared" si="60"/>
        <v>4.2509254506207066</v>
      </c>
      <c r="AE508">
        <f t="shared" si="61"/>
        <v>4.2509254506207066</v>
      </c>
      <c r="AF508">
        <f t="shared" si="62"/>
        <v>2.3501830355613489</v>
      </c>
      <c r="AG508">
        <f t="shared" si="63"/>
        <v>2.3501830355613489</v>
      </c>
      <c r="AH508">
        <f t="shared" si="64"/>
        <v>5.0668089555925686</v>
      </c>
      <c r="AI508">
        <f t="shared" si="65"/>
        <v>5.0668089555925686</v>
      </c>
      <c r="AK508">
        <f t="shared" si="66"/>
        <v>1.624939542193897</v>
      </c>
      <c r="AL508">
        <f t="shared" si="67"/>
        <v>1.624939542193897</v>
      </c>
      <c r="AM508">
        <f t="shared" si="68"/>
        <v>1.624939542193897</v>
      </c>
      <c r="AN508">
        <f t="shared" si="69"/>
        <v>2.3233445630001368</v>
      </c>
      <c r="AO508">
        <f t="shared" si="70"/>
        <v>2.3233445630001368</v>
      </c>
      <c r="AP508">
        <f t="shared" si="71"/>
        <v>4.2509254506207066</v>
      </c>
      <c r="AQ508">
        <f t="shared" si="72"/>
        <v>4.2509254506207066</v>
      </c>
      <c r="AR508">
        <f t="shared" si="73"/>
        <v>1.3564541459665631</v>
      </c>
      <c r="AS508">
        <f t="shared" si="74"/>
        <v>1.3564541459665631</v>
      </c>
      <c r="AT508">
        <f t="shared" si="75"/>
        <v>5.0668089555925686</v>
      </c>
      <c r="AU508">
        <f t="shared" si="76"/>
        <v>5.0668089555925686</v>
      </c>
    </row>
    <row r="509" spans="1:47" x14ac:dyDescent="0.3">
      <c r="A509">
        <v>9</v>
      </c>
      <c r="B509" t="s">
        <v>169</v>
      </c>
      <c r="C509" t="s">
        <v>163</v>
      </c>
      <c r="D509" t="s">
        <v>164</v>
      </c>
      <c r="F509" s="7">
        <v>0</v>
      </c>
      <c r="G509" s="7">
        <v>0</v>
      </c>
      <c r="H509" s="3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1171270.6000000001</v>
      </c>
      <c r="O509">
        <f t="shared" si="46"/>
        <v>1185761.8</v>
      </c>
      <c r="P509">
        <f t="shared" si="47"/>
        <v>2675081</v>
      </c>
      <c r="Q509">
        <f t="shared" si="48"/>
        <v>687987.6</v>
      </c>
      <c r="R509">
        <f t="shared" si="49"/>
        <v>824215.8</v>
      </c>
      <c r="S509">
        <f t="shared" si="50"/>
        <v>785507.4</v>
      </c>
      <c r="T509">
        <f t="shared" si="51"/>
        <v>4159973</v>
      </c>
      <c r="U509">
        <f t="shared" si="52"/>
        <v>3510888.2</v>
      </c>
      <c r="V509">
        <f t="shared" si="53"/>
        <v>1361303.4</v>
      </c>
      <c r="W509">
        <f t="shared" si="54"/>
        <v>1286818.3999999999</v>
      </c>
      <c r="Y509">
        <f t="shared" si="55"/>
        <v>1.3694359207991511</v>
      </c>
      <c r="Z509">
        <f t="shared" si="56"/>
        <v>1.40399140578229</v>
      </c>
      <c r="AA509">
        <f t="shared" si="57"/>
        <v>1.407520736020524</v>
      </c>
      <c r="AB509">
        <f t="shared" si="58"/>
        <v>2.222937343796366</v>
      </c>
      <c r="AC509">
        <f t="shared" si="59"/>
        <v>1.0940145802043839</v>
      </c>
      <c r="AD509">
        <f t="shared" si="60"/>
        <v>1.576967737218365</v>
      </c>
      <c r="AE509">
        <f t="shared" si="61"/>
        <v>1.4635652721975929</v>
      </c>
      <c r="AF509">
        <f t="shared" si="62"/>
        <v>1.8859112006146459</v>
      </c>
      <c r="AG509">
        <f t="shared" si="63"/>
        <v>2.1877913242671641</v>
      </c>
      <c r="AH509">
        <f t="shared" si="64"/>
        <v>3.1266634165891452</v>
      </c>
      <c r="AI509">
        <f t="shared" si="65"/>
        <v>2.5981972828158182</v>
      </c>
      <c r="AK509">
        <f t="shared" si="66"/>
        <v>1.3694359207991511</v>
      </c>
      <c r="AL509">
        <f t="shared" si="67"/>
        <v>0.55445876102894542</v>
      </c>
      <c r="AM509">
        <f t="shared" si="68"/>
        <v>0.55826298082247372</v>
      </c>
      <c r="AN509">
        <f t="shared" si="69"/>
        <v>2.222937343796366</v>
      </c>
      <c r="AO509">
        <f t="shared" si="70"/>
        <v>0.45008250459795818</v>
      </c>
      <c r="AP509">
        <f t="shared" si="71"/>
        <v>1.576967737218365</v>
      </c>
      <c r="AQ509">
        <f t="shared" si="72"/>
        <v>0.63500664258608597</v>
      </c>
      <c r="AR509">
        <f t="shared" si="73"/>
        <v>1.0907202058122489</v>
      </c>
      <c r="AS509">
        <f t="shared" si="74"/>
        <v>0.49199408978456632</v>
      </c>
      <c r="AT509">
        <f t="shared" si="75"/>
        <v>3.1266634165891452</v>
      </c>
      <c r="AU509">
        <f t="shared" si="76"/>
        <v>1.314281887817196</v>
      </c>
    </row>
    <row r="510" spans="1:47" x14ac:dyDescent="0.3">
      <c r="A510">
        <v>9</v>
      </c>
      <c r="B510" t="s">
        <v>170</v>
      </c>
      <c r="C510" t="s">
        <v>163</v>
      </c>
      <c r="D510" t="s">
        <v>164</v>
      </c>
      <c r="F510" s="7">
        <v>0</v>
      </c>
      <c r="G510" s="7">
        <v>0</v>
      </c>
      <c r="H510" s="3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>
        <f t="shared" si="44"/>
        <v>704739.8</v>
      </c>
      <c r="N510">
        <f t="shared" si="45"/>
        <v>704739.8</v>
      </c>
      <c r="O510">
        <f t="shared" si="46"/>
        <v>704739.8</v>
      </c>
      <c r="P510">
        <f t="shared" si="47"/>
        <v>1898867</v>
      </c>
      <c r="Q510">
        <f t="shared" si="48"/>
        <v>1898867</v>
      </c>
      <c r="R510">
        <f t="shared" si="49"/>
        <v>444628.2</v>
      </c>
      <c r="S510">
        <f t="shared" si="50"/>
        <v>444628.2</v>
      </c>
      <c r="T510">
        <f t="shared" si="51"/>
        <v>4781045.4000000004</v>
      </c>
      <c r="U510">
        <f t="shared" si="52"/>
        <v>4781045.4000000004</v>
      </c>
      <c r="V510">
        <f t="shared" si="53"/>
        <v>2653563.6</v>
      </c>
      <c r="W510">
        <f t="shared" si="54"/>
        <v>2653563.6</v>
      </c>
      <c r="Y510">
        <f t="shared" si="55"/>
        <v>0.91685597201576452</v>
      </c>
      <c r="Z510">
        <f t="shared" si="56"/>
        <v>0.91685597201576452</v>
      </c>
      <c r="AA510">
        <f t="shared" si="57"/>
        <v>0.91685597201576452</v>
      </c>
      <c r="AB510">
        <f t="shared" si="58"/>
        <v>1.407605399400927</v>
      </c>
      <c r="AC510">
        <f t="shared" si="59"/>
        <v>1.407605399400927</v>
      </c>
      <c r="AD510">
        <f t="shared" si="60"/>
        <v>1.087861288595013</v>
      </c>
      <c r="AE510">
        <f t="shared" si="61"/>
        <v>1.087861288595013</v>
      </c>
      <c r="AF510">
        <f t="shared" si="62"/>
        <v>2.3591616463963869</v>
      </c>
      <c r="AG510">
        <f t="shared" si="63"/>
        <v>2.3591616463963869</v>
      </c>
      <c r="AH510">
        <f t="shared" si="64"/>
        <v>3.0878420071909209</v>
      </c>
      <c r="AI510">
        <f t="shared" si="65"/>
        <v>3.0878420071909209</v>
      </c>
      <c r="AK510">
        <f t="shared" si="66"/>
        <v>0.91685597201576452</v>
      </c>
      <c r="AL510">
        <f t="shared" si="67"/>
        <v>0.91685597201576452</v>
      </c>
      <c r="AM510">
        <f t="shared" si="68"/>
        <v>0.91685597201576452</v>
      </c>
      <c r="AN510">
        <f t="shared" si="69"/>
        <v>1.407605399400927</v>
      </c>
      <c r="AO510">
        <f t="shared" si="70"/>
        <v>1.407605399400927</v>
      </c>
      <c r="AP510">
        <f t="shared" si="71"/>
        <v>1.087861288595013</v>
      </c>
      <c r="AQ510">
        <f t="shared" si="72"/>
        <v>1.087861288595013</v>
      </c>
      <c r="AR510">
        <f t="shared" si="73"/>
        <v>1.356834216997959</v>
      </c>
      <c r="AS510">
        <f t="shared" si="74"/>
        <v>1.356834216997959</v>
      </c>
      <c r="AT510">
        <f t="shared" si="75"/>
        <v>3.0878420071909209</v>
      </c>
      <c r="AU510">
        <f t="shared" si="76"/>
        <v>3.0878420071909209</v>
      </c>
    </row>
    <row r="511" spans="1:47" x14ac:dyDescent="0.3">
      <c r="A511">
        <v>9</v>
      </c>
      <c r="B511" t="s">
        <v>171</v>
      </c>
      <c r="C511" t="s">
        <v>163</v>
      </c>
      <c r="D511" t="s">
        <v>164</v>
      </c>
      <c r="F511" s="7">
        <v>0</v>
      </c>
      <c r="G511" s="7">
        <v>1</v>
      </c>
      <c r="H511" s="3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1031918.6</v>
      </c>
      <c r="O511">
        <f t="shared" si="46"/>
        <v>1035904.6</v>
      </c>
      <c r="P511">
        <f t="shared" si="47"/>
        <v>215294.8</v>
      </c>
      <c r="Q511">
        <f t="shared" si="48"/>
        <v>448656.4</v>
      </c>
      <c r="R511">
        <f t="shared" si="49"/>
        <v>50634.2</v>
      </c>
      <c r="S511">
        <f t="shared" si="50"/>
        <v>447790.2</v>
      </c>
      <c r="T511">
        <f t="shared" si="51"/>
        <v>4163650.2</v>
      </c>
      <c r="U511">
        <f t="shared" si="52"/>
        <v>3518659.4</v>
      </c>
      <c r="V511">
        <f t="shared" si="53"/>
        <v>545489.80000000005</v>
      </c>
      <c r="W511">
        <f t="shared" si="54"/>
        <v>1015106.8</v>
      </c>
      <c r="Y511">
        <f t="shared" si="55"/>
        <v>0.76953355858568107</v>
      </c>
      <c r="Z511">
        <f t="shared" si="56"/>
        <v>1.3259741964051499</v>
      </c>
      <c r="AA511">
        <f t="shared" si="57"/>
        <v>1.313796569523402</v>
      </c>
      <c r="AB511">
        <f t="shared" si="58"/>
        <v>0.57456231760152154</v>
      </c>
      <c r="AC511">
        <f t="shared" si="59"/>
        <v>0.9787950708152493</v>
      </c>
      <c r="AD511">
        <f t="shared" si="60"/>
        <v>0.1609848410007543</v>
      </c>
      <c r="AE511">
        <f t="shared" si="61"/>
        <v>1.003440622449852</v>
      </c>
      <c r="AF511">
        <f t="shared" si="62"/>
        <v>1.899904123996385</v>
      </c>
      <c r="AG511">
        <f t="shared" si="63"/>
        <v>2.2022374475491229</v>
      </c>
      <c r="AH511">
        <f t="shared" si="64"/>
        <v>1.1825280411634591</v>
      </c>
      <c r="AI511">
        <f t="shared" si="65"/>
        <v>2.352314094430767</v>
      </c>
      <c r="AK511">
        <f t="shared" si="66"/>
        <v>0.76953355858568107</v>
      </c>
      <c r="AL511">
        <f t="shared" si="67"/>
        <v>0.51617308782879268</v>
      </c>
      <c r="AM511">
        <f t="shared" si="68"/>
        <v>0.50684285359457137</v>
      </c>
      <c r="AN511">
        <f t="shared" si="69"/>
        <v>0.57456231760152154</v>
      </c>
      <c r="AO511">
        <f t="shared" si="70"/>
        <v>0.44206690340070048</v>
      </c>
      <c r="AP511">
        <f t="shared" si="71"/>
        <v>0.1609848410007543</v>
      </c>
      <c r="AQ511">
        <f t="shared" si="72"/>
        <v>0.5556792878080159</v>
      </c>
      <c r="AR511">
        <f t="shared" si="73"/>
        <v>1.092919798195362</v>
      </c>
      <c r="AS511">
        <f t="shared" si="74"/>
        <v>0.49776294720359149</v>
      </c>
      <c r="AT511">
        <f t="shared" si="75"/>
        <v>1.1825280411634591</v>
      </c>
      <c r="AU511">
        <f t="shared" si="76"/>
        <v>1.141271126386709</v>
      </c>
    </row>
    <row r="512" spans="1:47" x14ac:dyDescent="0.3">
      <c r="A512">
        <v>10</v>
      </c>
      <c r="B512" t="s">
        <v>172</v>
      </c>
      <c r="C512" t="s">
        <v>173</v>
      </c>
      <c r="D512" t="s">
        <v>174</v>
      </c>
      <c r="F512" s="7">
        <v>0</v>
      </c>
      <c r="G512" s="7">
        <v>0</v>
      </c>
      <c r="H512" s="3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>
        <f t="shared" si="44"/>
        <v>692437.4</v>
      </c>
      <c r="N512">
        <f t="shared" si="45"/>
        <v>692437.4</v>
      </c>
      <c r="O512">
        <f t="shared" si="46"/>
        <v>692437.4</v>
      </c>
      <c r="P512">
        <f t="shared" si="47"/>
        <v>889109</v>
      </c>
      <c r="Q512">
        <f t="shared" si="48"/>
        <v>889109</v>
      </c>
      <c r="R512">
        <f t="shared" si="49"/>
        <v>660367</v>
      </c>
      <c r="S512">
        <f t="shared" si="50"/>
        <v>660367</v>
      </c>
      <c r="T512">
        <f t="shared" si="51"/>
        <v>3566002.8</v>
      </c>
      <c r="U512">
        <f t="shared" si="52"/>
        <v>3566002.8</v>
      </c>
      <c r="V512">
        <f t="shared" si="53"/>
        <v>989511.8</v>
      </c>
      <c r="W512">
        <f t="shared" si="54"/>
        <v>989511.8</v>
      </c>
      <c r="Y512">
        <f t="shared" si="55"/>
        <v>0.84160284319659695</v>
      </c>
      <c r="Z512">
        <f t="shared" si="56"/>
        <v>0.84160284319659695</v>
      </c>
      <c r="AA512">
        <f t="shared" si="57"/>
        <v>0.84160284319659695</v>
      </c>
      <c r="AB512">
        <f t="shared" si="58"/>
        <v>1.1517639585974391</v>
      </c>
      <c r="AC512">
        <f t="shared" si="59"/>
        <v>1.1517639585974391</v>
      </c>
      <c r="AD512">
        <f t="shared" si="60"/>
        <v>1.111602676997427</v>
      </c>
      <c r="AE512">
        <f t="shared" si="61"/>
        <v>1.111602676997427</v>
      </c>
      <c r="AF512">
        <f t="shared" si="62"/>
        <v>1.466855921794195</v>
      </c>
      <c r="AG512">
        <f t="shared" si="63"/>
        <v>1.466855921794195</v>
      </c>
      <c r="AH512">
        <f t="shared" si="64"/>
        <v>3.0001733183977199</v>
      </c>
      <c r="AI512">
        <f t="shared" si="65"/>
        <v>3.0001733183977199</v>
      </c>
      <c r="AK512">
        <f t="shared" si="66"/>
        <v>0.84160284319659695</v>
      </c>
      <c r="AL512">
        <f t="shared" si="67"/>
        <v>0.84160284319659695</v>
      </c>
      <c r="AM512">
        <f t="shared" si="68"/>
        <v>0.84160284319659695</v>
      </c>
      <c r="AN512">
        <f t="shared" si="69"/>
        <v>1.1517639585974391</v>
      </c>
      <c r="AO512">
        <f t="shared" si="70"/>
        <v>1.1517639585974391</v>
      </c>
      <c r="AP512">
        <f t="shared" si="71"/>
        <v>1.111602676997427</v>
      </c>
      <c r="AQ512">
        <f t="shared" si="72"/>
        <v>1.111602676997427</v>
      </c>
      <c r="AR512">
        <f t="shared" si="73"/>
        <v>0.760800453403499</v>
      </c>
      <c r="AS512">
        <f t="shared" si="74"/>
        <v>0.760800453403499</v>
      </c>
      <c r="AT512">
        <f t="shared" si="75"/>
        <v>3.0001733183977199</v>
      </c>
      <c r="AU512">
        <f t="shared" si="76"/>
        <v>3.0001733183977199</v>
      </c>
    </row>
    <row r="513" spans="1:47" x14ac:dyDescent="0.3">
      <c r="A513">
        <v>10</v>
      </c>
      <c r="B513" t="s">
        <v>175</v>
      </c>
      <c r="C513" t="s">
        <v>173</v>
      </c>
      <c r="D513" t="s">
        <v>174</v>
      </c>
      <c r="F513" s="7">
        <v>0</v>
      </c>
      <c r="G513" s="7">
        <v>1</v>
      </c>
      <c r="H513" s="3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379003.4</v>
      </c>
      <c r="O513">
        <f t="shared" ref="O513:O543" si="83">IF($AY132 &gt; 0, O132, M132)</f>
        <v>379003.4</v>
      </c>
      <c r="P513">
        <f t="shared" ref="P513:P543" si="84">IF($AY132 &gt; 0, P132, P132)</f>
        <v>307053</v>
      </c>
      <c r="Q513">
        <f t="shared" ref="Q513:Q543" si="85">IF($AY132 &gt; 0, Q132, P132)</f>
        <v>307053</v>
      </c>
      <c r="R513">
        <f t="shared" ref="R513:R543" si="86">IF($AY132 &gt; 0, R132, R132)</f>
        <v>76846</v>
      </c>
      <c r="S513">
        <f t="shared" ref="S513:S543" si="87">IF($AY132 &gt; 0, S132, R132)</f>
        <v>76846</v>
      </c>
      <c r="T513">
        <f t="shared" ref="T513:T543" si="88">IF($AY132 &gt; 0, T132, T132)</f>
        <v>3565654.6</v>
      </c>
      <c r="U513">
        <f t="shared" ref="U513:U543" si="89">IF($AY132 &gt; 0, U132, T132)</f>
        <v>3565654.6</v>
      </c>
      <c r="V513">
        <f t="shared" ref="V513:V543" si="90">IF($AY132 &gt; 0, V132, V132)</f>
        <v>207456.8</v>
      </c>
      <c r="W513">
        <f t="shared" ref="W513:W543" si="91">IF($AY132 &gt; 0, W132, V132)</f>
        <v>207456.8</v>
      </c>
      <c r="Y513">
        <f t="shared" ref="Y513:Y543" si="92">IF($AY132 &gt; 0, Y132, Y132)</f>
        <v>0.5974349176045507</v>
      </c>
      <c r="Z513">
        <f t="shared" ref="Z513:Z543" si="93">IF($AY132 &gt; 0, Z132, Y132)</f>
        <v>0.5974349176045507</v>
      </c>
      <c r="AA513">
        <f t="shared" ref="AA513:AA543" si="94">IF($AY132 &gt; 0, AA132, Y132)</f>
        <v>0.5974349176045507</v>
      </c>
      <c r="AB513">
        <f t="shared" ref="AB513:AB543" si="95">IF($AY132 &gt; 0, AB132, AB132)</f>
        <v>0.59221325399703351</v>
      </c>
      <c r="AC513">
        <f t="shared" ref="AC513:AC543" si="96">IF($AY132 &gt; 0, AC132, AB132)</f>
        <v>0.59221325399703351</v>
      </c>
      <c r="AD513">
        <f t="shared" ref="AD513:AD543" si="97">IF($AY132 &gt; 0, AD132, AD132)</f>
        <v>0.20682277680607511</v>
      </c>
      <c r="AE513">
        <f t="shared" ref="AE513:AE543" si="98">IF($AY132 &gt; 0, AE132, AD132)</f>
        <v>0.20682277680607511</v>
      </c>
      <c r="AF513">
        <f t="shared" ref="AF513:AF543" si="99">IF($AY132 &gt; 0, AF132, AF132)</f>
        <v>1.478061935200822</v>
      </c>
      <c r="AG513">
        <f t="shared" ref="AG513:AG543" si="100">IF($AY132 &gt; 0, AG132, AF132)</f>
        <v>1.478061935200822</v>
      </c>
      <c r="AH513">
        <f t="shared" ref="AH513:AH543" si="101">IF($AY132 &gt; 0, AH132, AH132)</f>
        <v>1.2724952880060301</v>
      </c>
      <c r="AI513">
        <f t="shared" ref="AI513:AI543" si="102">IF($AY132 &gt; 0, AI132, AH132)</f>
        <v>1.2724952880060301</v>
      </c>
      <c r="AK513">
        <f t="shared" ref="AK513:AK543" si="103">IF($AY132 &gt; 0, AK132, AK132)</f>
        <v>0.5974349176045507</v>
      </c>
      <c r="AL513">
        <f t="shared" ref="AL513:AL543" si="104">IF($AY132 &gt; 0, AL132, AK132)</f>
        <v>0.5974349176045507</v>
      </c>
      <c r="AM513">
        <f t="shared" ref="AM513:AM543" si="105">IF($AY132 &gt; 0, AM132, AK132)</f>
        <v>0.5974349176045507</v>
      </c>
      <c r="AN513">
        <f t="shared" ref="AN513:AN543" si="106">IF($AY132 &gt; 0, AN132, AN132)</f>
        <v>0.59221325399703351</v>
      </c>
      <c r="AO513">
        <f t="shared" ref="AO513:AO543" si="107">IF($AY132 &gt; 0, AO132, AN132)</f>
        <v>0.59221325399703351</v>
      </c>
      <c r="AP513">
        <f t="shared" ref="AP513:AP543" si="108">IF($AY132 &gt; 0, AP132, AP132)</f>
        <v>0.20682277680607511</v>
      </c>
      <c r="AQ513">
        <f t="shared" ref="AQ513:AQ543" si="109">IF($AY132 &gt; 0, AQ132, AP132)</f>
        <v>0.20682277680607511</v>
      </c>
      <c r="AR513">
        <f t="shared" ref="AR513:AR543" si="110">IF($AY132 &gt; 0, AR132, AR132)</f>
        <v>0.77358075900701806</v>
      </c>
      <c r="AS513">
        <f t="shared" ref="AS513:AS543" si="111">IF($AY132 &gt; 0, AS132, AR132)</f>
        <v>0.77358075900701806</v>
      </c>
      <c r="AT513">
        <f t="shared" ref="AT513:AT543" si="112">IF($AY132 &gt; 0, AT132, AT132)</f>
        <v>1.2724952880060301</v>
      </c>
      <c r="AU513">
        <f t="shared" ref="AU513:AU543" si="113">IF($AY132 &gt; 0, AU132, AT132)</f>
        <v>1.2724952880060301</v>
      </c>
    </row>
    <row r="514" spans="1:47" x14ac:dyDescent="0.3">
      <c r="A514">
        <v>10</v>
      </c>
      <c r="B514" t="s">
        <v>176</v>
      </c>
      <c r="C514" t="s">
        <v>173</v>
      </c>
      <c r="D514" t="s">
        <v>174</v>
      </c>
      <c r="F514" s="7">
        <v>0</v>
      </c>
      <c r="G514" s="7">
        <v>1</v>
      </c>
      <c r="H514" s="3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561553.80000000005</v>
      </c>
      <c r="O514">
        <f t="shared" si="83"/>
        <v>561794.08571428573</v>
      </c>
      <c r="P514">
        <f t="shared" si="84"/>
        <v>632884.80000000005</v>
      </c>
      <c r="Q514">
        <f t="shared" si="85"/>
        <v>391822.82857142849</v>
      </c>
      <c r="R514">
        <f t="shared" si="86"/>
        <v>444719.8</v>
      </c>
      <c r="S514">
        <f t="shared" si="87"/>
        <v>279467.34285714291</v>
      </c>
      <c r="T514">
        <f t="shared" si="88"/>
        <v>3280068.2</v>
      </c>
      <c r="U514">
        <f t="shared" si="89"/>
        <v>2578541.6857142858</v>
      </c>
      <c r="V514">
        <f t="shared" si="90"/>
        <v>766603.8</v>
      </c>
      <c r="W514">
        <f t="shared" si="91"/>
        <v>267620.48571428581</v>
      </c>
      <c r="Y514">
        <f t="shared" si="92"/>
        <v>0.62592161758802833</v>
      </c>
      <c r="Z514">
        <f t="shared" si="93"/>
        <v>0.82299022439734215</v>
      </c>
      <c r="AA514">
        <f t="shared" si="94"/>
        <v>0.81982640986430599</v>
      </c>
      <c r="AB514">
        <f t="shared" si="95"/>
        <v>0.77837068199878556</v>
      </c>
      <c r="AC514">
        <f t="shared" si="96"/>
        <v>0.71129941737703384</v>
      </c>
      <c r="AD514">
        <f t="shared" si="97"/>
        <v>1.147398846794385</v>
      </c>
      <c r="AE514">
        <f t="shared" si="98"/>
        <v>1.1551335421706821</v>
      </c>
      <c r="AF514">
        <f t="shared" si="99"/>
        <v>1.132805610401556</v>
      </c>
      <c r="AG514">
        <f t="shared" si="100"/>
        <v>1.284280148857007</v>
      </c>
      <c r="AH514">
        <f t="shared" si="101"/>
        <v>2.125794582010712</v>
      </c>
      <c r="AI514">
        <f t="shared" si="102"/>
        <v>0.93486421881077286</v>
      </c>
      <c r="AK514">
        <f t="shared" si="103"/>
        <v>0.62592161758802833</v>
      </c>
      <c r="AL514">
        <f t="shared" si="104"/>
        <v>0.37960408696505638</v>
      </c>
      <c r="AM514">
        <f t="shared" si="105"/>
        <v>0.37910495527487781</v>
      </c>
      <c r="AN514">
        <f t="shared" si="106"/>
        <v>0.77837068199878556</v>
      </c>
      <c r="AO514">
        <f t="shared" si="107"/>
        <v>0.33495745305886632</v>
      </c>
      <c r="AP514">
        <f t="shared" si="108"/>
        <v>1.147398846794385</v>
      </c>
      <c r="AQ514">
        <f t="shared" si="109"/>
        <v>0.52556863589644698</v>
      </c>
      <c r="AR514">
        <f t="shared" si="110"/>
        <v>0.58105772901326413</v>
      </c>
      <c r="AS514">
        <f t="shared" si="111"/>
        <v>0.34400843990900148</v>
      </c>
      <c r="AT514">
        <f t="shared" si="112"/>
        <v>2.125794582010712</v>
      </c>
      <c r="AU514">
        <f t="shared" si="113"/>
        <v>0.44572229847711109</v>
      </c>
    </row>
    <row r="515" spans="1:47" x14ac:dyDescent="0.3">
      <c r="A515">
        <v>10</v>
      </c>
      <c r="B515" t="s">
        <v>177</v>
      </c>
      <c r="C515" t="s">
        <v>173</v>
      </c>
      <c r="D515" t="s">
        <v>174</v>
      </c>
      <c r="F515" s="7">
        <v>0</v>
      </c>
      <c r="G515" s="7">
        <v>0</v>
      </c>
      <c r="H515" s="3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464108.3142857143</v>
      </c>
      <c r="O515">
        <f t="shared" si="83"/>
        <v>464429</v>
      </c>
      <c r="P515">
        <f t="shared" si="84"/>
        <v>203441</v>
      </c>
      <c r="Q515">
        <f t="shared" si="85"/>
        <v>268277.40000000002</v>
      </c>
      <c r="R515">
        <f t="shared" si="86"/>
        <v>136275</v>
      </c>
      <c r="S515">
        <f t="shared" si="87"/>
        <v>178807.88571428569</v>
      </c>
      <c r="T515">
        <f t="shared" si="88"/>
        <v>3284569.6</v>
      </c>
      <c r="U515">
        <f t="shared" si="89"/>
        <v>2578761.6285714288</v>
      </c>
      <c r="V515">
        <f t="shared" si="90"/>
        <v>26327.8</v>
      </c>
      <c r="W515">
        <f t="shared" si="91"/>
        <v>105557.8857142857</v>
      </c>
      <c r="Y515">
        <f t="shared" si="92"/>
        <v>0.6776605556020513</v>
      </c>
      <c r="Z515">
        <f t="shared" si="93"/>
        <v>0.75205928149599843</v>
      </c>
      <c r="AA515">
        <f t="shared" si="94"/>
        <v>0.75089851650908324</v>
      </c>
      <c r="AB515">
        <f t="shared" si="95"/>
        <v>0.44389962120039861</v>
      </c>
      <c r="AC515">
        <f t="shared" si="96"/>
        <v>0.60947181265634887</v>
      </c>
      <c r="AD515">
        <f t="shared" si="97"/>
        <v>0.75640446537872774</v>
      </c>
      <c r="AE515">
        <f t="shared" si="98"/>
        <v>1.021561031151629</v>
      </c>
      <c r="AF515">
        <f t="shared" si="99"/>
        <v>1.134429249784443</v>
      </c>
      <c r="AG515">
        <f t="shared" si="100"/>
        <v>1.2776439135461779</v>
      </c>
      <c r="AH515">
        <f t="shared" si="101"/>
        <v>0.1380777016165666</v>
      </c>
      <c r="AI515">
        <f t="shared" si="102"/>
        <v>0.71836669534511333</v>
      </c>
      <c r="AK515">
        <f t="shared" si="103"/>
        <v>0.6776605556020513</v>
      </c>
      <c r="AL515">
        <f t="shared" si="104"/>
        <v>0.34360143950907512</v>
      </c>
      <c r="AM515">
        <f t="shared" si="105"/>
        <v>0.34344174446804182</v>
      </c>
      <c r="AN515">
        <f t="shared" si="106"/>
        <v>0.44389962120039861</v>
      </c>
      <c r="AO515">
        <f t="shared" si="107"/>
        <v>0.30448869179734689</v>
      </c>
      <c r="AP515">
        <f t="shared" si="108"/>
        <v>0.75640446537872774</v>
      </c>
      <c r="AQ515">
        <f t="shared" si="109"/>
        <v>0.48860346654296982</v>
      </c>
      <c r="AR515">
        <f t="shared" si="110"/>
        <v>0.58039864198071878</v>
      </c>
      <c r="AS515">
        <f t="shared" si="111"/>
        <v>0.34282103307611711</v>
      </c>
      <c r="AT515">
        <f t="shared" si="112"/>
        <v>0.1380777016165666</v>
      </c>
      <c r="AU515">
        <f t="shared" si="113"/>
        <v>0.41066910519563998</v>
      </c>
    </row>
    <row r="516" spans="1:47" x14ac:dyDescent="0.3">
      <c r="A516">
        <v>10</v>
      </c>
      <c r="B516" t="s">
        <v>178</v>
      </c>
      <c r="C516" t="s">
        <v>173</v>
      </c>
      <c r="D516" t="s">
        <v>174</v>
      </c>
      <c r="F516" s="7">
        <v>0</v>
      </c>
      <c r="G516" s="7">
        <v>1</v>
      </c>
      <c r="H516" s="3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506070.11428571428</v>
      </c>
      <c r="O516">
        <f t="shared" si="83"/>
        <v>506194.91428571427</v>
      </c>
      <c r="P516">
        <f t="shared" si="84"/>
        <v>279969.59999999998</v>
      </c>
      <c r="Q516">
        <f t="shared" si="85"/>
        <v>328766.77142857137</v>
      </c>
      <c r="R516">
        <f t="shared" si="86"/>
        <v>235405.8</v>
      </c>
      <c r="S516">
        <f t="shared" si="87"/>
        <v>291549.77142857137</v>
      </c>
      <c r="T516">
        <f t="shared" si="88"/>
        <v>3167685</v>
      </c>
      <c r="U516">
        <f t="shared" si="89"/>
        <v>2489042.5714285718</v>
      </c>
      <c r="V516">
        <f t="shared" si="90"/>
        <v>78718</v>
      </c>
      <c r="W516">
        <f t="shared" si="91"/>
        <v>157566.11428571431</v>
      </c>
      <c r="Y516">
        <f t="shared" si="92"/>
        <v>0.58250589321833102</v>
      </c>
      <c r="Z516">
        <f t="shared" si="93"/>
        <v>0.79543599077899541</v>
      </c>
      <c r="AA516">
        <f t="shared" si="94"/>
        <v>0.79444414763046167</v>
      </c>
      <c r="AB516">
        <f t="shared" si="95"/>
        <v>0.41792891860532111</v>
      </c>
      <c r="AC516">
        <f t="shared" si="96"/>
        <v>0.63719821791538767</v>
      </c>
      <c r="AD516">
        <f t="shared" si="97"/>
        <v>1.0770863984129391</v>
      </c>
      <c r="AE516">
        <f t="shared" si="98"/>
        <v>1.369562669033517</v>
      </c>
      <c r="AF516">
        <f t="shared" si="99"/>
        <v>1.108524676400702</v>
      </c>
      <c r="AG516">
        <f t="shared" si="100"/>
        <v>1.271885951051289</v>
      </c>
      <c r="AH516">
        <f t="shared" si="101"/>
        <v>0.49143977641360842</v>
      </c>
      <c r="AI516">
        <f t="shared" si="102"/>
        <v>0.90162170627819638</v>
      </c>
      <c r="AK516">
        <f t="shared" si="103"/>
        <v>0.58250589321833102</v>
      </c>
      <c r="AL516">
        <f t="shared" si="104"/>
        <v>0.37094371880271598</v>
      </c>
      <c r="AM516">
        <f t="shared" si="105"/>
        <v>0.37058474915102119</v>
      </c>
      <c r="AN516">
        <f t="shared" si="106"/>
        <v>0.41792891860532111</v>
      </c>
      <c r="AO516">
        <f t="shared" si="107"/>
        <v>0.32640539471550639</v>
      </c>
      <c r="AP516">
        <f t="shared" si="108"/>
        <v>1.0770863984129391</v>
      </c>
      <c r="AQ516">
        <f t="shared" si="109"/>
        <v>0.52473446027974469</v>
      </c>
      <c r="AR516">
        <f t="shared" si="110"/>
        <v>0.58350444878451524</v>
      </c>
      <c r="AS516">
        <f t="shared" si="111"/>
        <v>0.35317439647624271</v>
      </c>
      <c r="AT516">
        <f t="shared" si="112"/>
        <v>0.49143977641360842</v>
      </c>
      <c r="AU516">
        <f t="shared" si="113"/>
        <v>0.46024424382984369</v>
      </c>
    </row>
    <row r="517" spans="1:47" x14ac:dyDescent="0.3">
      <c r="A517">
        <v>10</v>
      </c>
      <c r="B517" t="s">
        <v>179</v>
      </c>
      <c r="C517" t="s">
        <v>173</v>
      </c>
      <c r="D517" t="s">
        <v>174</v>
      </c>
      <c r="F517" s="7">
        <v>0</v>
      </c>
      <c r="G517" s="7">
        <v>0</v>
      </c>
      <c r="H517" s="3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482964.2</v>
      </c>
      <c r="O517">
        <f t="shared" si="83"/>
        <v>483182.97142857139</v>
      </c>
      <c r="P517">
        <f t="shared" si="84"/>
        <v>250970</v>
      </c>
      <c r="Q517">
        <f t="shared" si="85"/>
        <v>262039.48571428569</v>
      </c>
      <c r="R517">
        <f t="shared" si="86"/>
        <v>200401.6</v>
      </c>
      <c r="S517">
        <f t="shared" si="87"/>
        <v>225072.2</v>
      </c>
      <c r="T517">
        <f t="shared" si="88"/>
        <v>3173087.6</v>
      </c>
      <c r="U517">
        <f t="shared" si="89"/>
        <v>2491135.6</v>
      </c>
      <c r="V517">
        <f t="shared" si="90"/>
        <v>60342.6</v>
      </c>
      <c r="W517">
        <f t="shared" si="91"/>
        <v>114027.2</v>
      </c>
      <c r="Y517">
        <f t="shared" si="92"/>
        <v>0.63144248839234929</v>
      </c>
      <c r="Z517">
        <f t="shared" si="93"/>
        <v>0.77385596841174575</v>
      </c>
      <c r="AA517">
        <f t="shared" si="94"/>
        <v>0.77074300587576405</v>
      </c>
      <c r="AB517">
        <f t="shared" si="95"/>
        <v>0.4034692386019742</v>
      </c>
      <c r="AC517">
        <f t="shared" si="96"/>
        <v>0.58170452137336337</v>
      </c>
      <c r="AD517">
        <f t="shared" si="97"/>
        <v>1.070372043608222</v>
      </c>
      <c r="AE517">
        <f t="shared" si="98"/>
        <v>1.300100988533814</v>
      </c>
      <c r="AF517">
        <f t="shared" si="99"/>
        <v>1.1211580935865639</v>
      </c>
      <c r="AG517">
        <f t="shared" si="100"/>
        <v>1.2592980772905451</v>
      </c>
      <c r="AH517">
        <f t="shared" si="101"/>
        <v>0.34084510479588059</v>
      </c>
      <c r="AI517">
        <f t="shared" si="102"/>
        <v>0.72779818033866051</v>
      </c>
      <c r="AK517">
        <f t="shared" si="103"/>
        <v>0.63144248839234929</v>
      </c>
      <c r="AL517">
        <f t="shared" si="104"/>
        <v>0.34819277964000189</v>
      </c>
      <c r="AM517">
        <f t="shared" si="105"/>
        <v>0.34812483056448401</v>
      </c>
      <c r="AN517">
        <f t="shared" si="106"/>
        <v>0.4034692386019742</v>
      </c>
      <c r="AO517">
        <f t="shared" si="107"/>
        <v>0.29326218497299122</v>
      </c>
      <c r="AP517">
        <f t="shared" si="108"/>
        <v>1.070372043608222</v>
      </c>
      <c r="AQ517">
        <f t="shared" si="109"/>
        <v>0.49225067179650073</v>
      </c>
      <c r="AR517">
        <f t="shared" si="110"/>
        <v>0.59455348519841211</v>
      </c>
      <c r="AS517">
        <f t="shared" si="111"/>
        <v>0.3495627490005323</v>
      </c>
      <c r="AT517">
        <f t="shared" si="112"/>
        <v>0.34084510479588059</v>
      </c>
      <c r="AU517">
        <f t="shared" si="113"/>
        <v>0.37852026486070828</v>
      </c>
    </row>
    <row r="518" spans="1:47" x14ac:dyDescent="0.3">
      <c r="A518">
        <v>10</v>
      </c>
      <c r="B518" t="s">
        <v>180</v>
      </c>
      <c r="C518" t="s">
        <v>173</v>
      </c>
      <c r="D518" t="s">
        <v>174</v>
      </c>
      <c r="F518" s="7">
        <v>0</v>
      </c>
      <c r="G518" s="7">
        <v>0</v>
      </c>
      <c r="H518" s="3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>
        <f t="shared" si="81"/>
        <v>248481.2</v>
      </c>
      <c r="N518">
        <f t="shared" si="82"/>
        <v>248481.2</v>
      </c>
      <c r="O518">
        <f t="shared" si="83"/>
        <v>248481.2</v>
      </c>
      <c r="P518">
        <f t="shared" si="84"/>
        <v>199999.2</v>
      </c>
      <c r="Q518">
        <f t="shared" si="85"/>
        <v>199999.2</v>
      </c>
      <c r="R518">
        <f t="shared" si="86"/>
        <v>153187.20000000001</v>
      </c>
      <c r="S518">
        <f t="shared" si="87"/>
        <v>153187.20000000001</v>
      </c>
      <c r="T518">
        <f t="shared" si="88"/>
        <v>2881521.4</v>
      </c>
      <c r="U518">
        <f t="shared" si="89"/>
        <v>2881521.4</v>
      </c>
      <c r="V518">
        <f t="shared" si="90"/>
        <v>244.2</v>
      </c>
      <c r="W518">
        <f t="shared" si="91"/>
        <v>244.2</v>
      </c>
      <c r="Y518">
        <f t="shared" si="92"/>
        <v>0.36428370780777181</v>
      </c>
      <c r="Z518">
        <f t="shared" si="93"/>
        <v>0.36428370780777181</v>
      </c>
      <c r="AA518">
        <f t="shared" si="94"/>
        <v>0.36428370780777181</v>
      </c>
      <c r="AB518">
        <f t="shared" si="95"/>
        <v>0.32396598539780819</v>
      </c>
      <c r="AC518">
        <f t="shared" si="96"/>
        <v>0.32396598539780819</v>
      </c>
      <c r="AD518">
        <f t="shared" si="97"/>
        <v>1.092732053995132</v>
      </c>
      <c r="AE518">
        <f t="shared" si="98"/>
        <v>1.092732053995132</v>
      </c>
      <c r="AF518">
        <f t="shared" si="99"/>
        <v>0.79970955661265175</v>
      </c>
      <c r="AG518">
        <f t="shared" si="100"/>
        <v>0.79970955661265175</v>
      </c>
      <c r="AH518">
        <f t="shared" si="101"/>
        <v>5.3782430128193996E-3</v>
      </c>
      <c r="AI518">
        <f t="shared" si="102"/>
        <v>5.3782430128193996E-3</v>
      </c>
      <c r="AK518">
        <f t="shared" si="103"/>
        <v>0.36428370780777181</v>
      </c>
      <c r="AL518">
        <f t="shared" si="104"/>
        <v>0.36428370780777181</v>
      </c>
      <c r="AM518">
        <f t="shared" si="105"/>
        <v>0.36428370780777181</v>
      </c>
      <c r="AN518">
        <f t="shared" si="106"/>
        <v>0.32396598539780819</v>
      </c>
      <c r="AO518">
        <f t="shared" si="107"/>
        <v>0.32396598539780819</v>
      </c>
      <c r="AP518">
        <f t="shared" si="108"/>
        <v>1.092732053995132</v>
      </c>
      <c r="AQ518">
        <f t="shared" si="109"/>
        <v>1.092732053995132</v>
      </c>
      <c r="AR518">
        <f t="shared" si="110"/>
        <v>0.40378574720816679</v>
      </c>
      <c r="AS518">
        <f t="shared" si="111"/>
        <v>0.40378574720816679</v>
      </c>
      <c r="AT518">
        <f t="shared" si="112"/>
        <v>5.3782430128193996E-3</v>
      </c>
      <c r="AU518">
        <f t="shared" si="113"/>
        <v>5.3782430128193996E-3</v>
      </c>
    </row>
    <row r="519" spans="1:47" x14ac:dyDescent="0.3">
      <c r="A519">
        <v>10</v>
      </c>
      <c r="B519" t="s">
        <v>181</v>
      </c>
      <c r="C519" t="s">
        <v>173</v>
      </c>
      <c r="D519" t="s">
        <v>174</v>
      </c>
      <c r="F519" s="7">
        <v>0</v>
      </c>
      <c r="G519" s="7">
        <v>1</v>
      </c>
      <c r="H519" s="3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>
        <f t="shared" si="81"/>
        <v>644744</v>
      </c>
      <c r="N519">
        <f t="shared" si="82"/>
        <v>644744</v>
      </c>
      <c r="O519">
        <f t="shared" si="83"/>
        <v>644744</v>
      </c>
      <c r="P519">
        <f t="shared" si="84"/>
        <v>200025.2</v>
      </c>
      <c r="Q519">
        <f t="shared" si="85"/>
        <v>200025.2</v>
      </c>
      <c r="R519">
        <f t="shared" si="86"/>
        <v>183403.6</v>
      </c>
      <c r="S519">
        <f t="shared" si="87"/>
        <v>183403.6</v>
      </c>
      <c r="T519">
        <f t="shared" si="88"/>
        <v>2879306.8</v>
      </c>
      <c r="U519">
        <f t="shared" si="89"/>
        <v>2879306.8</v>
      </c>
      <c r="V519">
        <f t="shared" si="90"/>
        <v>1178.5999999999999</v>
      </c>
      <c r="W519">
        <f t="shared" si="91"/>
        <v>1178.5999999999999</v>
      </c>
      <c r="Y519">
        <f t="shared" si="92"/>
        <v>0.64667581279063602</v>
      </c>
      <c r="Z519">
        <f t="shared" si="93"/>
        <v>0.64667581279063602</v>
      </c>
      <c r="AA519">
        <f t="shared" si="94"/>
        <v>0.64667581279063602</v>
      </c>
      <c r="AB519">
        <f t="shared" si="95"/>
        <v>0.34135957079706708</v>
      </c>
      <c r="AC519">
        <f t="shared" si="96"/>
        <v>0.34135957079706708</v>
      </c>
      <c r="AD519">
        <f t="shared" si="97"/>
        <v>1.083862224593759</v>
      </c>
      <c r="AE519">
        <f t="shared" si="98"/>
        <v>1.083862224593759</v>
      </c>
      <c r="AF519">
        <f t="shared" si="99"/>
        <v>0.80186566982883956</v>
      </c>
      <c r="AG519">
        <f t="shared" si="100"/>
        <v>0.80186566982883956</v>
      </c>
      <c r="AH519">
        <f t="shared" si="101"/>
        <v>1.086270378436888E-2</v>
      </c>
      <c r="AI519">
        <f t="shared" si="102"/>
        <v>1.086270378436888E-2</v>
      </c>
      <c r="AK519">
        <f t="shared" si="103"/>
        <v>0.64667581279063602</v>
      </c>
      <c r="AL519">
        <f t="shared" si="104"/>
        <v>0.64667581279063602</v>
      </c>
      <c r="AM519">
        <f t="shared" si="105"/>
        <v>0.64667581279063602</v>
      </c>
      <c r="AN519">
        <f t="shared" si="106"/>
        <v>0.34135957079706708</v>
      </c>
      <c r="AO519">
        <f t="shared" si="107"/>
        <v>0.34135957079706708</v>
      </c>
      <c r="AP519">
        <f t="shared" si="108"/>
        <v>1.083862224593759</v>
      </c>
      <c r="AQ519">
        <f t="shared" si="109"/>
        <v>1.083862224593759</v>
      </c>
      <c r="AR519">
        <f t="shared" si="110"/>
        <v>0.40885675543686367</v>
      </c>
      <c r="AS519">
        <f t="shared" si="111"/>
        <v>0.40885675543686367</v>
      </c>
      <c r="AT519">
        <f t="shared" si="112"/>
        <v>1.086270378436888E-2</v>
      </c>
      <c r="AU519">
        <f t="shared" si="113"/>
        <v>1.086270378436888E-2</v>
      </c>
    </row>
    <row r="520" spans="1:47" x14ac:dyDescent="0.3">
      <c r="A520">
        <v>11</v>
      </c>
      <c r="B520" t="s">
        <v>182</v>
      </c>
      <c r="C520" t="s">
        <v>183</v>
      </c>
      <c r="D520" t="s">
        <v>184</v>
      </c>
      <c r="F520" s="7">
        <v>0</v>
      </c>
      <c r="G520" s="7">
        <v>0</v>
      </c>
      <c r="H520" s="3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>
        <f t="shared" si="81"/>
        <v>1116677.8</v>
      </c>
      <c r="N520">
        <f t="shared" si="82"/>
        <v>615579.4</v>
      </c>
      <c r="O520">
        <f t="shared" si="83"/>
        <v>616821.19999999995</v>
      </c>
      <c r="P520">
        <f t="shared" si="84"/>
        <v>645227.19999999995</v>
      </c>
      <c r="Q520">
        <f t="shared" si="85"/>
        <v>287052.2</v>
      </c>
      <c r="R520">
        <f t="shared" si="86"/>
        <v>848510</v>
      </c>
      <c r="S520">
        <f t="shared" si="87"/>
        <v>154580.4</v>
      </c>
      <c r="T520">
        <f t="shared" si="88"/>
        <v>2921304.4</v>
      </c>
      <c r="U520">
        <f t="shared" si="89"/>
        <v>2271571.6</v>
      </c>
      <c r="V520">
        <f t="shared" si="90"/>
        <v>663956.6</v>
      </c>
      <c r="W520">
        <f t="shared" si="91"/>
        <v>401967.2</v>
      </c>
      <c r="Y520">
        <f t="shared" si="92"/>
        <v>0.85255404899362475</v>
      </c>
      <c r="Z520">
        <f t="shared" si="93"/>
        <v>0.78694832441397011</v>
      </c>
      <c r="AA520">
        <f t="shared" si="94"/>
        <v>0.77769947054330257</v>
      </c>
      <c r="AB520">
        <f t="shared" si="95"/>
        <v>0.66952548079425467</v>
      </c>
      <c r="AC520">
        <f t="shared" si="96"/>
        <v>0.60997724219632798</v>
      </c>
      <c r="AD520">
        <f t="shared" si="97"/>
        <v>0.96370781440054998</v>
      </c>
      <c r="AE520">
        <f t="shared" si="98"/>
        <v>0.50719422537367786</v>
      </c>
      <c r="AF520">
        <f t="shared" si="99"/>
        <v>0.60087533699115736</v>
      </c>
      <c r="AG520">
        <f t="shared" si="100"/>
        <v>0.82747214530827473</v>
      </c>
      <c r="AH520">
        <f t="shared" si="101"/>
        <v>2.8245905157993549</v>
      </c>
      <c r="AI520">
        <f t="shared" si="102"/>
        <v>1.6868033487931831</v>
      </c>
      <c r="AK520">
        <f t="shared" si="103"/>
        <v>0.85255404899362475</v>
      </c>
      <c r="AL520">
        <f t="shared" si="104"/>
        <v>0.37097247721394522</v>
      </c>
      <c r="AM520">
        <f t="shared" si="105"/>
        <v>0.36449056757846848</v>
      </c>
      <c r="AN520">
        <f t="shared" si="106"/>
        <v>0.66952548079425467</v>
      </c>
      <c r="AO520">
        <f t="shared" si="107"/>
        <v>0.31094485940120647</v>
      </c>
      <c r="AP520">
        <f t="shared" si="108"/>
        <v>0.96370781440054998</v>
      </c>
      <c r="AQ520">
        <f t="shared" si="109"/>
        <v>0.30171246737008911</v>
      </c>
      <c r="AR520">
        <f t="shared" si="110"/>
        <v>0.30636287137167528</v>
      </c>
      <c r="AS520">
        <f t="shared" si="111"/>
        <v>0.31843203319003799</v>
      </c>
      <c r="AT520">
        <f t="shared" si="112"/>
        <v>2.8245905157993549</v>
      </c>
      <c r="AU520">
        <f t="shared" si="113"/>
        <v>0.69487706978106867</v>
      </c>
    </row>
    <row r="521" spans="1:47" x14ac:dyDescent="0.3">
      <c r="A521">
        <v>11</v>
      </c>
      <c r="B521" t="s">
        <v>185</v>
      </c>
      <c r="C521" t="s">
        <v>183</v>
      </c>
      <c r="D521" t="s">
        <v>184</v>
      </c>
      <c r="F521" s="7">
        <v>0</v>
      </c>
      <c r="G521" s="7">
        <v>1</v>
      </c>
      <c r="H521" s="3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>
        <f t="shared" si="81"/>
        <v>221783.6</v>
      </c>
      <c r="N521">
        <f t="shared" si="82"/>
        <v>221783.6</v>
      </c>
      <c r="O521">
        <f t="shared" si="83"/>
        <v>221783.6</v>
      </c>
      <c r="P521">
        <f t="shared" si="84"/>
        <v>223469.4</v>
      </c>
      <c r="Q521">
        <f t="shared" si="85"/>
        <v>223469.4</v>
      </c>
      <c r="R521">
        <f t="shared" si="86"/>
        <v>24139.4</v>
      </c>
      <c r="S521">
        <f t="shared" si="87"/>
        <v>24139.4</v>
      </c>
      <c r="T521">
        <f t="shared" si="88"/>
        <v>2923595</v>
      </c>
      <c r="U521">
        <f t="shared" si="89"/>
        <v>2923595</v>
      </c>
      <c r="V521">
        <f t="shared" si="90"/>
        <v>40470.400000000001</v>
      </c>
      <c r="W521">
        <f t="shared" si="91"/>
        <v>40470.400000000001</v>
      </c>
      <c r="Y521">
        <f t="shared" si="92"/>
        <v>0.30614333400735633</v>
      </c>
      <c r="Z521">
        <f t="shared" si="93"/>
        <v>0.30614333400735633</v>
      </c>
      <c r="AA521">
        <f t="shared" si="94"/>
        <v>0.30614333400735633</v>
      </c>
      <c r="AB521">
        <f t="shared" si="95"/>
        <v>0.32628556440467948</v>
      </c>
      <c r="AC521">
        <f t="shared" si="96"/>
        <v>0.32628556440467948</v>
      </c>
      <c r="AD521">
        <f t="shared" si="97"/>
        <v>0.14239498539827761</v>
      </c>
      <c r="AE521">
        <f t="shared" si="98"/>
        <v>0.14239498539827761</v>
      </c>
      <c r="AF521">
        <f t="shared" si="99"/>
        <v>0.59902052761754021</v>
      </c>
      <c r="AG521">
        <f t="shared" si="100"/>
        <v>0.59902052761754021</v>
      </c>
      <c r="AH521">
        <f t="shared" si="101"/>
        <v>0.1154053859761916</v>
      </c>
      <c r="AI521">
        <f t="shared" si="102"/>
        <v>0.1154053859761916</v>
      </c>
      <c r="AK521">
        <f t="shared" si="103"/>
        <v>0.30614333400735633</v>
      </c>
      <c r="AL521">
        <f t="shared" si="104"/>
        <v>0.30614333400735633</v>
      </c>
      <c r="AM521">
        <f t="shared" si="105"/>
        <v>0.30614333400735633</v>
      </c>
      <c r="AN521">
        <f t="shared" si="106"/>
        <v>0.32628556440467948</v>
      </c>
      <c r="AO521">
        <f t="shared" si="107"/>
        <v>0.32628556440467948</v>
      </c>
      <c r="AP521">
        <f t="shared" si="108"/>
        <v>0.14239498539827761</v>
      </c>
      <c r="AQ521">
        <f t="shared" si="109"/>
        <v>0.14239498539827761</v>
      </c>
      <c r="AR521">
        <f t="shared" si="110"/>
        <v>0.30349209961714219</v>
      </c>
      <c r="AS521">
        <f t="shared" si="111"/>
        <v>0.30349209961714219</v>
      </c>
      <c r="AT521">
        <f t="shared" si="112"/>
        <v>0.1154053859761916</v>
      </c>
      <c r="AU521">
        <f t="shared" si="113"/>
        <v>0.1154053859761916</v>
      </c>
    </row>
    <row r="522" spans="1:47" x14ac:dyDescent="0.3">
      <c r="A522">
        <v>11</v>
      </c>
      <c r="B522" t="s">
        <v>186</v>
      </c>
      <c r="C522" t="s">
        <v>183</v>
      </c>
      <c r="D522" t="s">
        <v>184</v>
      </c>
      <c r="F522" s="7">
        <v>0</v>
      </c>
      <c r="G522" s="7">
        <v>1</v>
      </c>
      <c r="H522" s="3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>
        <f t="shared" si="81"/>
        <v>202423.8</v>
      </c>
      <c r="N522">
        <f t="shared" si="82"/>
        <v>202423.8</v>
      </c>
      <c r="O522">
        <f t="shared" si="83"/>
        <v>202423.8</v>
      </c>
      <c r="P522">
        <f t="shared" si="84"/>
        <v>200001.6</v>
      </c>
      <c r="Q522">
        <f t="shared" si="85"/>
        <v>200001.6</v>
      </c>
      <c r="R522">
        <f t="shared" si="86"/>
        <v>9.4</v>
      </c>
      <c r="S522">
        <f t="shared" si="87"/>
        <v>9.4</v>
      </c>
      <c r="T522">
        <f t="shared" si="88"/>
        <v>2922651.4</v>
      </c>
      <c r="U522">
        <f t="shared" si="89"/>
        <v>2922651.4</v>
      </c>
      <c r="V522">
        <f t="shared" si="90"/>
        <v>476.4</v>
      </c>
      <c r="W522">
        <f t="shared" si="91"/>
        <v>476.4</v>
      </c>
      <c r="Y522">
        <f t="shared" si="92"/>
        <v>0.2545992519939318</v>
      </c>
      <c r="Z522">
        <f t="shared" si="93"/>
        <v>0.2545992519939318</v>
      </c>
      <c r="AA522">
        <f t="shared" si="94"/>
        <v>0.2545992519939318</v>
      </c>
      <c r="AB522">
        <f t="shared" si="95"/>
        <v>0.26623367099964518</v>
      </c>
      <c r="AC522">
        <f t="shared" si="96"/>
        <v>0.26623367099964518</v>
      </c>
      <c r="AD522">
        <f t="shared" si="97"/>
        <v>9.0074960805941337E-2</v>
      </c>
      <c r="AE522">
        <f t="shared" si="98"/>
        <v>9.0074960805941337E-2</v>
      </c>
      <c r="AF522">
        <f t="shared" si="99"/>
        <v>0.60207141976570711</v>
      </c>
      <c r="AG522">
        <f t="shared" si="100"/>
        <v>0.60207141976570711</v>
      </c>
      <c r="AH522">
        <f t="shared" si="101"/>
        <v>5.6341118179261199E-3</v>
      </c>
      <c r="AI522">
        <f t="shared" si="102"/>
        <v>5.6341118179261199E-3</v>
      </c>
      <c r="AK522">
        <f t="shared" si="103"/>
        <v>0.2545992519939318</v>
      </c>
      <c r="AL522">
        <f t="shared" si="104"/>
        <v>0.2545992519939318</v>
      </c>
      <c r="AM522">
        <f t="shared" si="105"/>
        <v>0.2545992519939318</v>
      </c>
      <c r="AN522">
        <f t="shared" si="106"/>
        <v>0.26623367099964518</v>
      </c>
      <c r="AO522">
        <f t="shared" si="107"/>
        <v>0.26623367099964518</v>
      </c>
      <c r="AP522">
        <f t="shared" si="108"/>
        <v>9.0074960805941337E-2</v>
      </c>
      <c r="AQ522">
        <f t="shared" si="109"/>
        <v>9.0074960805941337E-2</v>
      </c>
      <c r="AR522">
        <f t="shared" si="110"/>
        <v>0.30736479718470938</v>
      </c>
      <c r="AS522">
        <f t="shared" si="111"/>
        <v>0.30736479718470938</v>
      </c>
      <c r="AT522">
        <f t="shared" si="112"/>
        <v>5.6341118179261199E-3</v>
      </c>
      <c r="AU522">
        <f t="shared" si="113"/>
        <v>5.6341118179261199E-3</v>
      </c>
    </row>
    <row r="523" spans="1:47" x14ac:dyDescent="0.3">
      <c r="A523">
        <v>11</v>
      </c>
      <c r="B523" t="s">
        <v>187</v>
      </c>
      <c r="C523" t="s">
        <v>183</v>
      </c>
      <c r="D523" t="s">
        <v>184</v>
      </c>
      <c r="F523" s="7">
        <v>0</v>
      </c>
      <c r="G523" s="7">
        <v>0</v>
      </c>
      <c r="H523" s="3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>
        <f t="shared" si="81"/>
        <v>670520.4</v>
      </c>
      <c r="N523">
        <f t="shared" si="82"/>
        <v>543380.4</v>
      </c>
      <c r="O523">
        <f t="shared" si="83"/>
        <v>544133.80000000005</v>
      </c>
      <c r="P523">
        <f t="shared" si="84"/>
        <v>531619.6</v>
      </c>
      <c r="Q523">
        <f t="shared" si="85"/>
        <v>275185.8</v>
      </c>
      <c r="R523">
        <f t="shared" si="86"/>
        <v>238373</v>
      </c>
      <c r="S523">
        <f t="shared" si="87"/>
        <v>102211</v>
      </c>
      <c r="T523">
        <f t="shared" si="88"/>
        <v>2919608</v>
      </c>
      <c r="U523">
        <f t="shared" si="89"/>
        <v>2265893</v>
      </c>
      <c r="V523">
        <f t="shared" si="90"/>
        <v>1059873.6000000001</v>
      </c>
      <c r="W523">
        <f t="shared" si="91"/>
        <v>379522.4</v>
      </c>
      <c r="Y523">
        <f t="shared" si="92"/>
        <v>0.60388114599045362</v>
      </c>
      <c r="Z523">
        <f t="shared" si="93"/>
        <v>0.73357045280281452</v>
      </c>
      <c r="AA523">
        <f t="shared" si="94"/>
        <v>0.73064614795148375</v>
      </c>
      <c r="AB523">
        <f t="shared" si="95"/>
        <v>0.55557370059832467</v>
      </c>
      <c r="AC523">
        <f t="shared" si="96"/>
        <v>0.58113715320359915</v>
      </c>
      <c r="AD523">
        <f t="shared" si="97"/>
        <v>0.46547263939864941</v>
      </c>
      <c r="AE523">
        <f t="shared" si="98"/>
        <v>0.4784564353642054</v>
      </c>
      <c r="AF523">
        <f t="shared" si="99"/>
        <v>0.6021168584469706</v>
      </c>
      <c r="AG523">
        <f t="shared" si="100"/>
        <v>0.82563281444599856</v>
      </c>
      <c r="AH523">
        <f t="shared" si="101"/>
        <v>2.8707247044076212</v>
      </c>
      <c r="AI523">
        <f t="shared" si="102"/>
        <v>1.458141928398982</v>
      </c>
      <c r="AK523">
        <f t="shared" si="103"/>
        <v>0.60388114599045362</v>
      </c>
      <c r="AL523">
        <f t="shared" si="104"/>
        <v>0.34277767858002328</v>
      </c>
      <c r="AM523">
        <f t="shared" si="105"/>
        <v>0.34526955779874691</v>
      </c>
      <c r="AN523">
        <f t="shared" si="106"/>
        <v>0.55557370059832467</v>
      </c>
      <c r="AO523">
        <f t="shared" si="107"/>
        <v>0.29727254539902792</v>
      </c>
      <c r="AP523">
        <f t="shared" si="108"/>
        <v>0.46547263939864941</v>
      </c>
      <c r="AQ523">
        <f t="shared" si="109"/>
        <v>0.29641214557923368</v>
      </c>
      <c r="AR523">
        <f t="shared" si="110"/>
        <v>0.30457600504159932</v>
      </c>
      <c r="AS523">
        <f t="shared" si="111"/>
        <v>0.31486863039899621</v>
      </c>
      <c r="AT523">
        <f t="shared" si="112"/>
        <v>2.8707247044076212</v>
      </c>
      <c r="AU523">
        <f t="shared" si="113"/>
        <v>0.550866704818327</v>
      </c>
    </row>
    <row r="524" spans="1:47" x14ac:dyDescent="0.3">
      <c r="A524">
        <v>11</v>
      </c>
      <c r="B524" t="s">
        <v>188</v>
      </c>
      <c r="C524" t="s">
        <v>189</v>
      </c>
      <c r="D524" t="s">
        <v>190</v>
      </c>
      <c r="F524" s="7">
        <v>0</v>
      </c>
      <c r="G524" s="7">
        <v>0</v>
      </c>
      <c r="H524" s="3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>
        <f t="shared" si="81"/>
        <v>1978216.8</v>
      </c>
      <c r="N524">
        <f t="shared" si="82"/>
        <v>1978216.8</v>
      </c>
      <c r="O524">
        <f t="shared" si="83"/>
        <v>1978216.8</v>
      </c>
      <c r="P524">
        <f t="shared" si="84"/>
        <v>4631787.2</v>
      </c>
      <c r="Q524">
        <f t="shared" si="85"/>
        <v>4631787.2</v>
      </c>
      <c r="R524">
        <f t="shared" si="86"/>
        <v>4256270</v>
      </c>
      <c r="S524">
        <f t="shared" si="87"/>
        <v>4256270</v>
      </c>
      <c r="T524">
        <f t="shared" si="88"/>
        <v>4770700</v>
      </c>
      <c r="U524">
        <f t="shared" si="89"/>
        <v>4770700</v>
      </c>
      <c r="V524">
        <f t="shared" si="90"/>
        <v>2822356.8</v>
      </c>
      <c r="W524">
        <f t="shared" si="91"/>
        <v>2822356.8</v>
      </c>
      <c r="Y524">
        <f t="shared" si="92"/>
        <v>1.9262109260191209</v>
      </c>
      <c r="Z524">
        <f t="shared" si="93"/>
        <v>1.9262109260191209</v>
      </c>
      <c r="AA524">
        <f t="shared" si="94"/>
        <v>1.9262109260191209</v>
      </c>
      <c r="AB524">
        <f t="shared" si="95"/>
        <v>3.522243494397844</v>
      </c>
      <c r="AC524">
        <f t="shared" si="96"/>
        <v>3.522243494397844</v>
      </c>
      <c r="AD524">
        <f t="shared" si="97"/>
        <v>3.58439979380928</v>
      </c>
      <c r="AE524">
        <f t="shared" si="98"/>
        <v>3.58439979380928</v>
      </c>
      <c r="AF524">
        <f t="shared" si="99"/>
        <v>2.3972977135563269</v>
      </c>
      <c r="AG524">
        <f t="shared" si="100"/>
        <v>2.3972977135563269</v>
      </c>
      <c r="AH524">
        <f t="shared" si="101"/>
        <v>3.7755286633968348</v>
      </c>
      <c r="AI524">
        <f t="shared" si="102"/>
        <v>3.7755286633968348</v>
      </c>
      <c r="AK524">
        <f t="shared" si="103"/>
        <v>1.9262109260191209</v>
      </c>
      <c r="AL524">
        <f t="shared" si="104"/>
        <v>1.9262109260191209</v>
      </c>
      <c r="AM524">
        <f t="shared" si="105"/>
        <v>1.9262109260191209</v>
      </c>
      <c r="AN524">
        <f t="shared" si="106"/>
        <v>3.522243494397844</v>
      </c>
      <c r="AO524">
        <f t="shared" si="107"/>
        <v>3.522243494397844</v>
      </c>
      <c r="AP524">
        <f t="shared" si="108"/>
        <v>3.58439979380928</v>
      </c>
      <c r="AQ524">
        <f t="shared" si="109"/>
        <v>3.58439979380928</v>
      </c>
      <c r="AR524">
        <f t="shared" si="110"/>
        <v>1.3533262999728319</v>
      </c>
      <c r="AS524">
        <f t="shared" si="111"/>
        <v>1.3533262999728319</v>
      </c>
      <c r="AT524">
        <f t="shared" si="112"/>
        <v>3.7755286633968348</v>
      </c>
      <c r="AU524">
        <f t="shared" si="113"/>
        <v>3.7755286633968348</v>
      </c>
    </row>
    <row r="525" spans="1:47" x14ac:dyDescent="0.3">
      <c r="A525">
        <v>11</v>
      </c>
      <c r="B525" t="s">
        <v>191</v>
      </c>
      <c r="C525" t="s">
        <v>189</v>
      </c>
      <c r="D525" t="s">
        <v>190</v>
      </c>
      <c r="F525" s="7">
        <v>0</v>
      </c>
      <c r="G525" s="7">
        <v>1</v>
      </c>
      <c r="H525" s="3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>
        <f t="shared" si="81"/>
        <v>499564.79999999999</v>
      </c>
      <c r="N525">
        <f t="shared" si="82"/>
        <v>499564.79999999999</v>
      </c>
      <c r="O525">
        <f t="shared" si="83"/>
        <v>499564.79999999999</v>
      </c>
      <c r="P525">
        <f t="shared" si="84"/>
        <v>223950</v>
      </c>
      <c r="Q525">
        <f t="shared" si="85"/>
        <v>223950</v>
      </c>
      <c r="R525">
        <f t="shared" si="86"/>
        <v>236550.8</v>
      </c>
      <c r="S525">
        <f t="shared" si="87"/>
        <v>236550.8</v>
      </c>
      <c r="T525">
        <f t="shared" si="88"/>
        <v>4027835.8</v>
      </c>
      <c r="U525">
        <f t="shared" si="89"/>
        <v>4027835.8</v>
      </c>
      <c r="V525">
        <f t="shared" si="90"/>
        <v>135743.4</v>
      </c>
      <c r="W525">
        <f t="shared" si="91"/>
        <v>135743.4</v>
      </c>
      <c r="Y525">
        <f t="shared" si="92"/>
        <v>0.73769777899142353</v>
      </c>
      <c r="Z525">
        <f t="shared" si="93"/>
        <v>0.73769777899142353</v>
      </c>
      <c r="AA525">
        <f t="shared" si="94"/>
        <v>0.73769777899142353</v>
      </c>
      <c r="AB525">
        <f t="shared" si="95"/>
        <v>0.62177603580057617</v>
      </c>
      <c r="AC525">
        <f t="shared" si="96"/>
        <v>0.62177603580057617</v>
      </c>
      <c r="AD525">
        <f t="shared" si="97"/>
        <v>0.4618680846062489</v>
      </c>
      <c r="AE525">
        <f t="shared" si="98"/>
        <v>0.4618680846062489</v>
      </c>
      <c r="AF525">
        <f t="shared" si="99"/>
        <v>1.767433183826506</v>
      </c>
      <c r="AG525">
        <f t="shared" si="100"/>
        <v>1.767433183826506</v>
      </c>
      <c r="AH525">
        <f t="shared" si="101"/>
        <v>0.39422800481552261</v>
      </c>
      <c r="AI525">
        <f t="shared" si="102"/>
        <v>0.39422800481552261</v>
      </c>
      <c r="AK525">
        <f t="shared" si="103"/>
        <v>0.73769777899142353</v>
      </c>
      <c r="AL525">
        <f t="shared" si="104"/>
        <v>0.73769777899142353</v>
      </c>
      <c r="AM525">
        <f t="shared" si="105"/>
        <v>0.73769777899142353</v>
      </c>
      <c r="AN525">
        <f t="shared" si="106"/>
        <v>0.62177603580057617</v>
      </c>
      <c r="AO525">
        <f t="shared" si="107"/>
        <v>0.62177603580057617</v>
      </c>
      <c r="AP525">
        <f t="shared" si="108"/>
        <v>0.4618680846062489</v>
      </c>
      <c r="AQ525">
        <f t="shared" si="109"/>
        <v>0.4618680846062489</v>
      </c>
      <c r="AR525">
        <f t="shared" si="110"/>
        <v>1.056272470823024</v>
      </c>
      <c r="AS525">
        <f t="shared" si="111"/>
        <v>1.056272470823024</v>
      </c>
      <c r="AT525">
        <f t="shared" si="112"/>
        <v>0.39422800481552261</v>
      </c>
      <c r="AU525">
        <f t="shared" si="113"/>
        <v>0.39422800481552261</v>
      </c>
    </row>
    <row r="526" spans="1:47" x14ac:dyDescent="0.3">
      <c r="A526">
        <v>11</v>
      </c>
      <c r="B526" t="s">
        <v>192</v>
      </c>
      <c r="C526" t="s">
        <v>189</v>
      </c>
      <c r="D526" t="s">
        <v>190</v>
      </c>
      <c r="F526" s="7">
        <v>0</v>
      </c>
      <c r="G526" s="7">
        <v>1</v>
      </c>
      <c r="H526" s="3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8051927.5999999996</v>
      </c>
      <c r="O526">
        <f t="shared" si="83"/>
        <v>8132466.7999999998</v>
      </c>
      <c r="P526">
        <f t="shared" si="84"/>
        <v>32522794.600000001</v>
      </c>
      <c r="Q526">
        <f t="shared" si="85"/>
        <v>17627364.800000001</v>
      </c>
      <c r="R526">
        <f t="shared" si="86"/>
        <v>13724934.199999999</v>
      </c>
      <c r="S526">
        <f t="shared" si="87"/>
        <v>11894066</v>
      </c>
      <c r="T526">
        <f t="shared" si="88"/>
        <v>4309289.2</v>
      </c>
      <c r="U526">
        <f t="shared" si="89"/>
        <v>3684545</v>
      </c>
      <c r="V526">
        <f t="shared" si="90"/>
        <v>28321760.800000001</v>
      </c>
      <c r="W526">
        <f t="shared" si="91"/>
        <v>18865520.800000001</v>
      </c>
      <c r="Y526">
        <f t="shared" si="92"/>
        <v>5.6760381632018833</v>
      </c>
      <c r="Z526">
        <f t="shared" si="93"/>
        <v>6.202111566020176</v>
      </c>
      <c r="AA526">
        <f t="shared" si="94"/>
        <v>6.2341173028107733</v>
      </c>
      <c r="AB526">
        <f t="shared" si="95"/>
        <v>29.774679751199439</v>
      </c>
      <c r="AC526">
        <f t="shared" si="96"/>
        <v>16.16880663839402</v>
      </c>
      <c r="AD526">
        <f t="shared" si="97"/>
        <v>9.9776562217972238</v>
      </c>
      <c r="AE526">
        <f t="shared" si="98"/>
        <v>10.103636259562339</v>
      </c>
      <c r="AF526">
        <f t="shared" si="99"/>
        <v>2.048803494975437</v>
      </c>
      <c r="AG526">
        <f t="shared" si="100"/>
        <v>2.104175924649462</v>
      </c>
      <c r="AH526">
        <f t="shared" si="101"/>
        <v>14.054032702615951</v>
      </c>
      <c r="AI526">
        <f t="shared" si="102"/>
        <v>12.641007805173279</v>
      </c>
      <c r="AK526">
        <f t="shared" si="103"/>
        <v>5.6760381632018833</v>
      </c>
      <c r="AL526">
        <f t="shared" si="104"/>
        <v>1.620974018424749</v>
      </c>
      <c r="AM526">
        <f t="shared" si="105"/>
        <v>1.6666662774048751</v>
      </c>
      <c r="AN526">
        <f t="shared" si="106"/>
        <v>29.774679751199439</v>
      </c>
      <c r="AO526">
        <f t="shared" si="107"/>
        <v>4.3917413816030599</v>
      </c>
      <c r="AP526">
        <f t="shared" si="108"/>
        <v>9.9776562217972238</v>
      </c>
      <c r="AQ526">
        <f t="shared" si="109"/>
        <v>2.495114775805269</v>
      </c>
      <c r="AR526">
        <f t="shared" si="110"/>
        <v>1.1374049529898911</v>
      </c>
      <c r="AS526">
        <f t="shared" si="111"/>
        <v>0.37188944519730283</v>
      </c>
      <c r="AT526">
        <f t="shared" si="112"/>
        <v>14.054032702615951</v>
      </c>
      <c r="AU526">
        <f t="shared" si="113"/>
        <v>6.5427376293926498</v>
      </c>
    </row>
    <row r="527" spans="1:47" x14ac:dyDescent="0.3">
      <c r="A527">
        <v>11</v>
      </c>
      <c r="B527" t="s">
        <v>193</v>
      </c>
      <c r="C527" t="s">
        <v>189</v>
      </c>
      <c r="D527" t="s">
        <v>190</v>
      </c>
      <c r="F527" s="7">
        <v>0</v>
      </c>
      <c r="G527" s="7">
        <v>0</v>
      </c>
      <c r="H527" s="3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>
        <f t="shared" si="81"/>
        <v>2532361.2000000002</v>
      </c>
      <c r="N527">
        <f t="shared" si="82"/>
        <v>5382518.2000000002</v>
      </c>
      <c r="O527">
        <f t="shared" si="83"/>
        <v>5416496.2000000002</v>
      </c>
      <c r="P527">
        <f t="shared" si="84"/>
        <v>4488034.8</v>
      </c>
      <c r="Q527">
        <f t="shared" si="85"/>
        <v>6246669.7999999998</v>
      </c>
      <c r="R527">
        <f t="shared" si="86"/>
        <v>9560862.1999999993</v>
      </c>
      <c r="S527">
        <f t="shared" si="87"/>
        <v>8617610.5999999996</v>
      </c>
      <c r="T527">
        <f t="shared" si="88"/>
        <v>4508969.5999999996</v>
      </c>
      <c r="U527">
        <f t="shared" si="89"/>
        <v>4090970.6</v>
      </c>
      <c r="V527">
        <f t="shared" si="90"/>
        <v>7816182.5999999996</v>
      </c>
      <c r="W527">
        <f t="shared" si="91"/>
        <v>6930877</v>
      </c>
      <c r="Y527">
        <f t="shared" si="92"/>
        <v>2.3125515666091809</v>
      </c>
      <c r="Z527">
        <f t="shared" si="93"/>
        <v>3.784216258325614</v>
      </c>
      <c r="AA527">
        <f t="shared" si="94"/>
        <v>3.7697889476432471</v>
      </c>
      <c r="AB527">
        <f t="shared" si="95"/>
        <v>2.522794100199826</v>
      </c>
      <c r="AC527">
        <f t="shared" si="96"/>
        <v>2.936754200790892</v>
      </c>
      <c r="AD527">
        <f t="shared" si="97"/>
        <v>5.4410570626030674</v>
      </c>
      <c r="AE527">
        <f t="shared" si="98"/>
        <v>5.4913271356257614</v>
      </c>
      <c r="AF527">
        <f t="shared" si="99"/>
        <v>2.1758279538014902</v>
      </c>
      <c r="AG527">
        <f t="shared" si="100"/>
        <v>2.3739975683973169</v>
      </c>
      <c r="AH527">
        <f t="shared" si="101"/>
        <v>4.634898325195536</v>
      </c>
      <c r="AI527">
        <f t="shared" si="102"/>
        <v>5.821520334423985</v>
      </c>
      <c r="AK527">
        <f t="shared" si="103"/>
        <v>2.3125515666091809</v>
      </c>
      <c r="AL527">
        <f t="shared" si="104"/>
        <v>0.91307386556873094</v>
      </c>
      <c r="AM527">
        <f t="shared" si="105"/>
        <v>0.92176892760908236</v>
      </c>
      <c r="AN527">
        <f t="shared" si="106"/>
        <v>2.522794100199826</v>
      </c>
      <c r="AO527">
        <f t="shared" si="107"/>
        <v>0.74049125979072417</v>
      </c>
      <c r="AP527">
        <f t="shared" si="108"/>
        <v>5.4410570626030674</v>
      </c>
      <c r="AQ527">
        <f t="shared" si="109"/>
        <v>1.252010781015269</v>
      </c>
      <c r="AR527">
        <f t="shared" si="110"/>
        <v>1.2661404922022479</v>
      </c>
      <c r="AS527">
        <f t="shared" si="111"/>
        <v>0.39941146394703542</v>
      </c>
      <c r="AT527">
        <f t="shared" si="112"/>
        <v>4.634898325195536</v>
      </c>
      <c r="AU527">
        <f t="shared" si="113"/>
        <v>3.4406112527824009</v>
      </c>
    </row>
    <row r="528" spans="1:47" x14ac:dyDescent="0.3">
      <c r="A528">
        <v>11</v>
      </c>
      <c r="B528" t="s">
        <v>194</v>
      </c>
      <c r="C528" t="s">
        <v>189</v>
      </c>
      <c r="D528" t="s">
        <v>190</v>
      </c>
      <c r="F528" s="7">
        <v>0</v>
      </c>
      <c r="G528" s="7">
        <v>1</v>
      </c>
      <c r="H528" s="3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>
        <f t="shared" si="81"/>
        <v>3500491.2</v>
      </c>
      <c r="N528">
        <f t="shared" si="82"/>
        <v>7004788.7999999998</v>
      </c>
      <c r="O528">
        <f t="shared" si="83"/>
        <v>7011472</v>
      </c>
      <c r="P528">
        <f t="shared" si="84"/>
        <v>18198348.600000001</v>
      </c>
      <c r="Q528">
        <f t="shared" si="85"/>
        <v>12681823.4</v>
      </c>
      <c r="R528">
        <f t="shared" si="86"/>
        <v>13410366</v>
      </c>
      <c r="S528">
        <f t="shared" si="87"/>
        <v>10823299.4</v>
      </c>
      <c r="T528">
        <f t="shared" si="88"/>
        <v>4777285.4000000004</v>
      </c>
      <c r="U528">
        <f t="shared" si="89"/>
        <v>4233921</v>
      </c>
      <c r="V528">
        <f t="shared" si="90"/>
        <v>24823075.199999999</v>
      </c>
      <c r="W528">
        <f t="shared" si="91"/>
        <v>15155715.4</v>
      </c>
      <c r="Y528">
        <f t="shared" si="92"/>
        <v>3.2208034515962942</v>
      </c>
      <c r="Z528">
        <f t="shared" si="93"/>
        <v>4.8296012162696567</v>
      </c>
      <c r="AA528">
        <f t="shared" si="94"/>
        <v>4.778643969458062</v>
      </c>
      <c r="AB528">
        <f t="shared" si="95"/>
        <v>6.7064948769984767</v>
      </c>
      <c r="AC528">
        <f t="shared" si="96"/>
        <v>4.8401796830032264</v>
      </c>
      <c r="AD528">
        <f t="shared" si="97"/>
        <v>9.0947676728130311</v>
      </c>
      <c r="AE528">
        <f t="shared" si="98"/>
        <v>7.3645090944366531</v>
      </c>
      <c r="AF528">
        <f t="shared" si="99"/>
        <v>2.4405846679816019</v>
      </c>
      <c r="AG528">
        <f t="shared" si="100"/>
        <v>2.547056629578583</v>
      </c>
      <c r="AH528">
        <f t="shared" si="101"/>
        <v>8.2373385057901025</v>
      </c>
      <c r="AI528">
        <f t="shared" si="102"/>
        <v>8.4335987040190954</v>
      </c>
      <c r="AK528">
        <f t="shared" si="103"/>
        <v>3.2208034515962942</v>
      </c>
      <c r="AL528">
        <f t="shared" si="104"/>
        <v>1.1909619910293261</v>
      </c>
      <c r="AM528">
        <f t="shared" si="105"/>
        <v>1.176897501386702</v>
      </c>
      <c r="AN528">
        <f t="shared" si="106"/>
        <v>6.7064948769984767</v>
      </c>
      <c r="AO528">
        <f t="shared" si="107"/>
        <v>1.4350274719967271</v>
      </c>
      <c r="AP528">
        <f t="shared" si="108"/>
        <v>9.0947676728130311</v>
      </c>
      <c r="AQ528">
        <f t="shared" si="109"/>
        <v>1.8473865845939139</v>
      </c>
      <c r="AR528">
        <f t="shared" si="110"/>
        <v>1.381198426382616</v>
      </c>
      <c r="AS528">
        <f t="shared" si="111"/>
        <v>0.44915723780868583</v>
      </c>
      <c r="AT528">
        <f t="shared" si="112"/>
        <v>8.2373385057901025</v>
      </c>
      <c r="AU528">
        <f t="shared" si="113"/>
        <v>4.9987951265648007</v>
      </c>
    </row>
    <row r="529" spans="1:47" x14ac:dyDescent="0.3">
      <c r="A529">
        <v>11</v>
      </c>
      <c r="B529" t="s">
        <v>195</v>
      </c>
      <c r="C529" t="s">
        <v>189</v>
      </c>
      <c r="D529" t="s">
        <v>190</v>
      </c>
      <c r="F529" s="7">
        <v>0</v>
      </c>
      <c r="G529" s="7">
        <v>0</v>
      </c>
      <c r="H529" s="3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7715843.4000000004</v>
      </c>
      <c r="O529">
        <f t="shared" si="83"/>
        <v>7737996.5999999996</v>
      </c>
      <c r="P529">
        <f t="shared" si="84"/>
        <v>3704771.6</v>
      </c>
      <c r="Q529">
        <f t="shared" si="85"/>
        <v>8855078.8000000007</v>
      </c>
      <c r="R529">
        <f t="shared" si="86"/>
        <v>3937534.6</v>
      </c>
      <c r="S529">
        <f t="shared" si="87"/>
        <v>11924376.800000001</v>
      </c>
      <c r="T529">
        <f t="shared" si="88"/>
        <v>4043405.6</v>
      </c>
      <c r="U529">
        <f t="shared" si="89"/>
        <v>3667532</v>
      </c>
      <c r="V529">
        <f t="shared" si="90"/>
        <v>4720950</v>
      </c>
      <c r="W529">
        <f t="shared" si="91"/>
        <v>9058968.5999999996</v>
      </c>
      <c r="Y529">
        <f t="shared" si="92"/>
        <v>2.1027519630035392</v>
      </c>
      <c r="Z529">
        <f t="shared" si="93"/>
        <v>6.1220672758761792</v>
      </c>
      <c r="AA529">
        <f t="shared" si="94"/>
        <v>6.0968717270065103</v>
      </c>
      <c r="AB529">
        <f t="shared" si="95"/>
        <v>4.0794720428006261</v>
      </c>
      <c r="AC529">
        <f t="shared" si="96"/>
        <v>8.4592256936099144</v>
      </c>
      <c r="AD529">
        <f t="shared" si="97"/>
        <v>4.30475692198379</v>
      </c>
      <c r="AE529">
        <f t="shared" si="98"/>
        <v>10.772920015803541</v>
      </c>
      <c r="AF529">
        <f t="shared" si="99"/>
        <v>1.832196075399406</v>
      </c>
      <c r="AG529">
        <f t="shared" si="100"/>
        <v>2.118731439625845</v>
      </c>
      <c r="AH529">
        <f t="shared" si="101"/>
        <v>4.5683047650032673</v>
      </c>
      <c r="AI529">
        <f t="shared" si="102"/>
        <v>8.4863035003771081</v>
      </c>
      <c r="AK529">
        <f t="shared" si="103"/>
        <v>2.1027519630035392</v>
      </c>
      <c r="AL529">
        <f t="shared" si="104"/>
        <v>1.570006907579955</v>
      </c>
      <c r="AM529">
        <f t="shared" si="105"/>
        <v>1.5801409818232059</v>
      </c>
      <c r="AN529">
        <f t="shared" si="106"/>
        <v>4.0794720428006261</v>
      </c>
      <c r="AO529">
        <f t="shared" si="107"/>
        <v>2.00367706559482</v>
      </c>
      <c r="AP529">
        <f t="shared" si="108"/>
        <v>4.30475692198379</v>
      </c>
      <c r="AQ529">
        <f t="shared" si="109"/>
        <v>2.5097537786234172</v>
      </c>
      <c r="AR529">
        <f t="shared" si="110"/>
        <v>1.0975742502021599</v>
      </c>
      <c r="AS529">
        <f t="shared" si="111"/>
        <v>0.37769973960239428</v>
      </c>
      <c r="AT529">
        <f t="shared" si="112"/>
        <v>4.5683047650032673</v>
      </c>
      <c r="AU529">
        <f t="shared" si="113"/>
        <v>4.9226843541720884</v>
      </c>
    </row>
    <row r="530" spans="1:47" x14ac:dyDescent="0.3">
      <c r="A530">
        <v>11</v>
      </c>
      <c r="B530" t="s">
        <v>196</v>
      </c>
      <c r="C530" t="s">
        <v>189</v>
      </c>
      <c r="D530" t="s">
        <v>190</v>
      </c>
      <c r="F530" s="7">
        <v>0</v>
      </c>
      <c r="G530" s="7">
        <v>0</v>
      </c>
      <c r="H530" s="3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>
        <f t="shared" si="81"/>
        <v>205994.4</v>
      </c>
      <c r="N530">
        <f t="shared" si="82"/>
        <v>205994.4</v>
      </c>
      <c r="O530">
        <f t="shared" si="83"/>
        <v>205994.4</v>
      </c>
      <c r="P530">
        <f t="shared" si="84"/>
        <v>201888.4</v>
      </c>
      <c r="Q530">
        <f t="shared" si="85"/>
        <v>201888.4</v>
      </c>
      <c r="R530">
        <f t="shared" si="86"/>
        <v>1083</v>
      </c>
      <c r="S530">
        <f t="shared" si="87"/>
        <v>1083</v>
      </c>
      <c r="T530">
        <f t="shared" si="88"/>
        <v>4281782</v>
      </c>
      <c r="U530">
        <f t="shared" si="89"/>
        <v>4281782</v>
      </c>
      <c r="V530">
        <f t="shared" si="90"/>
        <v>6643.6</v>
      </c>
      <c r="W530">
        <f t="shared" si="91"/>
        <v>6643.6</v>
      </c>
      <c r="Y530">
        <f t="shared" si="92"/>
        <v>0.3764552152249962</v>
      </c>
      <c r="Z530">
        <f t="shared" si="93"/>
        <v>0.3764552152249962</v>
      </c>
      <c r="AA530">
        <f t="shared" si="94"/>
        <v>0.3764552152249962</v>
      </c>
      <c r="AB530">
        <f t="shared" si="95"/>
        <v>0.41106077759468462</v>
      </c>
      <c r="AC530">
        <f t="shared" si="96"/>
        <v>0.41106077759468462</v>
      </c>
      <c r="AD530">
        <f t="shared" si="97"/>
        <v>9.8822513979393928E-2</v>
      </c>
      <c r="AE530">
        <f t="shared" si="98"/>
        <v>9.8822513979393928E-2</v>
      </c>
      <c r="AF530">
        <f t="shared" si="99"/>
        <v>2.0502780850045381</v>
      </c>
      <c r="AG530">
        <f t="shared" si="100"/>
        <v>2.0502780850045381</v>
      </c>
      <c r="AH530">
        <f t="shared" si="101"/>
        <v>3.479676299029958E-2</v>
      </c>
      <c r="AI530">
        <f t="shared" si="102"/>
        <v>3.479676299029958E-2</v>
      </c>
      <c r="AK530">
        <f t="shared" si="103"/>
        <v>0.3764552152249962</v>
      </c>
      <c r="AL530">
        <f t="shared" si="104"/>
        <v>0.3764552152249962</v>
      </c>
      <c r="AM530">
        <f t="shared" si="105"/>
        <v>0.3764552152249962</v>
      </c>
      <c r="AN530">
        <f t="shared" si="106"/>
        <v>0.41106077759468462</v>
      </c>
      <c r="AO530">
        <f t="shared" si="107"/>
        <v>0.41106077759468462</v>
      </c>
      <c r="AP530">
        <f t="shared" si="108"/>
        <v>9.8822513979393928E-2</v>
      </c>
      <c r="AQ530">
        <f t="shared" si="109"/>
        <v>9.8822513979393928E-2</v>
      </c>
      <c r="AR530">
        <f t="shared" si="110"/>
        <v>1.153630173800047</v>
      </c>
      <c r="AS530">
        <f t="shared" si="111"/>
        <v>1.153630173800047</v>
      </c>
      <c r="AT530">
        <f t="shared" si="112"/>
        <v>3.479676299029958E-2</v>
      </c>
      <c r="AU530">
        <f t="shared" si="113"/>
        <v>3.479676299029958E-2</v>
      </c>
    </row>
    <row r="531" spans="1:47" x14ac:dyDescent="0.3">
      <c r="A531">
        <v>11</v>
      </c>
      <c r="B531" t="s">
        <v>197</v>
      </c>
      <c r="C531" t="s">
        <v>189</v>
      </c>
      <c r="D531" t="s">
        <v>190</v>
      </c>
      <c r="F531" s="7">
        <v>0</v>
      </c>
      <c r="G531" s="7">
        <v>1</v>
      </c>
      <c r="H531" s="3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>
        <f t="shared" si="81"/>
        <v>1751655</v>
      </c>
      <c r="N531">
        <f t="shared" si="82"/>
        <v>1751655</v>
      </c>
      <c r="O531">
        <f t="shared" si="83"/>
        <v>1751655</v>
      </c>
      <c r="P531">
        <f t="shared" si="84"/>
        <v>13007666</v>
      </c>
      <c r="Q531">
        <f t="shared" si="85"/>
        <v>13007666</v>
      </c>
      <c r="R531">
        <f t="shared" si="86"/>
        <v>2577124.7999999998</v>
      </c>
      <c r="S531">
        <f t="shared" si="87"/>
        <v>2577124.7999999998</v>
      </c>
      <c r="T531">
        <f t="shared" si="88"/>
        <v>4515810.5999999996</v>
      </c>
      <c r="U531">
        <f t="shared" si="89"/>
        <v>4515810.5999999996</v>
      </c>
      <c r="V531">
        <f t="shared" si="90"/>
        <v>9548549.1999999993</v>
      </c>
      <c r="W531">
        <f t="shared" si="91"/>
        <v>9548549.1999999993</v>
      </c>
      <c r="Y531">
        <f t="shared" si="92"/>
        <v>1.9218223388073969</v>
      </c>
      <c r="Z531">
        <f t="shared" si="93"/>
        <v>1.9218223388073969</v>
      </c>
      <c r="AA531">
        <f t="shared" si="94"/>
        <v>1.9218223388073969</v>
      </c>
      <c r="AB531">
        <f t="shared" si="95"/>
        <v>8.5020367752003949</v>
      </c>
      <c r="AC531">
        <f t="shared" si="96"/>
        <v>8.5020367752003949</v>
      </c>
      <c r="AD531">
        <f t="shared" si="97"/>
        <v>2.6186500351876019</v>
      </c>
      <c r="AE531">
        <f t="shared" si="98"/>
        <v>2.6186500351876019</v>
      </c>
      <c r="AF531">
        <f t="shared" si="99"/>
        <v>2.2948639518115672</v>
      </c>
      <c r="AG531">
        <f t="shared" si="100"/>
        <v>2.2948639518115672</v>
      </c>
      <c r="AH531">
        <f t="shared" si="101"/>
        <v>5.7041757619939748</v>
      </c>
      <c r="AI531">
        <f t="shared" si="102"/>
        <v>5.7041757619939748</v>
      </c>
      <c r="AK531">
        <f t="shared" si="103"/>
        <v>1.9218223388073969</v>
      </c>
      <c r="AL531">
        <f t="shared" si="104"/>
        <v>1.9218223388073969</v>
      </c>
      <c r="AM531">
        <f t="shared" si="105"/>
        <v>1.9218223388073969</v>
      </c>
      <c r="AN531">
        <f t="shared" si="106"/>
        <v>8.5020367752003949</v>
      </c>
      <c r="AO531">
        <f t="shared" si="107"/>
        <v>8.5020367752003949</v>
      </c>
      <c r="AP531">
        <f t="shared" si="108"/>
        <v>2.6186500351876019</v>
      </c>
      <c r="AQ531">
        <f t="shared" si="109"/>
        <v>2.6186500351876019</v>
      </c>
      <c r="AR531">
        <f t="shared" si="110"/>
        <v>1.3363807368208649</v>
      </c>
      <c r="AS531">
        <f t="shared" si="111"/>
        <v>1.3363807368208649</v>
      </c>
      <c r="AT531">
        <f t="shared" si="112"/>
        <v>5.7041757619939748</v>
      </c>
      <c r="AU531">
        <f t="shared" si="113"/>
        <v>5.7041757619939748</v>
      </c>
    </row>
    <row r="532" spans="1:47" x14ac:dyDescent="0.3">
      <c r="A532">
        <v>12</v>
      </c>
      <c r="B532" t="s">
        <v>198</v>
      </c>
      <c r="C532" t="s">
        <v>199</v>
      </c>
      <c r="D532" t="s">
        <v>200</v>
      </c>
      <c r="F532" s="7">
        <v>0</v>
      </c>
      <c r="G532" s="7">
        <v>0</v>
      </c>
      <c r="H532" s="3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745774</v>
      </c>
      <c r="O532">
        <f t="shared" si="83"/>
        <v>747101.8</v>
      </c>
      <c r="P532">
        <f t="shared" si="84"/>
        <v>2794601</v>
      </c>
      <c r="Q532">
        <f t="shared" si="85"/>
        <v>288303.59999999998</v>
      </c>
      <c r="R532">
        <f t="shared" si="86"/>
        <v>6701116.2000000002</v>
      </c>
      <c r="S532">
        <f t="shared" si="87"/>
        <v>205519.2</v>
      </c>
      <c r="T532">
        <f t="shared" si="88"/>
        <v>2911592.8</v>
      </c>
      <c r="U532">
        <f t="shared" si="89"/>
        <v>2263900.7999999998</v>
      </c>
      <c r="V532">
        <f t="shared" si="90"/>
        <v>2600042.6</v>
      </c>
      <c r="W532">
        <f t="shared" si="91"/>
        <v>388855.6</v>
      </c>
      <c r="Y532">
        <f t="shared" si="92"/>
        <v>1.9166275877971199</v>
      </c>
      <c r="Z532">
        <f t="shared" si="93"/>
        <v>0.97867814839119094</v>
      </c>
      <c r="AA532">
        <f t="shared" si="94"/>
        <v>0.96590726623544465</v>
      </c>
      <c r="AB532">
        <f t="shared" si="95"/>
        <v>2.0428187216020892</v>
      </c>
      <c r="AC532">
        <f t="shared" si="96"/>
        <v>0.75009113241685554</v>
      </c>
      <c r="AD532">
        <f t="shared" si="97"/>
        <v>4.2084425961831586</v>
      </c>
      <c r="AE532">
        <f t="shared" si="98"/>
        <v>0.77284938218072052</v>
      </c>
      <c r="AF532">
        <f t="shared" si="99"/>
        <v>0.61895208099158483</v>
      </c>
      <c r="AG532">
        <f t="shared" si="100"/>
        <v>0.97095613052370022</v>
      </c>
      <c r="AH532">
        <f t="shared" si="101"/>
        <v>3.275141313578934</v>
      </c>
      <c r="AI532">
        <f t="shared" si="102"/>
        <v>1.8396950334310529</v>
      </c>
      <c r="AK532">
        <f t="shared" si="103"/>
        <v>1.9166275877971199</v>
      </c>
      <c r="AL532">
        <f t="shared" si="104"/>
        <v>0.49315393879078329</v>
      </c>
      <c r="AM532">
        <f t="shared" si="105"/>
        <v>0.48863433898659431</v>
      </c>
      <c r="AN532">
        <f t="shared" si="106"/>
        <v>2.0428187216020892</v>
      </c>
      <c r="AO532">
        <f t="shared" si="107"/>
        <v>0.4380201936030062</v>
      </c>
      <c r="AP532">
        <f t="shared" si="108"/>
        <v>4.2084425961831586</v>
      </c>
      <c r="AQ532">
        <f t="shared" si="109"/>
        <v>0.48271005316637461</v>
      </c>
      <c r="AR532">
        <f t="shared" si="110"/>
        <v>0.35565311779500908</v>
      </c>
      <c r="AS532">
        <f t="shared" si="111"/>
        <v>0.43843708556378258</v>
      </c>
      <c r="AT532">
        <f t="shared" si="112"/>
        <v>3.275141313578934</v>
      </c>
      <c r="AU532">
        <f t="shared" si="113"/>
        <v>0.77245465338928621</v>
      </c>
    </row>
    <row r="533" spans="1:47" x14ac:dyDescent="0.3">
      <c r="A533">
        <v>12</v>
      </c>
      <c r="B533" t="s">
        <v>201</v>
      </c>
      <c r="C533" t="s">
        <v>199</v>
      </c>
      <c r="D533" t="s">
        <v>200</v>
      </c>
      <c r="F533" s="7">
        <v>0</v>
      </c>
      <c r="G533" s="7">
        <v>1</v>
      </c>
      <c r="H533" s="3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>
        <f t="shared" si="81"/>
        <v>200165.6</v>
      </c>
      <c r="N533">
        <f t="shared" si="82"/>
        <v>200165.6</v>
      </c>
      <c r="O533">
        <f t="shared" si="83"/>
        <v>200165.6</v>
      </c>
      <c r="P533">
        <f t="shared" si="84"/>
        <v>200002.8</v>
      </c>
      <c r="Q533">
        <f t="shared" si="85"/>
        <v>200002.8</v>
      </c>
      <c r="R533">
        <f t="shared" si="86"/>
        <v>12</v>
      </c>
      <c r="S533">
        <f t="shared" si="87"/>
        <v>12</v>
      </c>
      <c r="T533">
        <f t="shared" si="88"/>
        <v>2908702.6</v>
      </c>
      <c r="U533">
        <f t="shared" si="89"/>
        <v>2908702.6</v>
      </c>
      <c r="V533">
        <f t="shared" si="90"/>
        <v>494.8</v>
      </c>
      <c r="W533">
        <f t="shared" si="91"/>
        <v>494.8</v>
      </c>
      <c r="Y533">
        <f t="shared" si="92"/>
        <v>0.26195029838709161</v>
      </c>
      <c r="Z533">
        <f t="shared" si="93"/>
        <v>0.26195029838709161</v>
      </c>
      <c r="AA533">
        <f t="shared" si="94"/>
        <v>0.26195029838709161</v>
      </c>
      <c r="AB533">
        <f t="shared" si="95"/>
        <v>0.27102487159718291</v>
      </c>
      <c r="AC533">
        <f t="shared" si="96"/>
        <v>0.27102487159718291</v>
      </c>
      <c r="AD533">
        <f t="shared" si="97"/>
        <v>9.5532429800368801E-2</v>
      </c>
      <c r="AE533">
        <f t="shared" si="98"/>
        <v>9.5532429800368801E-2</v>
      </c>
      <c r="AF533">
        <f t="shared" si="99"/>
        <v>0.62090192799223587</v>
      </c>
      <c r="AG533">
        <f t="shared" si="100"/>
        <v>0.62090192799223587</v>
      </c>
      <c r="AH533">
        <f t="shared" si="101"/>
        <v>5.9428520034997996E-3</v>
      </c>
      <c r="AI533">
        <f t="shared" si="102"/>
        <v>5.9428520034997996E-3</v>
      </c>
      <c r="AK533">
        <f t="shared" si="103"/>
        <v>0.26195029838709161</v>
      </c>
      <c r="AL533">
        <f t="shared" si="104"/>
        <v>0.26195029838709161</v>
      </c>
      <c r="AM533">
        <f t="shared" si="105"/>
        <v>0.26195029838709161</v>
      </c>
      <c r="AN533">
        <f t="shared" si="106"/>
        <v>0.27102487159718291</v>
      </c>
      <c r="AO533">
        <f t="shared" si="107"/>
        <v>0.27102487159718291</v>
      </c>
      <c r="AP533">
        <f t="shared" si="108"/>
        <v>9.5532429800368801E-2</v>
      </c>
      <c r="AQ533">
        <f t="shared" si="109"/>
        <v>9.5532429800368801E-2</v>
      </c>
      <c r="AR533">
        <f t="shared" si="110"/>
        <v>0.36232046580407767</v>
      </c>
      <c r="AS533">
        <f t="shared" si="111"/>
        <v>0.36232046580407767</v>
      </c>
      <c r="AT533">
        <f t="shared" si="112"/>
        <v>5.9428520034997996E-3</v>
      </c>
      <c r="AU533">
        <f t="shared" si="113"/>
        <v>5.9428520034997996E-3</v>
      </c>
    </row>
    <row r="534" spans="1:47" x14ac:dyDescent="0.3">
      <c r="A534">
        <v>12</v>
      </c>
      <c r="B534" t="s">
        <v>202</v>
      </c>
      <c r="C534" t="s">
        <v>199</v>
      </c>
      <c r="D534" t="s">
        <v>200</v>
      </c>
      <c r="F534" s="7">
        <v>0</v>
      </c>
      <c r="G534" s="7">
        <v>1</v>
      </c>
      <c r="H534" s="3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>
        <f t="shared" si="81"/>
        <v>201795.6</v>
      </c>
      <c r="N534">
        <f t="shared" si="82"/>
        <v>201795.6</v>
      </c>
      <c r="O534">
        <f t="shared" si="83"/>
        <v>201795.6</v>
      </c>
      <c r="P534">
        <f t="shared" si="84"/>
        <v>200144.2</v>
      </c>
      <c r="Q534">
        <f t="shared" si="85"/>
        <v>200144.2</v>
      </c>
      <c r="R534">
        <f t="shared" si="86"/>
        <v>308.39999999999998</v>
      </c>
      <c r="S534">
        <f t="shared" si="87"/>
        <v>308.39999999999998</v>
      </c>
      <c r="T534">
        <f t="shared" si="88"/>
        <v>2909734.6</v>
      </c>
      <c r="U534">
        <f t="shared" si="89"/>
        <v>2909734.6</v>
      </c>
      <c r="V534">
        <f t="shared" si="90"/>
        <v>2730.2</v>
      </c>
      <c r="W534">
        <f t="shared" si="91"/>
        <v>2730.2</v>
      </c>
      <c r="Y534">
        <f t="shared" si="92"/>
        <v>0.29351091861026363</v>
      </c>
      <c r="Z534">
        <f t="shared" si="93"/>
        <v>0.29351091861026363</v>
      </c>
      <c r="AA534">
        <f t="shared" si="94"/>
        <v>0.29351091861026363</v>
      </c>
      <c r="AB534">
        <f t="shared" si="95"/>
        <v>0.28920946900325362</v>
      </c>
      <c r="AC534">
        <f t="shared" si="96"/>
        <v>0.28920946900325362</v>
      </c>
      <c r="AD534">
        <f t="shared" si="97"/>
        <v>9.6972238586749818E-2</v>
      </c>
      <c r="AE534">
        <f t="shared" si="98"/>
        <v>9.6972238586749818E-2</v>
      </c>
      <c r="AF534">
        <f t="shared" si="99"/>
        <v>0.62836594738764684</v>
      </c>
      <c r="AG534">
        <f t="shared" si="100"/>
        <v>0.62836594738764684</v>
      </c>
      <c r="AH534">
        <f t="shared" si="101"/>
        <v>1.9853373221121681E-2</v>
      </c>
      <c r="AI534">
        <f t="shared" si="102"/>
        <v>1.9853373221121681E-2</v>
      </c>
      <c r="AK534">
        <f t="shared" si="103"/>
        <v>0.29351091861026363</v>
      </c>
      <c r="AL534">
        <f t="shared" si="104"/>
        <v>0.29351091861026363</v>
      </c>
      <c r="AM534">
        <f t="shared" si="105"/>
        <v>0.29351091861026363</v>
      </c>
      <c r="AN534">
        <f t="shared" si="106"/>
        <v>0.28920946900325362</v>
      </c>
      <c r="AO534">
        <f t="shared" si="107"/>
        <v>0.28920946900325362</v>
      </c>
      <c r="AP534">
        <f t="shared" si="108"/>
        <v>9.6972238586749818E-2</v>
      </c>
      <c r="AQ534">
        <f t="shared" si="109"/>
        <v>9.6972238586749818E-2</v>
      </c>
      <c r="AR534">
        <f t="shared" si="110"/>
        <v>0.35817132898373533</v>
      </c>
      <c r="AS534">
        <f t="shared" si="111"/>
        <v>0.35817132898373533</v>
      </c>
      <c r="AT534">
        <f t="shared" si="112"/>
        <v>1.9853373221121681E-2</v>
      </c>
      <c r="AU534">
        <f t="shared" si="113"/>
        <v>1.9853373221121681E-2</v>
      </c>
    </row>
    <row r="535" spans="1:47" x14ac:dyDescent="0.3">
      <c r="A535">
        <v>12</v>
      </c>
      <c r="B535" t="s">
        <v>203</v>
      </c>
      <c r="C535" t="s">
        <v>199</v>
      </c>
      <c r="D535" t="s">
        <v>200</v>
      </c>
      <c r="F535" s="7">
        <v>0</v>
      </c>
      <c r="G535" s="7">
        <v>0</v>
      </c>
      <c r="H535" s="3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748662.2</v>
      </c>
      <c r="O535">
        <f t="shared" si="83"/>
        <v>750556</v>
      </c>
      <c r="P535">
        <f t="shared" si="84"/>
        <v>5993733.5999999996</v>
      </c>
      <c r="Q535">
        <f t="shared" si="85"/>
        <v>386904.4</v>
      </c>
      <c r="R535">
        <f t="shared" si="86"/>
        <v>5685799</v>
      </c>
      <c r="S535">
        <f t="shared" si="87"/>
        <v>264447.8</v>
      </c>
      <c r="T535">
        <f t="shared" si="88"/>
        <v>2912351</v>
      </c>
      <c r="U535">
        <f t="shared" si="89"/>
        <v>2264866.4</v>
      </c>
      <c r="V535">
        <f t="shared" si="90"/>
        <v>7909143.7999999998</v>
      </c>
      <c r="W535">
        <f t="shared" si="91"/>
        <v>810872.6</v>
      </c>
      <c r="Y535">
        <f t="shared" si="92"/>
        <v>2.0293879054021091</v>
      </c>
      <c r="Z535">
        <f t="shared" si="93"/>
        <v>1.0360676251119001</v>
      </c>
      <c r="AA535">
        <f t="shared" si="94"/>
        <v>1.0173020831774919</v>
      </c>
      <c r="AB535">
        <f t="shared" si="95"/>
        <v>3.4411012519994979</v>
      </c>
      <c r="AC535">
        <f t="shared" si="96"/>
        <v>0.76073343700263651</v>
      </c>
      <c r="AD535">
        <f t="shared" si="97"/>
        <v>4.1801670868066143</v>
      </c>
      <c r="AE535">
        <f t="shared" si="98"/>
        <v>0.85096867925021802</v>
      </c>
      <c r="AF535">
        <f t="shared" si="99"/>
        <v>0.62808797437464814</v>
      </c>
      <c r="AG535">
        <f t="shared" si="100"/>
        <v>0.99967094698222358</v>
      </c>
      <c r="AH535">
        <f t="shared" si="101"/>
        <v>4.3831494751968423</v>
      </c>
      <c r="AI535">
        <f t="shared" si="102"/>
        <v>1.956016581959557</v>
      </c>
      <c r="AK535">
        <f t="shared" si="103"/>
        <v>2.0293879054021091</v>
      </c>
      <c r="AL535">
        <f t="shared" si="104"/>
        <v>0.5374494743649848</v>
      </c>
      <c r="AM535">
        <f t="shared" si="105"/>
        <v>0.53381637157872319</v>
      </c>
      <c r="AN535">
        <f t="shared" si="106"/>
        <v>3.4411012519994979</v>
      </c>
      <c r="AO535">
        <f t="shared" si="107"/>
        <v>0.43401400840084542</v>
      </c>
      <c r="AP535">
        <f t="shared" si="108"/>
        <v>4.1801670868066143</v>
      </c>
      <c r="AQ535">
        <f t="shared" si="109"/>
        <v>0.52822292842902241</v>
      </c>
      <c r="AR535">
        <f t="shared" si="110"/>
        <v>0.36676882319152349</v>
      </c>
      <c r="AS535">
        <f t="shared" si="111"/>
        <v>0.46099055300001063</v>
      </c>
      <c r="AT535">
        <f t="shared" si="112"/>
        <v>4.3831494751968423</v>
      </c>
      <c r="AU535">
        <f t="shared" si="113"/>
        <v>0.81046572919003668</v>
      </c>
    </row>
    <row r="536" spans="1:47" x14ac:dyDescent="0.3">
      <c r="A536">
        <v>12</v>
      </c>
      <c r="B536" t="s">
        <v>204</v>
      </c>
      <c r="C536" t="s">
        <v>205</v>
      </c>
      <c r="D536" t="s">
        <v>206</v>
      </c>
      <c r="F536" s="7">
        <v>0</v>
      </c>
      <c r="G536" s="7">
        <v>0</v>
      </c>
      <c r="H536" s="3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>
        <f t="shared" si="81"/>
        <v>7301203.7999999998</v>
      </c>
      <c r="N536">
        <f t="shared" si="82"/>
        <v>7301203.7999999998</v>
      </c>
      <c r="O536">
        <f t="shared" si="83"/>
        <v>7301203.7999999998</v>
      </c>
      <c r="P536">
        <f t="shared" si="84"/>
        <v>8213772.5999999996</v>
      </c>
      <c r="Q536">
        <f t="shared" si="85"/>
        <v>8213772.5999999996</v>
      </c>
      <c r="R536">
        <f t="shared" si="86"/>
        <v>19778838.399999999</v>
      </c>
      <c r="S536">
        <f t="shared" si="87"/>
        <v>19778838.399999999</v>
      </c>
      <c r="T536">
        <f t="shared" si="88"/>
        <v>9385951</v>
      </c>
      <c r="U536">
        <f t="shared" si="89"/>
        <v>9385951</v>
      </c>
      <c r="V536">
        <f t="shared" si="90"/>
        <v>8593867.5999999996</v>
      </c>
      <c r="W536">
        <f t="shared" si="91"/>
        <v>8593867.5999999996</v>
      </c>
      <c r="Y536">
        <f t="shared" si="92"/>
        <v>5.5091500642010942</v>
      </c>
      <c r="Z536">
        <f t="shared" si="93"/>
        <v>5.5091500642010942</v>
      </c>
      <c r="AA536">
        <f t="shared" si="94"/>
        <v>5.5091500642010942</v>
      </c>
      <c r="AB536">
        <f t="shared" si="95"/>
        <v>5.304592183197383</v>
      </c>
      <c r="AC536">
        <f t="shared" si="96"/>
        <v>5.304592183197383</v>
      </c>
      <c r="AD536">
        <f t="shared" si="97"/>
        <v>10.72673899920192</v>
      </c>
      <c r="AE536">
        <f t="shared" si="98"/>
        <v>10.72673899920192</v>
      </c>
      <c r="AF536">
        <f t="shared" si="99"/>
        <v>5.7508723702165296</v>
      </c>
      <c r="AG536">
        <f t="shared" si="100"/>
        <v>5.7508723702165296</v>
      </c>
      <c r="AH536">
        <f t="shared" si="101"/>
        <v>5.0214734335779214</v>
      </c>
      <c r="AI536">
        <f t="shared" si="102"/>
        <v>5.0214734335779214</v>
      </c>
      <c r="AK536">
        <f t="shared" si="103"/>
        <v>5.5091500642010942</v>
      </c>
      <c r="AL536">
        <f t="shared" si="104"/>
        <v>5.5091500642010942</v>
      </c>
      <c r="AM536">
        <f t="shared" si="105"/>
        <v>5.5091500642010942</v>
      </c>
      <c r="AN536">
        <f t="shared" si="106"/>
        <v>5.304592183197383</v>
      </c>
      <c r="AO536">
        <f t="shared" si="107"/>
        <v>5.304592183197383</v>
      </c>
      <c r="AP536">
        <f t="shared" si="108"/>
        <v>10.72673899920192</v>
      </c>
      <c r="AQ536">
        <f t="shared" si="109"/>
        <v>10.72673899920192</v>
      </c>
      <c r="AR536">
        <f t="shared" si="110"/>
        <v>3.9393466792185792</v>
      </c>
      <c r="AS536">
        <f t="shared" si="111"/>
        <v>3.9393466792185792</v>
      </c>
      <c r="AT536">
        <f t="shared" si="112"/>
        <v>5.0214734335779214</v>
      </c>
      <c r="AU536">
        <f t="shared" si="113"/>
        <v>5.0214734335779214</v>
      </c>
    </row>
    <row r="537" spans="1:47" x14ac:dyDescent="0.3">
      <c r="A537">
        <v>12</v>
      </c>
      <c r="B537" t="s">
        <v>207</v>
      </c>
      <c r="C537" t="s">
        <v>205</v>
      </c>
      <c r="D537" t="s">
        <v>206</v>
      </c>
      <c r="F537" s="7">
        <v>0</v>
      </c>
      <c r="G537" s="7">
        <v>1</v>
      </c>
      <c r="H537" s="3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>
        <f t="shared" si="81"/>
        <v>442474.6</v>
      </c>
      <c r="N537">
        <f t="shared" si="82"/>
        <v>442474.6</v>
      </c>
      <c r="O537">
        <f t="shared" si="83"/>
        <v>442474.6</v>
      </c>
      <c r="P537">
        <f t="shared" si="84"/>
        <v>1415030</v>
      </c>
      <c r="Q537">
        <f t="shared" si="85"/>
        <v>1415030</v>
      </c>
      <c r="R537">
        <f t="shared" si="86"/>
        <v>629964.6</v>
      </c>
      <c r="S537">
        <f t="shared" si="87"/>
        <v>629964.6</v>
      </c>
      <c r="T537">
        <f t="shared" si="88"/>
        <v>3016530.6</v>
      </c>
      <c r="U537">
        <f t="shared" si="89"/>
        <v>3016530.6</v>
      </c>
      <c r="V537">
        <f t="shared" si="90"/>
        <v>2673065.6</v>
      </c>
      <c r="W537">
        <f t="shared" si="91"/>
        <v>2673065.6</v>
      </c>
      <c r="Y537">
        <f t="shared" si="92"/>
        <v>0.68347782139899205</v>
      </c>
      <c r="Z537">
        <f t="shared" si="93"/>
        <v>0.68347782139899205</v>
      </c>
      <c r="AA537">
        <f t="shared" si="94"/>
        <v>0.68347782139899205</v>
      </c>
      <c r="AB537">
        <f t="shared" si="95"/>
        <v>1.742830776999472</v>
      </c>
      <c r="AC537">
        <f t="shared" si="96"/>
        <v>1.742830776999472</v>
      </c>
      <c r="AD537">
        <f t="shared" si="97"/>
        <v>0.95886188200674949</v>
      </c>
      <c r="AE537">
        <f t="shared" si="98"/>
        <v>0.95886188200674949</v>
      </c>
      <c r="AF537">
        <f t="shared" si="99"/>
        <v>0.93553933624643837</v>
      </c>
      <c r="AG537">
        <f t="shared" si="100"/>
        <v>0.93553933624643837</v>
      </c>
      <c r="AH537">
        <f t="shared" si="101"/>
        <v>3.4299597740056931</v>
      </c>
      <c r="AI537">
        <f t="shared" si="102"/>
        <v>3.4299597740056931</v>
      </c>
      <c r="AK537">
        <f t="shared" si="103"/>
        <v>0.68347782139899205</v>
      </c>
      <c r="AL537">
        <f t="shared" si="104"/>
        <v>0.68347782139899205</v>
      </c>
      <c r="AM537">
        <f t="shared" si="105"/>
        <v>0.68347782139899205</v>
      </c>
      <c r="AN537">
        <f t="shared" si="106"/>
        <v>1.742830776999472</v>
      </c>
      <c r="AO537">
        <f t="shared" si="107"/>
        <v>1.742830776999472</v>
      </c>
      <c r="AP537">
        <f t="shared" si="108"/>
        <v>0.95886188200674949</v>
      </c>
      <c r="AQ537">
        <f t="shared" si="109"/>
        <v>0.95886188200674949</v>
      </c>
      <c r="AR537">
        <f t="shared" si="110"/>
        <v>0.58809537085471675</v>
      </c>
      <c r="AS537">
        <f t="shared" si="111"/>
        <v>0.58809537085471675</v>
      </c>
      <c r="AT537">
        <f t="shared" si="112"/>
        <v>3.4299597740056931</v>
      </c>
      <c r="AU537">
        <f t="shared" si="113"/>
        <v>3.4299597740056931</v>
      </c>
    </row>
    <row r="538" spans="1:47" x14ac:dyDescent="0.3">
      <c r="A538">
        <v>12</v>
      </c>
      <c r="B538" t="s">
        <v>208</v>
      </c>
      <c r="C538" t="s">
        <v>205</v>
      </c>
      <c r="D538" t="s">
        <v>206</v>
      </c>
      <c r="F538" s="7">
        <v>0</v>
      </c>
      <c r="G538" s="7">
        <v>1</v>
      </c>
      <c r="H538" s="3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>
        <f t="shared" si="81"/>
        <v>487726.2</v>
      </c>
      <c r="N538">
        <f t="shared" si="82"/>
        <v>658422.6</v>
      </c>
      <c r="O538">
        <f t="shared" si="83"/>
        <v>657888.80000000005</v>
      </c>
      <c r="P538">
        <f t="shared" si="84"/>
        <v>910521</v>
      </c>
      <c r="Q538">
        <f t="shared" si="85"/>
        <v>280770.2</v>
      </c>
      <c r="R538">
        <f t="shared" si="86"/>
        <v>838831.6</v>
      </c>
      <c r="S538">
        <f t="shared" si="87"/>
        <v>241764.6</v>
      </c>
      <c r="T538">
        <f t="shared" si="88"/>
        <v>3125131.4</v>
      </c>
      <c r="U538">
        <f t="shared" si="89"/>
        <v>2785490.2</v>
      </c>
      <c r="V538">
        <f t="shared" si="90"/>
        <v>1858875.6</v>
      </c>
      <c r="W538">
        <f t="shared" si="91"/>
        <v>966532.8</v>
      </c>
      <c r="Y538">
        <f t="shared" si="92"/>
        <v>0.8308364740107208</v>
      </c>
      <c r="Z538">
        <f t="shared" si="93"/>
        <v>1.0902208202052861</v>
      </c>
      <c r="AA538">
        <f t="shared" si="94"/>
        <v>1.102803821431007</v>
      </c>
      <c r="AB538">
        <f t="shared" si="95"/>
        <v>1.0112821998045549</v>
      </c>
      <c r="AC538">
        <f t="shared" si="96"/>
        <v>0.86159977680654265</v>
      </c>
      <c r="AD538">
        <f t="shared" si="97"/>
        <v>1.206193615566008</v>
      </c>
      <c r="AE538">
        <f t="shared" si="98"/>
        <v>0.79714261974440892</v>
      </c>
      <c r="AF538">
        <f t="shared" si="99"/>
        <v>1.059622114419472</v>
      </c>
      <c r="AG538">
        <f t="shared" si="100"/>
        <v>1.657292989443522</v>
      </c>
      <c r="AH538">
        <f t="shared" si="101"/>
        <v>3.1515591628034598</v>
      </c>
      <c r="AI538">
        <f t="shared" si="102"/>
        <v>1.9008373968419621</v>
      </c>
      <c r="AK538">
        <f t="shared" si="103"/>
        <v>0.8308364740107208</v>
      </c>
      <c r="AL538">
        <f t="shared" si="104"/>
        <v>0.50723909462103622</v>
      </c>
      <c r="AM538">
        <f t="shared" si="105"/>
        <v>0.5162052394240163</v>
      </c>
      <c r="AN538">
        <f t="shared" si="106"/>
        <v>1.0112821998045549</v>
      </c>
      <c r="AO538">
        <f t="shared" si="107"/>
        <v>0.42412640920083511</v>
      </c>
      <c r="AP538">
        <f t="shared" si="108"/>
        <v>1.206193615566008</v>
      </c>
      <c r="AQ538">
        <f t="shared" si="109"/>
        <v>0.47276658300543212</v>
      </c>
      <c r="AR538">
        <f t="shared" si="110"/>
        <v>0.64554713600082325</v>
      </c>
      <c r="AS538">
        <f t="shared" si="111"/>
        <v>0.46502786382334299</v>
      </c>
      <c r="AT538">
        <f t="shared" si="112"/>
        <v>3.1515591628034598</v>
      </c>
      <c r="AU538">
        <f t="shared" si="113"/>
        <v>0.91594038502080366</v>
      </c>
    </row>
    <row r="539" spans="1:47" x14ac:dyDescent="0.3">
      <c r="A539">
        <v>12</v>
      </c>
      <c r="B539" t="s">
        <v>209</v>
      </c>
      <c r="C539" t="s">
        <v>205</v>
      </c>
      <c r="D539" t="s">
        <v>206</v>
      </c>
      <c r="F539" s="7">
        <v>0</v>
      </c>
      <c r="G539" s="7">
        <v>0</v>
      </c>
      <c r="H539" s="3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4680197.2</v>
      </c>
      <c r="O539">
        <f t="shared" si="83"/>
        <v>4728532.2</v>
      </c>
      <c r="P539">
        <f t="shared" si="84"/>
        <v>10277063.199999999</v>
      </c>
      <c r="Q539">
        <f t="shared" si="85"/>
        <v>2101696.2000000002</v>
      </c>
      <c r="R539">
        <f t="shared" si="86"/>
        <v>15865753</v>
      </c>
      <c r="S539">
        <f t="shared" si="87"/>
        <v>5083849.2</v>
      </c>
      <c r="T539">
        <f t="shared" si="88"/>
        <v>9444111</v>
      </c>
      <c r="U539">
        <f t="shared" si="89"/>
        <v>6439119</v>
      </c>
      <c r="V539">
        <f t="shared" si="90"/>
        <v>10692161.6</v>
      </c>
      <c r="W539">
        <f t="shared" si="91"/>
        <v>3887902.2</v>
      </c>
      <c r="Y539">
        <f t="shared" si="92"/>
        <v>5.8522755502024664</v>
      </c>
      <c r="Z539">
        <f t="shared" si="93"/>
        <v>3.5803618383943099</v>
      </c>
      <c r="AA539">
        <f t="shared" si="94"/>
        <v>3.6089015663601458</v>
      </c>
      <c r="AB539">
        <f t="shared" si="95"/>
        <v>7.6903914324007916</v>
      </c>
      <c r="AC539">
        <f t="shared" si="96"/>
        <v>2.270594206015812</v>
      </c>
      <c r="AD539">
        <f t="shared" si="97"/>
        <v>11.411742815212349</v>
      </c>
      <c r="AE539">
        <f t="shared" si="98"/>
        <v>4.3987166277831422</v>
      </c>
      <c r="AF539">
        <f t="shared" si="99"/>
        <v>5.9026511034113351</v>
      </c>
      <c r="AG539">
        <f t="shared" si="100"/>
        <v>4.4681346767931247</v>
      </c>
      <c r="AH539">
        <f t="shared" si="101"/>
        <v>5.952056715602521</v>
      </c>
      <c r="AI539">
        <f t="shared" si="102"/>
        <v>5.1632303480175326</v>
      </c>
      <c r="AK539">
        <f t="shared" si="103"/>
        <v>5.8522755502024664</v>
      </c>
      <c r="AL539">
        <f t="shared" si="104"/>
        <v>1.1786964134196749</v>
      </c>
      <c r="AM539">
        <f t="shared" si="105"/>
        <v>1.201034447166603</v>
      </c>
      <c r="AN539">
        <f t="shared" si="106"/>
        <v>7.6903914324007916</v>
      </c>
      <c r="AO539">
        <f t="shared" si="107"/>
        <v>0.83977004000626043</v>
      </c>
      <c r="AP539">
        <f t="shared" si="108"/>
        <v>11.411742815212349</v>
      </c>
      <c r="AQ539">
        <f t="shared" si="109"/>
        <v>1.398497378022876</v>
      </c>
      <c r="AR539">
        <f t="shared" si="110"/>
        <v>4.047171231801622</v>
      </c>
      <c r="AS539">
        <f t="shared" si="111"/>
        <v>0.77206573300063608</v>
      </c>
      <c r="AT539">
        <f t="shared" si="112"/>
        <v>5.952056715602521</v>
      </c>
      <c r="AU539">
        <f t="shared" si="113"/>
        <v>3.2379158642143011</v>
      </c>
    </row>
    <row r="540" spans="1:47" x14ac:dyDescent="0.3">
      <c r="A540">
        <v>12</v>
      </c>
      <c r="B540" t="s">
        <v>210</v>
      </c>
      <c r="C540" t="s">
        <v>205</v>
      </c>
      <c r="D540" t="s">
        <v>206</v>
      </c>
      <c r="F540" s="7">
        <v>0</v>
      </c>
      <c r="G540" s="7">
        <v>1</v>
      </c>
      <c r="H540" s="3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4582916.4000000004</v>
      </c>
      <c r="O540">
        <f t="shared" si="83"/>
        <v>4684344.5999999996</v>
      </c>
      <c r="P540">
        <f t="shared" si="84"/>
        <v>14509706.199999999</v>
      </c>
      <c r="Q540">
        <f t="shared" si="85"/>
        <v>1720415</v>
      </c>
      <c r="R540">
        <f t="shared" si="86"/>
        <v>9623035</v>
      </c>
      <c r="S540">
        <f t="shared" si="87"/>
        <v>4857017.2</v>
      </c>
      <c r="T540">
        <f t="shared" si="88"/>
        <v>9388318.8000000007</v>
      </c>
      <c r="U540">
        <f t="shared" si="89"/>
        <v>6389090.5999999996</v>
      </c>
      <c r="V540">
        <f t="shared" si="90"/>
        <v>9349243.1999999993</v>
      </c>
      <c r="W540">
        <f t="shared" si="91"/>
        <v>3422985.8</v>
      </c>
      <c r="Y540">
        <f t="shared" si="92"/>
        <v>6.1700233414070684</v>
      </c>
      <c r="Z540">
        <f t="shared" si="93"/>
        <v>3.536234782019164</v>
      </c>
      <c r="AA540">
        <f t="shared" si="94"/>
        <v>3.5729405679740012</v>
      </c>
      <c r="AB540">
        <f t="shared" si="95"/>
        <v>10.42595190979773</v>
      </c>
      <c r="AC540">
        <f t="shared" si="96"/>
        <v>2.0547725997836102</v>
      </c>
      <c r="AD540">
        <f t="shared" si="97"/>
        <v>7.7160666692070663</v>
      </c>
      <c r="AE540">
        <f t="shared" si="98"/>
        <v>3.7407963095582089</v>
      </c>
      <c r="AF540">
        <f t="shared" si="99"/>
        <v>5.8899914375855591</v>
      </c>
      <c r="AG540">
        <f t="shared" si="100"/>
        <v>4.4567404980538416</v>
      </c>
      <c r="AH540">
        <f t="shared" si="101"/>
        <v>5.596330696798395</v>
      </c>
      <c r="AI540">
        <f t="shared" si="102"/>
        <v>4.8446669099852446</v>
      </c>
      <c r="AK540">
        <f t="shared" si="103"/>
        <v>6.1700233414070684</v>
      </c>
      <c r="AL540">
        <f t="shared" si="104"/>
        <v>1.1810175114078449</v>
      </c>
      <c r="AM540">
        <f t="shared" si="105"/>
        <v>1.230349427787587</v>
      </c>
      <c r="AN540">
        <f t="shared" si="106"/>
        <v>10.42595190979773</v>
      </c>
      <c r="AO540">
        <f t="shared" si="107"/>
        <v>0.80322784839372618</v>
      </c>
      <c r="AP540">
        <f t="shared" si="108"/>
        <v>7.7160666692070663</v>
      </c>
      <c r="AQ540">
        <f t="shared" si="109"/>
        <v>1.1783032828127029</v>
      </c>
      <c r="AR540">
        <f t="shared" si="110"/>
        <v>4.0416909527848466</v>
      </c>
      <c r="AS540">
        <f t="shared" si="111"/>
        <v>0.76271806115983054</v>
      </c>
      <c r="AT540">
        <f t="shared" si="112"/>
        <v>5.596330696798395</v>
      </c>
      <c r="AU540">
        <f t="shared" si="113"/>
        <v>3.0284814075916069</v>
      </c>
    </row>
    <row r="541" spans="1:47" x14ac:dyDescent="0.3">
      <c r="A541">
        <v>12</v>
      </c>
      <c r="B541" t="s">
        <v>211</v>
      </c>
      <c r="C541" t="s">
        <v>205</v>
      </c>
      <c r="D541" t="s">
        <v>206</v>
      </c>
      <c r="F541" s="7">
        <v>0</v>
      </c>
      <c r="G541" s="7">
        <v>0</v>
      </c>
      <c r="H541" s="3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>
        <f t="shared" si="81"/>
        <v>269251.40000000002</v>
      </c>
      <c r="N541">
        <f t="shared" si="82"/>
        <v>451148.4</v>
      </c>
      <c r="O541">
        <f t="shared" si="83"/>
        <v>451447.8</v>
      </c>
      <c r="P541">
        <f t="shared" si="84"/>
        <v>463118.8</v>
      </c>
      <c r="Q541">
        <f t="shared" si="85"/>
        <v>377472.2</v>
      </c>
      <c r="R541">
        <f t="shared" si="86"/>
        <v>99494</v>
      </c>
      <c r="S541">
        <f t="shared" si="87"/>
        <v>152363.79999999999</v>
      </c>
      <c r="T541">
        <f t="shared" si="88"/>
        <v>3012197.6</v>
      </c>
      <c r="U541">
        <f t="shared" si="89"/>
        <v>2664316.6</v>
      </c>
      <c r="V541">
        <f t="shared" si="90"/>
        <v>160465.20000000001</v>
      </c>
      <c r="W541">
        <f t="shared" si="91"/>
        <v>473907.20000000001</v>
      </c>
      <c r="Y541">
        <f t="shared" si="92"/>
        <v>0.46580724579980598</v>
      </c>
      <c r="Z541">
        <f t="shared" si="93"/>
        <v>0.91679358979454262</v>
      </c>
      <c r="AA541">
        <f t="shared" si="94"/>
        <v>0.9104197161854245</v>
      </c>
      <c r="AB541">
        <f t="shared" si="95"/>
        <v>0.70423498900199777</v>
      </c>
      <c r="AC541">
        <f t="shared" si="96"/>
        <v>0.90731165361357857</v>
      </c>
      <c r="AD541">
        <f t="shared" si="97"/>
        <v>0.27961044160183518</v>
      </c>
      <c r="AE541">
        <f t="shared" si="98"/>
        <v>0.64639703941065818</v>
      </c>
      <c r="AF541">
        <f t="shared" si="99"/>
        <v>0.97631599000887948</v>
      </c>
      <c r="AG541">
        <f t="shared" si="100"/>
        <v>1.5674170364509341</v>
      </c>
      <c r="AH541">
        <f t="shared" si="101"/>
        <v>0.61186671036994089</v>
      </c>
      <c r="AI541">
        <f t="shared" si="102"/>
        <v>1.344462970015593</v>
      </c>
      <c r="AK541">
        <f t="shared" si="103"/>
        <v>0.46580724579980598</v>
      </c>
      <c r="AL541">
        <f t="shared" si="104"/>
        <v>0.45934106160420918</v>
      </c>
      <c r="AM541">
        <f t="shared" si="105"/>
        <v>0.45800565279787409</v>
      </c>
      <c r="AN541">
        <f t="shared" si="106"/>
        <v>0.70423498900199777</v>
      </c>
      <c r="AO541">
        <f t="shared" si="107"/>
        <v>0.45071215340285559</v>
      </c>
      <c r="AP541">
        <f t="shared" si="108"/>
        <v>0.27961044160183518</v>
      </c>
      <c r="AQ541">
        <f t="shared" si="109"/>
        <v>0.46880616059061142</v>
      </c>
      <c r="AR541">
        <f t="shared" si="110"/>
        <v>0.61030921780038627</v>
      </c>
      <c r="AS541">
        <f t="shared" si="111"/>
        <v>0.45261984874960037</v>
      </c>
      <c r="AT541">
        <f t="shared" si="112"/>
        <v>0.61186671036994089</v>
      </c>
      <c r="AU541">
        <f t="shared" si="113"/>
        <v>0.69435312501154844</v>
      </c>
    </row>
    <row r="542" spans="1:47" x14ac:dyDescent="0.3">
      <c r="A542">
        <v>12</v>
      </c>
      <c r="B542" t="s">
        <v>212</v>
      </c>
      <c r="C542" t="s">
        <v>205</v>
      </c>
      <c r="D542" t="s">
        <v>206</v>
      </c>
      <c r="F542" s="7">
        <v>0</v>
      </c>
      <c r="G542" s="7">
        <v>0</v>
      </c>
      <c r="H542" s="3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>
        <f t="shared" si="81"/>
        <v>521878.2</v>
      </c>
      <c r="N542">
        <f t="shared" si="82"/>
        <v>521878.2</v>
      </c>
      <c r="O542">
        <f t="shared" si="83"/>
        <v>521878.2</v>
      </c>
      <c r="P542">
        <f t="shared" si="84"/>
        <v>1662851.2</v>
      </c>
      <c r="Q542">
        <f t="shared" si="85"/>
        <v>1662851.2</v>
      </c>
      <c r="R542">
        <f t="shared" si="86"/>
        <v>296466.59999999998</v>
      </c>
      <c r="S542">
        <f t="shared" si="87"/>
        <v>296466.59999999998</v>
      </c>
      <c r="T542">
        <f t="shared" si="88"/>
        <v>3129437</v>
      </c>
      <c r="U542">
        <f t="shared" si="89"/>
        <v>3129437</v>
      </c>
      <c r="V542">
        <f t="shared" si="90"/>
        <v>1262862</v>
      </c>
      <c r="W542">
        <f t="shared" si="91"/>
        <v>1262862</v>
      </c>
      <c r="Y542">
        <f t="shared" si="92"/>
        <v>0.77678691379260267</v>
      </c>
      <c r="Z542">
        <f t="shared" si="93"/>
        <v>0.77678691379260267</v>
      </c>
      <c r="AA542">
        <f t="shared" si="94"/>
        <v>0.77678691379260267</v>
      </c>
      <c r="AB542">
        <f t="shared" si="95"/>
        <v>1.9391792557988079</v>
      </c>
      <c r="AC542">
        <f t="shared" si="96"/>
        <v>1.9391792557988079</v>
      </c>
      <c r="AD542">
        <f t="shared" si="97"/>
        <v>0.57708333098562437</v>
      </c>
      <c r="AE542">
        <f t="shared" si="98"/>
        <v>0.57708333098562437</v>
      </c>
      <c r="AF542">
        <f t="shared" si="99"/>
        <v>1.1019283973728311</v>
      </c>
      <c r="AG542">
        <f t="shared" si="100"/>
        <v>1.1019283973728311</v>
      </c>
      <c r="AH542">
        <f t="shared" si="101"/>
        <v>2.8753310950240119</v>
      </c>
      <c r="AI542">
        <f t="shared" si="102"/>
        <v>2.8753310950240119</v>
      </c>
      <c r="AK542">
        <f t="shared" si="103"/>
        <v>0.77678691379260267</v>
      </c>
      <c r="AL542">
        <f t="shared" si="104"/>
        <v>0.77678691379260267</v>
      </c>
      <c r="AM542">
        <f t="shared" si="105"/>
        <v>0.77678691379260267</v>
      </c>
      <c r="AN542">
        <f t="shared" si="106"/>
        <v>1.9391792557988079</v>
      </c>
      <c r="AO542">
        <f t="shared" si="107"/>
        <v>1.9391792557988079</v>
      </c>
      <c r="AP542">
        <f t="shared" si="108"/>
        <v>0.57708333098562437</v>
      </c>
      <c r="AQ542">
        <f t="shared" si="109"/>
        <v>0.57708333098562437</v>
      </c>
      <c r="AR542">
        <f t="shared" si="110"/>
        <v>0.66683192497584964</v>
      </c>
      <c r="AS542">
        <f t="shared" si="111"/>
        <v>0.66683192497584964</v>
      </c>
      <c r="AT542">
        <f t="shared" si="112"/>
        <v>2.8753310950240119</v>
      </c>
      <c r="AU542">
        <f t="shared" si="113"/>
        <v>2.8753310950240119</v>
      </c>
    </row>
    <row r="543" spans="1:47" x14ac:dyDescent="0.3">
      <c r="A543">
        <v>12</v>
      </c>
      <c r="B543" t="s">
        <v>213</v>
      </c>
      <c r="C543" t="s">
        <v>205</v>
      </c>
      <c r="D543" t="s">
        <v>206</v>
      </c>
      <c r="F543" s="7">
        <v>0</v>
      </c>
      <c r="G543" s="7">
        <v>1</v>
      </c>
      <c r="H543" s="3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>
        <f t="shared" si="81"/>
        <v>8551058.5999999996</v>
      </c>
      <c r="N543">
        <f t="shared" si="82"/>
        <v>8551058.5999999996</v>
      </c>
      <c r="O543">
        <f t="shared" si="83"/>
        <v>8551058.5999999996</v>
      </c>
      <c r="P543">
        <f t="shared" si="84"/>
        <v>18313333.399999999</v>
      </c>
      <c r="Q543">
        <f t="shared" si="85"/>
        <v>18313333.399999999</v>
      </c>
      <c r="R543">
        <f t="shared" si="86"/>
        <v>9876058.5999999996</v>
      </c>
      <c r="S543">
        <f t="shared" si="87"/>
        <v>9876058.5999999996</v>
      </c>
      <c r="T543">
        <f t="shared" si="88"/>
        <v>9453028.1999999993</v>
      </c>
      <c r="U543">
        <f t="shared" si="89"/>
        <v>9453028.1999999993</v>
      </c>
      <c r="V543">
        <f t="shared" si="90"/>
        <v>10764021.800000001</v>
      </c>
      <c r="W543">
        <f t="shared" si="91"/>
        <v>10764021.800000001</v>
      </c>
      <c r="Y543">
        <f t="shared" si="92"/>
        <v>6.7679427088005468</v>
      </c>
      <c r="Z543">
        <f t="shared" si="93"/>
        <v>6.7679427088005468</v>
      </c>
      <c r="AA543">
        <f t="shared" si="94"/>
        <v>6.7679427088005468</v>
      </c>
      <c r="AB543">
        <f t="shared" si="95"/>
        <v>11.926315327195329</v>
      </c>
      <c r="AC543">
        <f t="shared" si="96"/>
        <v>11.926315327195329</v>
      </c>
      <c r="AD543">
        <f t="shared" si="97"/>
        <v>7.7026615959824998</v>
      </c>
      <c r="AE543">
        <f t="shared" si="98"/>
        <v>7.7026615959824998</v>
      </c>
      <c r="AF543">
        <f t="shared" si="99"/>
        <v>6.0664399284170942</v>
      </c>
      <c r="AG543">
        <f t="shared" si="100"/>
        <v>6.0664399284170942</v>
      </c>
      <c r="AH543">
        <f t="shared" si="101"/>
        <v>5.604095003986731</v>
      </c>
      <c r="AI543">
        <f t="shared" si="102"/>
        <v>5.604095003986731</v>
      </c>
      <c r="AK543">
        <f t="shared" si="103"/>
        <v>6.7679427088005468</v>
      </c>
      <c r="AL543">
        <f t="shared" si="104"/>
        <v>6.7679427088005468</v>
      </c>
      <c r="AM543">
        <f t="shared" si="105"/>
        <v>6.7679427088005468</v>
      </c>
      <c r="AN543">
        <f t="shared" si="106"/>
        <v>11.926315327195329</v>
      </c>
      <c r="AO543">
        <f t="shared" si="107"/>
        <v>11.926315327195329</v>
      </c>
      <c r="AP543">
        <f t="shared" si="108"/>
        <v>7.7026615959824998</v>
      </c>
      <c r="AQ543">
        <f t="shared" si="109"/>
        <v>7.7026615959824998</v>
      </c>
      <c r="AR543">
        <f t="shared" si="110"/>
        <v>4.1582310048281217</v>
      </c>
      <c r="AS543">
        <f t="shared" si="111"/>
        <v>4.1582310048281217</v>
      </c>
      <c r="AT543">
        <f t="shared" si="112"/>
        <v>5.604095003986731</v>
      </c>
      <c r="AU543">
        <f t="shared" si="113"/>
        <v>5.604095003986731</v>
      </c>
    </row>
    <row r="544" spans="1:47" x14ac:dyDescent="0.3">
      <c r="F544" s="7"/>
      <c r="G544" s="7"/>
      <c r="H544" s="3"/>
    </row>
    <row r="545" spans="6:8" x14ac:dyDescent="0.3">
      <c r="F545" s="7"/>
      <c r="G545" s="7"/>
      <c r="H545" s="3"/>
    </row>
    <row r="546" spans="6:8" x14ac:dyDescent="0.3">
      <c r="F546" s="7"/>
      <c r="G546" s="7"/>
      <c r="H546" s="3"/>
    </row>
    <row r="547" spans="6:8" x14ac:dyDescent="0.3">
      <c r="F547" s="7"/>
      <c r="G547" s="7"/>
      <c r="H547" s="3"/>
    </row>
    <row r="548" spans="6:8" x14ac:dyDescent="0.3">
      <c r="F548" s="7"/>
      <c r="G548" s="7"/>
      <c r="H548" s="3"/>
    </row>
    <row r="549" spans="6:8" x14ac:dyDescent="0.3">
      <c r="F549" s="7"/>
      <c r="G549" s="7"/>
      <c r="H549" s="3"/>
    </row>
    <row r="550" spans="6:8" x14ac:dyDescent="0.3">
      <c r="F550" s="7"/>
      <c r="G550" s="7"/>
      <c r="H550" s="3"/>
    </row>
    <row r="551" spans="6:8" x14ac:dyDescent="0.3">
      <c r="F551" s="7"/>
      <c r="G551" s="7"/>
      <c r="H551" s="3"/>
    </row>
    <row r="552" spans="6:8" x14ac:dyDescent="0.3">
      <c r="F552" s="7"/>
      <c r="G552" s="7"/>
      <c r="H552" s="3"/>
    </row>
    <row r="553" spans="6:8" x14ac:dyDescent="0.3">
      <c r="F553" s="7"/>
      <c r="G553" s="7"/>
      <c r="H553" s="3"/>
    </row>
    <row r="554" spans="6:8" x14ac:dyDescent="0.3">
      <c r="F554" s="7"/>
      <c r="G554" s="7"/>
      <c r="H554" s="3"/>
    </row>
    <row r="555" spans="6:8" x14ac:dyDescent="0.3">
      <c r="F555" s="7"/>
      <c r="G555" s="7"/>
      <c r="H555" s="3"/>
    </row>
    <row r="556" spans="6:8" x14ac:dyDescent="0.3">
      <c r="F556" s="7"/>
      <c r="G556" s="7"/>
      <c r="H556" s="3"/>
    </row>
    <row r="557" spans="6:8" x14ac:dyDescent="0.3">
      <c r="F557" s="7"/>
      <c r="G557" s="7"/>
      <c r="H557" s="3"/>
    </row>
    <row r="558" spans="6:8" x14ac:dyDescent="0.3">
      <c r="F558" s="7"/>
      <c r="G558" s="7"/>
      <c r="H558" s="3"/>
    </row>
    <row r="559" spans="6:8" x14ac:dyDescent="0.3">
      <c r="F559" s="7"/>
      <c r="G559" s="7"/>
      <c r="H559" s="3"/>
    </row>
    <row r="560" spans="6:8" x14ac:dyDescent="0.3">
      <c r="F560" s="7"/>
      <c r="G560" s="7"/>
      <c r="H560" s="3"/>
    </row>
    <row r="561" spans="6:8" x14ac:dyDescent="0.3">
      <c r="F561" s="7"/>
      <c r="G561" s="7"/>
      <c r="H561" s="3"/>
    </row>
    <row r="562" spans="6:8" x14ac:dyDescent="0.3">
      <c r="F562" s="7"/>
      <c r="G562" s="7"/>
      <c r="H562" s="3"/>
    </row>
    <row r="563" spans="6:8" x14ac:dyDescent="0.3">
      <c r="F563" s="7"/>
      <c r="G563" s="7"/>
      <c r="H563" s="3"/>
    </row>
    <row r="564" spans="6:8" x14ac:dyDescent="0.3">
      <c r="F564" s="7"/>
      <c r="G564" s="7"/>
      <c r="H564" s="3"/>
    </row>
    <row r="565" spans="6:8" x14ac:dyDescent="0.3">
      <c r="F565" s="7"/>
      <c r="G565" s="7"/>
      <c r="H565" s="3"/>
    </row>
    <row r="566" spans="6:8" x14ac:dyDescent="0.3">
      <c r="F566" s="7"/>
      <c r="G566" s="7"/>
      <c r="H566" s="3"/>
    </row>
    <row r="567" spans="6:8" x14ac:dyDescent="0.3">
      <c r="F567" s="7"/>
      <c r="G567" s="7"/>
      <c r="H567" s="3"/>
    </row>
    <row r="568" spans="6:8" x14ac:dyDescent="0.3">
      <c r="F568" s="7"/>
      <c r="G568" s="7"/>
      <c r="H568" s="3"/>
    </row>
    <row r="569" spans="6:8" x14ac:dyDescent="0.3">
      <c r="F569" s="7"/>
      <c r="G569" s="7"/>
      <c r="H569" s="3"/>
    </row>
    <row r="570" spans="6:8" x14ac:dyDescent="0.3">
      <c r="F570" s="7"/>
      <c r="G570" s="7"/>
      <c r="H570" s="3"/>
    </row>
    <row r="571" spans="6:8" x14ac:dyDescent="0.3">
      <c r="F571" s="7"/>
      <c r="G571" s="7"/>
      <c r="H571" s="3"/>
    </row>
    <row r="572" spans="6:8" x14ac:dyDescent="0.3">
      <c r="F572" s="7"/>
      <c r="G572" s="7"/>
      <c r="H572" s="3"/>
    </row>
    <row r="573" spans="6:8" x14ac:dyDescent="0.3">
      <c r="F573" s="7"/>
      <c r="G573" s="7"/>
      <c r="H573" s="3"/>
    </row>
    <row r="574" spans="6:8" x14ac:dyDescent="0.3">
      <c r="F574" s="7"/>
      <c r="G574" s="7"/>
      <c r="H574" s="3"/>
    </row>
    <row r="575" spans="6:8" x14ac:dyDescent="0.3">
      <c r="F575" s="7"/>
      <c r="G575" s="7"/>
      <c r="H575" s="3"/>
    </row>
    <row r="576" spans="6:8" x14ac:dyDescent="0.3">
      <c r="F576" s="7"/>
      <c r="G576" s="7"/>
      <c r="H576" s="3"/>
    </row>
    <row r="577" spans="6:8" x14ac:dyDescent="0.3">
      <c r="F577" s="7"/>
      <c r="G577" s="7"/>
      <c r="H577" s="3"/>
    </row>
    <row r="578" spans="6:8" x14ac:dyDescent="0.3">
      <c r="F578" s="7"/>
      <c r="G578" s="7"/>
      <c r="H578" s="3"/>
    </row>
    <row r="579" spans="6:8" x14ac:dyDescent="0.3">
      <c r="F579" s="7"/>
      <c r="G579" s="7"/>
      <c r="H579" s="3"/>
    </row>
    <row r="580" spans="6:8" x14ac:dyDescent="0.3">
      <c r="F580" s="7"/>
      <c r="G580" s="7"/>
      <c r="H580" s="3"/>
    </row>
    <row r="581" spans="6:8" x14ac:dyDescent="0.3">
      <c r="F581" s="7"/>
      <c r="G581" s="7"/>
      <c r="H581" s="3"/>
    </row>
    <row r="582" spans="6:8" x14ac:dyDescent="0.3">
      <c r="F582" s="7"/>
      <c r="G582" s="7"/>
      <c r="H582" s="3"/>
    </row>
    <row r="583" spans="6:8" x14ac:dyDescent="0.3">
      <c r="F583" s="7"/>
      <c r="G583" s="7"/>
      <c r="H583" s="3"/>
    </row>
    <row r="584" spans="6:8" x14ac:dyDescent="0.3">
      <c r="F584" s="7"/>
      <c r="G584" s="7"/>
      <c r="H584" s="3"/>
    </row>
    <row r="585" spans="6:8" x14ac:dyDescent="0.3">
      <c r="F585" s="7"/>
      <c r="G585" s="7"/>
      <c r="H585" s="3"/>
    </row>
    <row r="586" spans="6:8" x14ac:dyDescent="0.3">
      <c r="F586" s="7"/>
      <c r="G586" s="7"/>
      <c r="H586" s="3"/>
    </row>
    <row r="587" spans="6:8" x14ac:dyDescent="0.3">
      <c r="F587" s="7"/>
      <c r="G587" s="7"/>
      <c r="H587" s="3"/>
    </row>
    <row r="588" spans="6:8" x14ac:dyDescent="0.3">
      <c r="F588" s="7"/>
      <c r="G588" s="7"/>
      <c r="H588" s="3"/>
    </row>
    <row r="589" spans="6:8" x14ac:dyDescent="0.3">
      <c r="F589" s="7"/>
      <c r="G589" s="7"/>
      <c r="H589" s="3"/>
    </row>
    <row r="590" spans="6:8" x14ac:dyDescent="0.3">
      <c r="F590" s="7"/>
      <c r="G590" s="7"/>
      <c r="H590" s="3"/>
    </row>
    <row r="591" spans="6:8" x14ac:dyDescent="0.3">
      <c r="F591" s="7"/>
      <c r="G591" s="7"/>
      <c r="H591" s="3"/>
    </row>
    <row r="592" spans="6:8" x14ac:dyDescent="0.3">
      <c r="F592" s="7"/>
      <c r="G592" s="7"/>
      <c r="H592" s="3"/>
    </row>
    <row r="593" spans="6:8" x14ac:dyDescent="0.3">
      <c r="F593" s="7"/>
      <c r="G593" s="7"/>
      <c r="H593" s="3"/>
    </row>
    <row r="594" spans="6:8" x14ac:dyDescent="0.3">
      <c r="F594" s="7"/>
      <c r="G594" s="7"/>
      <c r="H594" s="3"/>
    </row>
    <row r="595" spans="6:8" x14ac:dyDescent="0.3">
      <c r="F595" s="7"/>
      <c r="G595" s="7"/>
      <c r="H595" s="3"/>
    </row>
    <row r="596" spans="6:8" x14ac:dyDescent="0.3">
      <c r="F596" s="7"/>
      <c r="G596" s="7"/>
      <c r="H596" s="3"/>
    </row>
    <row r="597" spans="6:8" x14ac:dyDescent="0.3">
      <c r="F597" s="7"/>
      <c r="G597" s="7"/>
      <c r="H597" s="3"/>
    </row>
    <row r="598" spans="6:8" x14ac:dyDescent="0.3">
      <c r="F598" s="7"/>
      <c r="G598" s="7"/>
      <c r="H598" s="3"/>
    </row>
    <row r="599" spans="6:8" x14ac:dyDescent="0.3">
      <c r="F599" s="7"/>
      <c r="G599" s="7"/>
      <c r="H599" s="3"/>
    </row>
    <row r="600" spans="6:8" x14ac:dyDescent="0.3">
      <c r="F600" s="7"/>
      <c r="G600" s="7"/>
      <c r="H600" s="3"/>
    </row>
    <row r="601" spans="6:8" x14ac:dyDescent="0.3">
      <c r="F601" s="7"/>
      <c r="G601" s="7"/>
      <c r="H601" s="3"/>
    </row>
    <row r="602" spans="6:8" x14ac:dyDescent="0.3">
      <c r="F602" s="7"/>
      <c r="G602" s="7"/>
      <c r="H602" s="3"/>
    </row>
    <row r="603" spans="6:8" x14ac:dyDescent="0.3">
      <c r="F603" s="7"/>
      <c r="G603" s="7"/>
      <c r="H603" s="3"/>
    </row>
    <row r="604" spans="6:8" x14ac:dyDescent="0.3">
      <c r="F604" s="7"/>
      <c r="G604" s="7"/>
      <c r="H604" s="3"/>
    </row>
    <row r="605" spans="6:8" x14ac:dyDescent="0.3">
      <c r="F605" s="7"/>
      <c r="G605" s="7"/>
      <c r="H605" s="3"/>
    </row>
    <row r="606" spans="6:8" x14ac:dyDescent="0.3">
      <c r="F606" s="7"/>
      <c r="G606" s="7"/>
      <c r="H606" s="3"/>
    </row>
    <row r="607" spans="6:8" x14ac:dyDescent="0.3">
      <c r="F607" s="7"/>
      <c r="G607" s="7"/>
      <c r="H607" s="3"/>
    </row>
    <row r="608" spans="6:8" x14ac:dyDescent="0.3">
      <c r="F608" s="7"/>
      <c r="G608" s="7"/>
      <c r="H608" s="3"/>
    </row>
    <row r="609" spans="6:8" x14ac:dyDescent="0.3">
      <c r="F609" s="7"/>
      <c r="G609" s="7"/>
      <c r="H609" s="3"/>
    </row>
    <row r="610" spans="6:8" x14ac:dyDescent="0.3">
      <c r="F610" s="7"/>
      <c r="G610" s="7"/>
      <c r="H610" s="3"/>
    </row>
    <row r="611" spans="6:8" x14ac:dyDescent="0.3">
      <c r="F611" s="7"/>
      <c r="G611" s="7"/>
      <c r="H611" s="3"/>
    </row>
    <row r="612" spans="6:8" x14ac:dyDescent="0.3">
      <c r="F612" s="7"/>
      <c r="G612" s="7"/>
      <c r="H612" s="3"/>
    </row>
    <row r="613" spans="6:8" x14ac:dyDescent="0.3">
      <c r="F613" s="7"/>
      <c r="G613" s="7"/>
      <c r="H613" s="3"/>
    </row>
    <row r="614" spans="6:8" x14ac:dyDescent="0.3">
      <c r="F614" s="7"/>
      <c r="G614" s="7"/>
      <c r="H614" s="3"/>
    </row>
    <row r="615" spans="6:8" x14ac:dyDescent="0.3">
      <c r="F615" s="7"/>
      <c r="G615" s="7"/>
      <c r="H615" s="3"/>
    </row>
    <row r="616" spans="6:8" x14ac:dyDescent="0.3">
      <c r="F616" s="7"/>
      <c r="G616" s="7"/>
      <c r="H616" s="3"/>
    </row>
    <row r="617" spans="6:8" x14ac:dyDescent="0.3">
      <c r="F617" s="7"/>
      <c r="G617" s="7"/>
      <c r="H617" s="3"/>
    </row>
    <row r="618" spans="6:8" x14ac:dyDescent="0.3">
      <c r="F618" s="7"/>
      <c r="G618" s="7"/>
      <c r="H618" s="3"/>
    </row>
    <row r="619" spans="6:8" x14ac:dyDescent="0.3">
      <c r="F619" s="7"/>
      <c r="G619" s="7"/>
      <c r="H619" s="3"/>
    </row>
    <row r="620" spans="6:8" x14ac:dyDescent="0.3">
      <c r="F620" s="7"/>
      <c r="G620" s="7"/>
      <c r="H620" s="3"/>
    </row>
    <row r="621" spans="6:8" x14ac:dyDescent="0.3">
      <c r="F621" s="7"/>
      <c r="G621" s="7"/>
      <c r="H621" s="3"/>
    </row>
    <row r="622" spans="6:8" x14ac:dyDescent="0.3">
      <c r="F622" s="7"/>
      <c r="G622" s="7"/>
      <c r="H622" s="3"/>
    </row>
    <row r="623" spans="6:8" x14ac:dyDescent="0.3">
      <c r="F623" s="7"/>
      <c r="G623" s="7"/>
      <c r="H623" s="3"/>
    </row>
    <row r="624" spans="6:8" x14ac:dyDescent="0.3">
      <c r="F624" s="7"/>
      <c r="G624" s="7"/>
      <c r="H624" s="3"/>
    </row>
    <row r="625" spans="6:8" x14ac:dyDescent="0.3">
      <c r="F625" s="7"/>
      <c r="G625" s="7"/>
      <c r="H625" s="3"/>
    </row>
    <row r="626" spans="6:8" x14ac:dyDescent="0.3">
      <c r="F626" s="7"/>
      <c r="G626" s="7"/>
      <c r="H626" s="3"/>
    </row>
    <row r="627" spans="6:8" x14ac:dyDescent="0.3">
      <c r="F627" s="7"/>
      <c r="G627" s="7"/>
      <c r="H627" s="3"/>
    </row>
    <row r="628" spans="6:8" x14ac:dyDescent="0.3">
      <c r="F628" s="7"/>
      <c r="G628" s="7"/>
      <c r="H628" s="3"/>
    </row>
    <row r="629" spans="6:8" x14ac:dyDescent="0.3">
      <c r="F629" s="7"/>
      <c r="G629" s="7"/>
      <c r="H629" s="3"/>
    </row>
    <row r="630" spans="6:8" x14ac:dyDescent="0.3">
      <c r="F630" s="7"/>
      <c r="G630" s="7"/>
      <c r="H630" s="3"/>
    </row>
    <row r="631" spans="6:8" x14ac:dyDescent="0.3">
      <c r="F631" s="7"/>
      <c r="G631" s="7"/>
      <c r="H631" s="3"/>
    </row>
    <row r="632" spans="6:8" x14ac:dyDescent="0.3">
      <c r="F632" s="7"/>
      <c r="G632" s="7"/>
      <c r="H632" s="3"/>
    </row>
    <row r="633" spans="6:8" x14ac:dyDescent="0.3">
      <c r="F633" s="7"/>
      <c r="G633" s="7"/>
      <c r="H633" s="3"/>
    </row>
    <row r="634" spans="6:8" x14ac:dyDescent="0.3">
      <c r="F634" s="7"/>
      <c r="G634" s="7"/>
      <c r="H634" s="3"/>
    </row>
    <row r="635" spans="6:8" x14ac:dyDescent="0.3">
      <c r="F635" s="7"/>
      <c r="G635" s="7"/>
      <c r="H635" s="3"/>
    </row>
    <row r="636" spans="6:8" x14ac:dyDescent="0.3">
      <c r="F636" s="7"/>
      <c r="G636" s="7"/>
      <c r="H636" s="3"/>
    </row>
    <row r="637" spans="6:8" x14ac:dyDescent="0.3">
      <c r="F637" s="7"/>
      <c r="G637" s="7"/>
      <c r="H637" s="3"/>
    </row>
    <row r="638" spans="6:8" x14ac:dyDescent="0.3">
      <c r="F638" s="7"/>
      <c r="G638" s="7"/>
      <c r="H638" s="3"/>
    </row>
    <row r="639" spans="6:8" x14ac:dyDescent="0.3">
      <c r="F639" s="7"/>
      <c r="G639" s="7"/>
      <c r="H639" s="3"/>
    </row>
    <row r="640" spans="6:8" x14ac:dyDescent="0.3">
      <c r="F640" s="7"/>
      <c r="G640" s="7"/>
      <c r="H640" s="3"/>
    </row>
    <row r="641" spans="6:8" x14ac:dyDescent="0.3">
      <c r="F641" s="7"/>
      <c r="G641" s="7"/>
      <c r="H641" s="3"/>
    </row>
    <row r="642" spans="6:8" x14ac:dyDescent="0.3">
      <c r="F642" s="7"/>
      <c r="G642" s="7"/>
      <c r="H642" s="3"/>
    </row>
    <row r="643" spans="6:8" x14ac:dyDescent="0.3">
      <c r="F643" s="7"/>
      <c r="G643" s="7"/>
      <c r="H643" s="3"/>
    </row>
    <row r="644" spans="6:8" x14ac:dyDescent="0.3">
      <c r="F644" s="7"/>
      <c r="G644" s="7"/>
      <c r="H644" s="3"/>
    </row>
    <row r="645" spans="6:8" x14ac:dyDescent="0.3">
      <c r="F645" s="7"/>
      <c r="G645" s="7"/>
      <c r="H645" s="3"/>
    </row>
    <row r="646" spans="6:8" x14ac:dyDescent="0.3">
      <c r="F646" s="7"/>
      <c r="G646" s="7"/>
      <c r="H646" s="3"/>
    </row>
    <row r="647" spans="6:8" x14ac:dyDescent="0.3">
      <c r="F647" s="7"/>
      <c r="G647" s="7"/>
      <c r="H647" s="3"/>
    </row>
    <row r="648" spans="6:8" x14ac:dyDescent="0.3">
      <c r="F648" s="7"/>
      <c r="G648" s="7"/>
      <c r="H648" s="3"/>
    </row>
    <row r="649" spans="6:8" x14ac:dyDescent="0.3">
      <c r="F649" s="7"/>
      <c r="G649" s="7"/>
      <c r="H649" s="3"/>
    </row>
    <row r="650" spans="6:8" x14ac:dyDescent="0.3">
      <c r="F650" s="7"/>
      <c r="G650" s="7"/>
      <c r="H650" s="3"/>
    </row>
    <row r="651" spans="6:8" x14ac:dyDescent="0.3">
      <c r="F651" s="7"/>
      <c r="G651" s="7"/>
      <c r="H651" s="3"/>
    </row>
    <row r="652" spans="6:8" x14ac:dyDescent="0.3">
      <c r="F652" s="7"/>
      <c r="G652" s="7"/>
      <c r="H652" s="3"/>
    </row>
    <row r="653" spans="6:8" x14ac:dyDescent="0.3">
      <c r="F653" s="7"/>
      <c r="G653" s="7"/>
      <c r="H653" s="3"/>
    </row>
    <row r="654" spans="6:8" x14ac:dyDescent="0.3">
      <c r="F654" s="7"/>
      <c r="G654" s="7"/>
      <c r="H654" s="3"/>
    </row>
    <row r="655" spans="6:8" x14ac:dyDescent="0.3">
      <c r="F655" s="7"/>
      <c r="G655" s="7"/>
      <c r="H655" s="3"/>
    </row>
    <row r="656" spans="6:8" x14ac:dyDescent="0.3">
      <c r="F656" s="7"/>
      <c r="G656" s="7"/>
      <c r="H656" s="3"/>
    </row>
    <row r="657" spans="6:8" x14ac:dyDescent="0.3">
      <c r="F657" s="7"/>
      <c r="G657" s="7"/>
      <c r="H657" s="3"/>
    </row>
    <row r="658" spans="6:8" x14ac:dyDescent="0.3">
      <c r="F658" s="7"/>
      <c r="G658" s="7"/>
      <c r="H658" s="3"/>
    </row>
    <row r="659" spans="6:8" x14ac:dyDescent="0.3">
      <c r="F659" s="7"/>
      <c r="G659" s="7"/>
      <c r="H659" s="3"/>
    </row>
    <row r="660" spans="6:8" x14ac:dyDescent="0.3">
      <c r="F660" s="7"/>
      <c r="G660" s="7"/>
      <c r="H660" s="3"/>
    </row>
    <row r="661" spans="6:8" x14ac:dyDescent="0.3">
      <c r="F661" s="7"/>
      <c r="G661" s="7"/>
      <c r="H661" s="3"/>
    </row>
    <row r="662" spans="6:8" x14ac:dyDescent="0.3">
      <c r="F662" s="7"/>
      <c r="G662" s="7"/>
      <c r="H662" s="3"/>
    </row>
    <row r="663" spans="6:8" x14ac:dyDescent="0.3">
      <c r="F663" s="7"/>
      <c r="G663" s="7"/>
      <c r="H663" s="3"/>
    </row>
    <row r="664" spans="6:8" x14ac:dyDescent="0.3">
      <c r="F664" s="7"/>
      <c r="G664" s="7"/>
      <c r="H664" s="3"/>
    </row>
    <row r="665" spans="6:8" x14ac:dyDescent="0.3">
      <c r="F665" s="7"/>
      <c r="G665" s="7"/>
      <c r="H665" s="3"/>
    </row>
    <row r="666" spans="6:8" x14ac:dyDescent="0.3">
      <c r="F666" s="7"/>
      <c r="G666" s="7"/>
      <c r="H666" s="3"/>
    </row>
    <row r="667" spans="6:8" x14ac:dyDescent="0.3">
      <c r="F667" s="7"/>
      <c r="G667" s="7"/>
      <c r="H667" s="3"/>
    </row>
    <row r="668" spans="6:8" x14ac:dyDescent="0.3">
      <c r="F668" s="7"/>
      <c r="G668" s="7"/>
      <c r="H668" s="3"/>
    </row>
    <row r="669" spans="6:8" x14ac:dyDescent="0.3">
      <c r="F669" s="7"/>
      <c r="G669" s="7"/>
      <c r="H669" s="3"/>
    </row>
    <row r="670" spans="6:8" x14ac:dyDescent="0.3">
      <c r="F670" s="7"/>
      <c r="G670" s="7"/>
      <c r="H670" s="3"/>
    </row>
    <row r="671" spans="6:8" x14ac:dyDescent="0.3">
      <c r="F671" s="7"/>
      <c r="G671" s="7"/>
      <c r="H671" s="3"/>
    </row>
    <row r="672" spans="6:8" x14ac:dyDescent="0.3">
      <c r="F672" s="7"/>
      <c r="G672" s="7"/>
      <c r="H672" s="3"/>
    </row>
    <row r="673" spans="6:8" x14ac:dyDescent="0.3">
      <c r="F673" s="7"/>
      <c r="G673" s="7"/>
      <c r="H673" s="3"/>
    </row>
    <row r="674" spans="6:8" x14ac:dyDescent="0.3">
      <c r="F674" s="7"/>
      <c r="G674" s="7"/>
      <c r="H674" s="3"/>
    </row>
    <row r="675" spans="6:8" x14ac:dyDescent="0.3">
      <c r="F675" s="7"/>
      <c r="G675" s="7"/>
      <c r="H675" s="3"/>
    </row>
    <row r="676" spans="6:8" x14ac:dyDescent="0.3">
      <c r="F676" s="7"/>
      <c r="G676" s="7"/>
      <c r="H676" s="3"/>
    </row>
    <row r="677" spans="6:8" x14ac:dyDescent="0.3">
      <c r="F677" s="7"/>
      <c r="G677" s="7"/>
      <c r="H677" s="3"/>
    </row>
    <row r="678" spans="6:8" x14ac:dyDescent="0.3">
      <c r="F678" s="7"/>
      <c r="G678" s="7"/>
      <c r="H678" s="3"/>
    </row>
    <row r="679" spans="6:8" x14ac:dyDescent="0.3">
      <c r="F679" s="7"/>
      <c r="G679" s="7"/>
      <c r="H679" s="3"/>
    </row>
    <row r="680" spans="6:8" x14ac:dyDescent="0.3">
      <c r="F680" s="7"/>
      <c r="G680" s="7"/>
      <c r="H680" s="3"/>
    </row>
    <row r="681" spans="6:8" x14ac:dyDescent="0.3">
      <c r="F681" s="7"/>
      <c r="G681" s="7"/>
      <c r="H681" s="3"/>
    </row>
    <row r="682" spans="6:8" x14ac:dyDescent="0.3">
      <c r="F682" s="7"/>
      <c r="G682" s="7"/>
      <c r="H682" s="3"/>
    </row>
    <row r="683" spans="6:8" x14ac:dyDescent="0.3">
      <c r="F683" s="7"/>
      <c r="G683" s="7"/>
      <c r="H683" s="3"/>
    </row>
    <row r="684" spans="6:8" x14ac:dyDescent="0.3">
      <c r="F684" s="7"/>
      <c r="G684" s="7"/>
      <c r="H684" s="3"/>
    </row>
    <row r="685" spans="6:8" x14ac:dyDescent="0.3">
      <c r="F685" s="7"/>
      <c r="G685" s="7"/>
      <c r="H685" s="3"/>
    </row>
    <row r="686" spans="6:8" x14ac:dyDescent="0.3">
      <c r="F686" s="7"/>
      <c r="G686" s="7"/>
      <c r="H686" s="3"/>
    </row>
    <row r="687" spans="6:8" x14ac:dyDescent="0.3">
      <c r="F687" s="7"/>
      <c r="G687" s="7"/>
      <c r="H687" s="3"/>
    </row>
    <row r="688" spans="6:8" x14ac:dyDescent="0.3">
      <c r="F688" s="7"/>
      <c r="G688" s="7"/>
      <c r="H688" s="3"/>
    </row>
    <row r="689" spans="6:8" x14ac:dyDescent="0.3">
      <c r="F689" s="7"/>
      <c r="G689" s="7"/>
      <c r="H689" s="3"/>
    </row>
    <row r="690" spans="6:8" x14ac:dyDescent="0.3">
      <c r="F690" s="7"/>
      <c r="G690" s="7"/>
      <c r="H690" s="3"/>
    </row>
    <row r="691" spans="6:8" x14ac:dyDescent="0.3">
      <c r="F691" s="7"/>
      <c r="G691" s="7"/>
      <c r="H691" s="3"/>
    </row>
    <row r="692" spans="6:8" x14ac:dyDescent="0.3">
      <c r="F692" s="7"/>
      <c r="G692" s="7"/>
      <c r="H692" s="3"/>
    </row>
    <row r="693" spans="6:8" x14ac:dyDescent="0.3">
      <c r="F693" s="7"/>
      <c r="G693" s="7"/>
      <c r="H693" s="3"/>
    </row>
    <row r="694" spans="6:8" x14ac:dyDescent="0.3">
      <c r="F694" s="7"/>
      <c r="G694" s="7"/>
      <c r="H694" s="3"/>
    </row>
    <row r="695" spans="6:8" x14ac:dyDescent="0.3">
      <c r="F695" s="7"/>
      <c r="G695" s="7"/>
      <c r="H695" s="3"/>
    </row>
    <row r="696" spans="6:8" x14ac:dyDescent="0.3">
      <c r="F696" s="7"/>
      <c r="G696" s="7"/>
      <c r="H696" s="3"/>
    </row>
    <row r="697" spans="6:8" x14ac:dyDescent="0.3">
      <c r="F697" s="7"/>
      <c r="G697" s="7"/>
      <c r="H697" s="3"/>
    </row>
    <row r="698" spans="6:8" x14ac:dyDescent="0.3">
      <c r="F698" s="7"/>
      <c r="G698" s="7"/>
      <c r="H698" s="3"/>
    </row>
    <row r="699" spans="6:8" x14ac:dyDescent="0.3">
      <c r="F699" s="7"/>
      <c r="G699" s="7"/>
      <c r="H699" s="3"/>
    </row>
    <row r="700" spans="6:8" x14ac:dyDescent="0.3">
      <c r="F700" s="7"/>
      <c r="G700" s="7"/>
      <c r="H700" s="3"/>
    </row>
    <row r="701" spans="6:8" x14ac:dyDescent="0.3">
      <c r="F701" s="7"/>
      <c r="G701" s="7"/>
      <c r="H701" s="3"/>
    </row>
    <row r="702" spans="6:8" x14ac:dyDescent="0.3">
      <c r="F702" s="7"/>
      <c r="G702" s="7"/>
      <c r="H702" s="3"/>
    </row>
    <row r="703" spans="6:8" x14ac:dyDescent="0.3">
      <c r="F703" s="7"/>
      <c r="G703" s="7"/>
      <c r="H703" s="3"/>
    </row>
    <row r="704" spans="6:8" x14ac:dyDescent="0.3">
      <c r="F704" s="7"/>
      <c r="G704" s="7"/>
      <c r="H704" s="3"/>
    </row>
    <row r="705" spans="6:8" x14ac:dyDescent="0.3">
      <c r="F705" s="7"/>
      <c r="G705" s="7"/>
      <c r="H705" s="3"/>
    </row>
    <row r="706" spans="6:8" x14ac:dyDescent="0.3">
      <c r="F706" s="7"/>
      <c r="G706" s="7"/>
      <c r="H706" s="3"/>
    </row>
    <row r="707" spans="6:8" x14ac:dyDescent="0.3">
      <c r="F707" s="7"/>
      <c r="G707" s="7"/>
      <c r="H707" s="3"/>
    </row>
    <row r="708" spans="6:8" x14ac:dyDescent="0.3">
      <c r="F708" s="7"/>
      <c r="G708" s="7"/>
      <c r="H708" s="3"/>
    </row>
    <row r="709" spans="6:8" x14ac:dyDescent="0.3">
      <c r="F709" s="7"/>
      <c r="G709" s="7"/>
      <c r="H709" s="3"/>
    </row>
    <row r="710" spans="6:8" x14ac:dyDescent="0.3">
      <c r="F710" s="7"/>
      <c r="G710" s="7"/>
      <c r="H710" s="3"/>
    </row>
    <row r="711" spans="6:8" x14ac:dyDescent="0.3">
      <c r="F711" s="7"/>
      <c r="G711" s="7"/>
      <c r="H711" s="3"/>
    </row>
    <row r="712" spans="6:8" x14ac:dyDescent="0.3">
      <c r="F712" s="7"/>
      <c r="G712" s="7"/>
      <c r="H712" s="3"/>
    </row>
    <row r="713" spans="6:8" x14ac:dyDescent="0.3">
      <c r="F713" s="7"/>
      <c r="G713" s="7"/>
      <c r="H713" s="3"/>
    </row>
    <row r="714" spans="6:8" x14ac:dyDescent="0.3">
      <c r="F714" s="7"/>
      <c r="G714" s="7"/>
      <c r="H714" s="3"/>
    </row>
    <row r="715" spans="6:8" x14ac:dyDescent="0.3">
      <c r="F715" s="7"/>
      <c r="G715" s="7"/>
      <c r="H715" s="3"/>
    </row>
    <row r="716" spans="6:8" x14ac:dyDescent="0.3">
      <c r="F716" s="7"/>
      <c r="G716" s="7"/>
      <c r="H716" s="3"/>
    </row>
    <row r="717" spans="6:8" x14ac:dyDescent="0.3">
      <c r="F717" s="7"/>
      <c r="G717" s="7"/>
      <c r="H717" s="3"/>
    </row>
    <row r="718" spans="6:8" x14ac:dyDescent="0.3">
      <c r="F718" s="7"/>
      <c r="G718" s="7"/>
      <c r="H718" s="3"/>
    </row>
    <row r="719" spans="6:8" x14ac:dyDescent="0.3">
      <c r="F719" s="7"/>
      <c r="G719" s="7"/>
      <c r="H719" s="3"/>
    </row>
    <row r="720" spans="6:8" x14ac:dyDescent="0.3">
      <c r="F720" s="7"/>
      <c r="G720" s="7"/>
      <c r="H720" s="3"/>
    </row>
    <row r="721" spans="6:8" x14ac:dyDescent="0.3">
      <c r="F721" s="7"/>
      <c r="G721" s="7"/>
      <c r="H721" s="3"/>
    </row>
    <row r="722" spans="6:8" x14ac:dyDescent="0.3">
      <c r="F722" s="7"/>
      <c r="G722" s="7"/>
      <c r="H722" s="3"/>
    </row>
    <row r="723" spans="6:8" x14ac:dyDescent="0.3">
      <c r="F723" s="7"/>
      <c r="G723" s="7"/>
      <c r="H723" s="3"/>
    </row>
    <row r="724" spans="6:8" x14ac:dyDescent="0.3">
      <c r="F724" s="7"/>
      <c r="G724" s="7"/>
      <c r="H724" s="3"/>
    </row>
    <row r="725" spans="6:8" x14ac:dyDescent="0.3">
      <c r="F725" s="7"/>
      <c r="G725" s="7"/>
      <c r="H725" s="3"/>
    </row>
    <row r="726" spans="6:8" x14ac:dyDescent="0.3">
      <c r="F726" s="7"/>
      <c r="G726" s="7"/>
      <c r="H726" s="3"/>
    </row>
    <row r="727" spans="6:8" x14ac:dyDescent="0.3">
      <c r="F727" s="7"/>
      <c r="G727" s="7"/>
      <c r="H727" s="3"/>
    </row>
    <row r="728" spans="6:8" x14ac:dyDescent="0.3">
      <c r="F728" s="7"/>
      <c r="G728" s="7"/>
      <c r="H728" s="3"/>
    </row>
    <row r="729" spans="6:8" x14ac:dyDescent="0.3">
      <c r="F729" s="7"/>
      <c r="G729" s="7"/>
      <c r="H729" s="3"/>
    </row>
    <row r="730" spans="6:8" x14ac:dyDescent="0.3">
      <c r="F730" s="7"/>
      <c r="G730" s="7"/>
      <c r="H730" s="3"/>
    </row>
    <row r="731" spans="6:8" x14ac:dyDescent="0.3">
      <c r="F731" s="7"/>
      <c r="G731" s="7"/>
      <c r="H731" s="3"/>
    </row>
    <row r="732" spans="6:8" x14ac:dyDescent="0.3">
      <c r="F732" s="7"/>
      <c r="G732" s="7"/>
      <c r="H732" s="3"/>
    </row>
    <row r="733" spans="6:8" x14ac:dyDescent="0.3">
      <c r="F733" s="7"/>
      <c r="G733" s="7"/>
      <c r="H733" s="3"/>
    </row>
    <row r="734" spans="6:8" x14ac:dyDescent="0.3">
      <c r="F734" s="7"/>
      <c r="G734" s="7"/>
      <c r="H734" s="3"/>
    </row>
    <row r="735" spans="6:8" x14ac:dyDescent="0.3">
      <c r="F735" s="7"/>
      <c r="G735" s="7"/>
      <c r="H735" s="3"/>
    </row>
    <row r="736" spans="6:8" x14ac:dyDescent="0.3">
      <c r="F736" s="7"/>
      <c r="G736" s="7"/>
      <c r="H736" s="3"/>
    </row>
    <row r="737" spans="6:8" x14ac:dyDescent="0.3">
      <c r="F737" s="7"/>
      <c r="G737" s="7"/>
      <c r="H737" s="3"/>
    </row>
    <row r="738" spans="6:8" x14ac:dyDescent="0.3">
      <c r="F738" s="7"/>
      <c r="G738" s="7"/>
      <c r="H738" s="3"/>
    </row>
    <row r="739" spans="6:8" x14ac:dyDescent="0.3">
      <c r="F739" s="7"/>
      <c r="G739" s="7"/>
      <c r="H739" s="3"/>
    </row>
    <row r="740" spans="6:8" x14ac:dyDescent="0.3">
      <c r="F740" s="7"/>
      <c r="G740" s="7"/>
      <c r="H740" s="3"/>
    </row>
    <row r="741" spans="6:8" x14ac:dyDescent="0.3">
      <c r="F741" s="7"/>
      <c r="G741" s="7"/>
      <c r="H741" s="3"/>
    </row>
    <row r="742" spans="6:8" x14ac:dyDescent="0.3">
      <c r="F742" s="7"/>
      <c r="G742" s="7"/>
      <c r="H742" s="3"/>
    </row>
    <row r="743" spans="6:8" x14ac:dyDescent="0.3">
      <c r="F743" s="7"/>
      <c r="G743" s="7"/>
      <c r="H743" s="3"/>
    </row>
    <row r="744" spans="6:8" x14ac:dyDescent="0.3">
      <c r="F744" s="7"/>
      <c r="G744" s="7"/>
      <c r="H744" s="3"/>
    </row>
    <row r="745" spans="6:8" x14ac:dyDescent="0.3">
      <c r="F745" s="7"/>
      <c r="G745" s="7"/>
      <c r="H745" s="3"/>
    </row>
    <row r="746" spans="6:8" x14ac:dyDescent="0.3">
      <c r="F746" s="7"/>
      <c r="G746" s="7"/>
      <c r="H746" s="3"/>
    </row>
    <row r="747" spans="6:8" x14ac:dyDescent="0.3">
      <c r="F747" s="7"/>
      <c r="G747" s="7"/>
      <c r="H747" s="3"/>
    </row>
    <row r="748" spans="6:8" x14ac:dyDescent="0.3">
      <c r="F748" s="7"/>
      <c r="G748" s="7"/>
      <c r="H748" s="3"/>
    </row>
    <row r="749" spans="6:8" x14ac:dyDescent="0.3">
      <c r="F749" s="7"/>
      <c r="G749" s="7"/>
      <c r="H749" s="3"/>
    </row>
    <row r="750" spans="6:8" x14ac:dyDescent="0.3">
      <c r="F750" s="7"/>
      <c r="G750" s="7"/>
      <c r="H750" s="3"/>
    </row>
    <row r="751" spans="6:8" x14ac:dyDescent="0.3">
      <c r="F751" s="7"/>
      <c r="G751" s="7"/>
      <c r="H751" s="3"/>
    </row>
    <row r="752" spans="6:8" x14ac:dyDescent="0.3">
      <c r="F752" s="7"/>
      <c r="G752" s="7"/>
      <c r="H752" s="3"/>
    </row>
    <row r="753" spans="6:47" x14ac:dyDescent="0.3">
      <c r="F753" s="7"/>
      <c r="G753" s="7"/>
      <c r="H753" s="3"/>
    </row>
    <row r="754" spans="6:47" x14ac:dyDescent="0.3">
      <c r="F754" s="7"/>
      <c r="G754" s="7"/>
      <c r="H754" s="3"/>
    </row>
    <row r="755" spans="6:47" x14ac:dyDescent="0.3">
      <c r="F755" s="7"/>
      <c r="G755" s="7"/>
      <c r="H755" s="3"/>
    </row>
    <row r="756" spans="6:47" x14ac:dyDescent="0.3">
      <c r="F756" s="7"/>
      <c r="G756" s="7"/>
      <c r="H756" s="3"/>
    </row>
    <row r="757" spans="6:47" x14ac:dyDescent="0.3">
      <c r="F757" s="7"/>
      <c r="G757" s="7"/>
      <c r="H757" s="3"/>
    </row>
    <row r="758" spans="6:47" x14ac:dyDescent="0.3">
      <c r="F758" s="7"/>
      <c r="G758" s="7"/>
      <c r="H758" s="3"/>
    </row>
    <row r="759" spans="6:47" x14ac:dyDescent="0.3">
      <c r="F759" s="7"/>
      <c r="G759" s="7"/>
      <c r="H759" s="3"/>
    </row>
    <row r="764" spans="6:47" x14ac:dyDescent="0.3">
      <c r="M764" s="2" t="s">
        <v>4</v>
      </c>
      <c r="N764" s="2" t="s">
        <v>5</v>
      </c>
      <c r="O764" s="2" t="s">
        <v>6</v>
      </c>
      <c r="P764" s="2" t="s">
        <v>7</v>
      </c>
      <c r="Q764" s="2" t="s">
        <v>8</v>
      </c>
      <c r="R764" s="2" t="s">
        <v>11</v>
      </c>
      <c r="S764" s="2" t="s">
        <v>12</v>
      </c>
      <c r="T764" s="2" t="s">
        <v>13</v>
      </c>
      <c r="U764" s="2" t="s">
        <v>14</v>
      </c>
      <c r="V764" s="2" t="s">
        <v>15</v>
      </c>
      <c r="W764" s="2" t="s">
        <v>16</v>
      </c>
      <c r="Y764" s="2" t="s">
        <v>4</v>
      </c>
      <c r="Z764" s="2" t="s">
        <v>5</v>
      </c>
      <c r="AA764" s="2" t="s">
        <v>6</v>
      </c>
      <c r="AB764" s="2" t="s">
        <v>7</v>
      </c>
      <c r="AC764" s="2" t="s">
        <v>8</v>
      </c>
      <c r="AD764" s="2" t="s">
        <v>11</v>
      </c>
      <c r="AE764" s="2" t="s">
        <v>12</v>
      </c>
      <c r="AF764" s="2" t="s">
        <v>13</v>
      </c>
      <c r="AG764" s="2" t="s">
        <v>14</v>
      </c>
      <c r="AH764" s="2" t="s">
        <v>15</v>
      </c>
      <c r="AI764" s="2" t="s">
        <v>16</v>
      </c>
      <c r="AK764" s="2" t="s">
        <v>4</v>
      </c>
      <c r="AL764" s="2" t="s">
        <v>5</v>
      </c>
      <c r="AM764" s="2" t="s">
        <v>6</v>
      </c>
      <c r="AN764" s="2" t="s">
        <v>7</v>
      </c>
      <c r="AO764" s="2" t="s">
        <v>8</v>
      </c>
      <c r="AP764" s="2" t="s">
        <v>11</v>
      </c>
      <c r="AQ764" s="2" t="s">
        <v>12</v>
      </c>
      <c r="AR764" s="2" t="s">
        <v>13</v>
      </c>
      <c r="AS764" s="2" t="s">
        <v>14</v>
      </c>
      <c r="AT764" s="2" t="s">
        <v>15</v>
      </c>
      <c r="AU764" s="2" t="s">
        <v>16</v>
      </c>
    </row>
    <row r="765" spans="6:47" x14ac:dyDescent="0.3">
      <c r="L765" s="4" t="s">
        <v>215</v>
      </c>
      <c r="M765">
        <f>AVERAGEIF($H$384:$H$759, "=1", M384:M759)</f>
        <v>2408467.8947368427</v>
      </c>
      <c r="N765">
        <f t="shared" ref="N765:W765" si="115">AVERAGEIF($H$384:$H$759, "=1", N384:N759)</f>
        <v>1628461.7253132835</v>
      </c>
      <c r="O765">
        <f t="shared" si="115"/>
        <v>1637153.1117794486</v>
      </c>
      <c r="P765">
        <f t="shared" si="115"/>
        <v>3929169.3368421048</v>
      </c>
      <c r="Q765">
        <f t="shared" si="115"/>
        <v>1170930.5343358398</v>
      </c>
      <c r="R765">
        <f t="shared" si="115"/>
        <v>4556204.4736842103</v>
      </c>
      <c r="S765">
        <f t="shared" si="115"/>
        <v>1368880.0804511278</v>
      </c>
      <c r="T765">
        <f t="shared" si="115"/>
        <v>4656147.4789473685</v>
      </c>
      <c r="U765">
        <f t="shared" si="115"/>
        <v>3588291.6649122811</v>
      </c>
      <c r="V765">
        <f t="shared" si="115"/>
        <v>7453565.2631578948</v>
      </c>
      <c r="W765">
        <f t="shared" si="115"/>
        <v>1923083.5824561401</v>
      </c>
      <c r="X765" s="4" t="s">
        <v>215</v>
      </c>
      <c r="Y765">
        <f>AVERAGEIF($H$384:$H$759, "=1", Y384:Y759)</f>
        <v>2.190652633768102</v>
      </c>
      <c r="Z765">
        <f t="shared" ref="Z765:AI765" si="116">AVERAGEIF($H$384:$H$759, "=1", Z384:Z759)</f>
        <v>1.6059582397208096</v>
      </c>
      <c r="AA765">
        <f t="shared" si="116"/>
        <v>1.5969212259603596</v>
      </c>
      <c r="AB765">
        <f t="shared" si="116"/>
        <v>3.0060099909052185</v>
      </c>
      <c r="AC765">
        <f t="shared" si="116"/>
        <v>1.265506059129363</v>
      </c>
      <c r="AD765">
        <f t="shared" si="116"/>
        <v>3.7364234766754394</v>
      </c>
      <c r="AE765">
        <f t="shared" si="116"/>
        <v>1.6692291500592309</v>
      </c>
      <c r="AF765">
        <f t="shared" si="116"/>
        <v>2.2274509608218644</v>
      </c>
      <c r="AG765">
        <f t="shared" si="116"/>
        <v>2.0746859792974588</v>
      </c>
      <c r="AH765">
        <f t="shared" si="116"/>
        <v>4.3806471518773913</v>
      </c>
      <c r="AI765">
        <f t="shared" si="116"/>
        <v>2.5518904156052891</v>
      </c>
      <c r="AJ765" s="4" t="s">
        <v>215</v>
      </c>
      <c r="AK765">
        <f>AVERAGEIF($H$384:$H$759, "=1", AK384:AK759)</f>
        <v>2.190652633768102</v>
      </c>
      <c r="AL765">
        <f t="shared" ref="AL765:AU765" si="117">AVERAGEIF($H$384:$H$759, "=1", AL384:AL759)</f>
        <v>0.62084807773035522</v>
      </c>
      <c r="AM765">
        <f t="shared" si="117"/>
        <v>0.61839570461483251</v>
      </c>
      <c r="AN765">
        <f t="shared" si="117"/>
        <v>3.0060099909052185</v>
      </c>
      <c r="AO765">
        <f t="shared" si="117"/>
        <v>0.545300992768464</v>
      </c>
      <c r="AP765">
        <f t="shared" si="117"/>
        <v>3.7364234766754394</v>
      </c>
      <c r="AQ765">
        <f t="shared" si="117"/>
        <v>0.66780801503725018</v>
      </c>
      <c r="AR765">
        <f t="shared" si="117"/>
        <v>1.2845004161841258</v>
      </c>
      <c r="AS765">
        <f t="shared" si="117"/>
        <v>0.48275422009271524</v>
      </c>
      <c r="AT765">
        <f t="shared" si="117"/>
        <v>4.3806471518773913</v>
      </c>
      <c r="AU765">
        <f t="shared" si="117"/>
        <v>1.3672804163073313</v>
      </c>
    </row>
    <row r="766" spans="6:47" x14ac:dyDescent="0.3">
      <c r="L766" s="4" t="s">
        <v>216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1008020.3</v>
      </c>
      <c r="O766" cm="1">
        <f t="array" ref="O766">MEDIAN(_xlfn._xlws.FILTER(O384:O759, $H$384:$H$759=1))</f>
        <v>1008102.6000000001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527337.30000000005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385428.7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3373737.4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956477.3</v>
      </c>
      <c r="X766" s="4" t="s">
        <v>216</v>
      </c>
      <c r="Y766" cm="1">
        <f t="array" ref="Y766">MEDIAN(_xlfn._xlws.FILTER(Y384:Y759, $H$384:$H$759=1))</f>
        <v>1.897649289201945</v>
      </c>
      <c r="Z766" cm="1">
        <f t="array" ref="Z766">MEDIAN(_xlfn._xlws.FILTER(Z384:Z759, $H$384:$H$759=1))</f>
        <v>1.2177798387943763</v>
      </c>
      <c r="AA766" cm="1">
        <f t="array" ref="AA766">MEDIAN(_xlfn._xlws.FILTER(AA384:AA759, $H$384:$H$759=1))</f>
        <v>1.188963322789641</v>
      </c>
      <c r="AB766" cm="1">
        <f t="array" ref="AB766">MEDIAN(_xlfn._xlws.FILTER(AB384:AB759, $H$384:$H$759=1))</f>
        <v>2.1066121909010693</v>
      </c>
      <c r="AC766" cm="1">
        <f t="array" ref="AC766">MEDIAN(_xlfn._xlws.FILTER(AC384:AC759, $H$384:$H$759=1))</f>
        <v>1.0252520416048356</v>
      </c>
      <c r="AD766" cm="1">
        <f t="array" ref="AD766">MEDIAN(_xlfn._xlws.FILTER(AD384:AD759, $H$384:$H$759=1))</f>
        <v>2.177880617103074</v>
      </c>
      <c r="AE766" cm="1">
        <f t="array" ref="AE766">MEDIAN(_xlfn._xlws.FILTER(AE384:AE759, $H$384:$H$759=1))</f>
        <v>1.2379763672128319</v>
      </c>
      <c r="AF766" cm="1">
        <f t="array" ref="AF766">MEDIAN(_xlfn._xlws.FILTER(AF384:AF759, $H$384:$H$759=1))</f>
        <v>1.7541680185764561</v>
      </c>
      <c r="AG766" cm="1">
        <f t="array" ref="AG766">MEDIAN(_xlfn._xlws.FILTER(AG384:AG759, $H$384:$H$759=1))</f>
        <v>1.8546992194838818</v>
      </c>
      <c r="AH766" cm="1">
        <f t="array" ref="AH766">MEDIAN(_xlfn._xlws.FILTER(AH384:AH759, $H$384:$H$759=1))</f>
        <v>3.7056903655116917</v>
      </c>
      <c r="AI766" cm="1">
        <f t="array" ref="AI766">MEDIAN(_xlfn._xlws.FILTER(AI384:AI759, $H$384:$H$759=1))</f>
        <v>2.1678895640710838</v>
      </c>
      <c r="AJ766" s="4" t="s">
        <v>216</v>
      </c>
      <c r="AK766" cm="1">
        <f t="array" ref="AK766">MEDIAN(_xlfn._xlws.FILTER(AK384:AK759, $H$384:$H$759=1))</f>
        <v>1.897649289201945</v>
      </c>
      <c r="AL766" cm="1">
        <f t="array" ref="AL766">MEDIAN(_xlfn._xlws.FILTER(AL384:AL759, $H$384:$H$759=1))</f>
        <v>0.5418716548767406</v>
      </c>
      <c r="AM766" cm="1">
        <f t="array" ref="AM766">MEDIAN(_xlfn._xlws.FILTER(AM384:AM759, $H$384:$H$759=1))</f>
        <v>0.5357352926861495</v>
      </c>
      <c r="AN766" cm="1">
        <f t="array" ref="AN766">MEDIAN(_xlfn._xlws.FILTER(AN384:AN759, $H$384:$H$759=1))</f>
        <v>2.1066121909010693</v>
      </c>
      <c r="AO766" cm="1">
        <f t="array" ref="AO766">MEDIAN(_xlfn._xlws.FILTER(AO384:AO759, $H$384:$H$759=1))</f>
        <v>0.43601710100192581</v>
      </c>
      <c r="AP766" cm="1">
        <f t="array" ref="AP766">MEDIAN(_xlfn._xlws.FILTER(AP384:AP759, $H$384:$H$759=1))</f>
        <v>2.177880617103074</v>
      </c>
      <c r="AQ766" cm="1">
        <f t="array" ref="AQ766">MEDIAN(_xlfn._xlws.FILTER(AQ384:AQ759, $H$384:$H$759=1))</f>
        <v>0.53340078491601162</v>
      </c>
      <c r="AR766" cm="1">
        <f t="array" ref="AR766">MEDIAN(_xlfn._xlws.FILTER(AR384:AR759, $H$384:$H$759=1))</f>
        <v>1.0377726366918067</v>
      </c>
      <c r="AS766" cm="1">
        <f t="array" ref="AS766">MEDIAN(_xlfn._xlws.FILTER(AS384:AS759, $H$384:$H$759=1))</f>
        <v>0.45507389540434823</v>
      </c>
      <c r="AT766" cm="1">
        <f t="array" ref="AT766">MEDIAN(_xlfn._xlws.FILTER(AT384:AT759, $H$384:$H$759=1))</f>
        <v>3.7056903655116917</v>
      </c>
      <c r="AU766" cm="1">
        <f t="array" ref="AU766">MEDIAN(_xlfn._xlws.FILTER(AU384:AU759, $H$384:$H$759=1))</f>
        <v>0.95794462640187694</v>
      </c>
    </row>
    <row r="769" spans="12:32" x14ac:dyDescent="0.3">
      <c r="M769" s="2" t="s">
        <v>5</v>
      </c>
      <c r="N769" s="2" t="s">
        <v>6</v>
      </c>
      <c r="O769" s="2" t="s">
        <v>8</v>
      </c>
      <c r="P769" s="2" t="s">
        <v>12</v>
      </c>
      <c r="Q769" s="2" t="s">
        <v>14</v>
      </c>
      <c r="R769" s="2" t="s">
        <v>16</v>
      </c>
      <c r="T769" s="2" t="s">
        <v>5</v>
      </c>
      <c r="U769" s="2" t="s">
        <v>6</v>
      </c>
      <c r="V769" s="2" t="s">
        <v>8</v>
      </c>
      <c r="W769" s="2" t="s">
        <v>12</v>
      </c>
      <c r="X769" s="2" t="s">
        <v>14</v>
      </c>
      <c r="Y769" s="2" t="s">
        <v>16</v>
      </c>
      <c r="AA769" s="2" t="s">
        <v>5</v>
      </c>
      <c r="AB769" s="2" t="s">
        <v>6</v>
      </c>
      <c r="AC769" s="2" t="s">
        <v>8</v>
      </c>
      <c r="AD769" s="2" t="s">
        <v>12</v>
      </c>
      <c r="AE769" s="2" t="s">
        <v>14</v>
      </c>
      <c r="AF769" s="2" t="s">
        <v>16</v>
      </c>
    </row>
    <row r="770" spans="12:32" x14ac:dyDescent="0.3">
      <c r="L770" s="4" t="s">
        <v>215</v>
      </c>
      <c r="M770">
        <f t="shared" ref="M770:N771" si="118">N765</f>
        <v>1628461.7253132835</v>
      </c>
      <c r="N770">
        <f t="shared" si="118"/>
        <v>1637153.1117794486</v>
      </c>
      <c r="O770">
        <f>Q765</f>
        <v>1170930.5343358398</v>
      </c>
      <c r="P770">
        <f>S765</f>
        <v>1368880.0804511278</v>
      </c>
      <c r="Q770">
        <f>U765</f>
        <v>3588291.6649122811</v>
      </c>
      <c r="R770">
        <f>W765</f>
        <v>1923083.5824561401</v>
      </c>
      <c r="S770" s="4" t="s">
        <v>215</v>
      </c>
      <c r="T770">
        <f>Z765</f>
        <v>1.6059582397208096</v>
      </c>
      <c r="U770">
        <f>AA765</f>
        <v>1.5969212259603596</v>
      </c>
      <c r="V770">
        <f>AC765</f>
        <v>1.265506059129363</v>
      </c>
      <c r="W770">
        <f>AE765</f>
        <v>1.6692291500592309</v>
      </c>
      <c r="X770">
        <f>AG765</f>
        <v>2.0746859792974588</v>
      </c>
      <c r="Y770">
        <f>AI765</f>
        <v>2.5518904156052891</v>
      </c>
      <c r="Z770" s="4" t="s">
        <v>215</v>
      </c>
      <c r="AA770">
        <f>AL765</f>
        <v>0.62084807773035522</v>
      </c>
      <c r="AB770">
        <f>AM765</f>
        <v>0.61839570461483251</v>
      </c>
      <c r="AC770">
        <f>AO765</f>
        <v>0.545300992768464</v>
      </c>
      <c r="AD770">
        <f>AQ765</f>
        <v>0.66780801503725018</v>
      </c>
      <c r="AE770">
        <f>AS765</f>
        <v>0.48275422009271524</v>
      </c>
      <c r="AF770">
        <f>AU765</f>
        <v>1.3672804163073313</v>
      </c>
    </row>
    <row r="771" spans="12:32" x14ac:dyDescent="0.3">
      <c r="L771" s="4" t="s">
        <v>216</v>
      </c>
      <c r="M771">
        <f t="shared" si="118"/>
        <v>1008020.3</v>
      </c>
      <c r="N771">
        <f t="shared" si="118"/>
        <v>1008102.6000000001</v>
      </c>
      <c r="O771">
        <f>Q766</f>
        <v>527337.30000000005</v>
      </c>
      <c r="P771">
        <f>S766</f>
        <v>385428.7</v>
      </c>
      <c r="Q771">
        <f>U766</f>
        <v>3373737.4</v>
      </c>
      <c r="R771">
        <f>W766</f>
        <v>956477.3</v>
      </c>
      <c r="S771" s="4" t="s">
        <v>216</v>
      </c>
      <c r="T771">
        <f>Z766</f>
        <v>1.2177798387943763</v>
      </c>
      <c r="U771">
        <f>AA766</f>
        <v>1.188963322789641</v>
      </c>
      <c r="V771">
        <f>AC766</f>
        <v>1.0252520416048356</v>
      </c>
      <c r="W771">
        <f>AE766</f>
        <v>1.2379763672128319</v>
      </c>
      <c r="X771">
        <f>AG766</f>
        <v>1.8546992194838818</v>
      </c>
      <c r="Y771">
        <f>AI766</f>
        <v>2.1678895640710838</v>
      </c>
      <c r="Z771" s="4" t="s">
        <v>216</v>
      </c>
      <c r="AA771">
        <f>AL766</f>
        <v>0.5418716548767406</v>
      </c>
      <c r="AB771">
        <f>AM766</f>
        <v>0.5357352926861495</v>
      </c>
      <c r="AC771">
        <f>AO766</f>
        <v>0.43601710100192581</v>
      </c>
      <c r="AD771">
        <f>AQ766</f>
        <v>0.53340078491601162</v>
      </c>
      <c r="AE771">
        <f>AS766</f>
        <v>0.45507389540434823</v>
      </c>
      <c r="AF771">
        <f>AU766</f>
        <v>0.95794462640187694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2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2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B5D4-C167-4DE2-8FFC-1089AFAC09CF}">
  <dimension ref="A1:AV384"/>
  <sheetViews>
    <sheetView workbookViewId="0">
      <selection activeCell="E162" sqref="E162"/>
    </sheetView>
  </sheetViews>
  <sheetFormatPr defaultRowHeight="14.4" x14ac:dyDescent="0.3"/>
  <cols>
    <col min="4" max="4" width="49.77734375" bestFit="1" customWidth="1"/>
    <col min="5" max="5" width="13.33203125" bestFit="1" customWidth="1"/>
  </cols>
  <sheetData>
    <row r="1" spans="1:48" x14ac:dyDescent="0.3">
      <c r="F1" s="11" t="s">
        <v>0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T1" s="11" t="s">
        <v>1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H1" s="11" t="s">
        <v>2</v>
      </c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V1" s="1" t="s">
        <v>3</v>
      </c>
    </row>
    <row r="2" spans="1:48" x14ac:dyDescent="0.3">
      <c r="E2" s="4" t="s">
        <v>214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16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  <c r="AR2" s="2" t="s">
        <v>14</v>
      </c>
      <c r="AS2" s="2" t="s">
        <v>15</v>
      </c>
      <c r="AT2" s="2" t="s">
        <v>16</v>
      </c>
      <c r="AV2" s="2" t="s">
        <v>17</v>
      </c>
    </row>
    <row r="3" spans="1:48" x14ac:dyDescent="0.3">
      <c r="A3">
        <v>21</v>
      </c>
      <c r="B3" t="s">
        <v>18</v>
      </c>
      <c r="C3" t="s">
        <v>19</v>
      </c>
      <c r="D3" t="s">
        <v>20</v>
      </c>
      <c r="E3" s="3">
        <v>1</v>
      </c>
      <c r="F3">
        <v>984737.8</v>
      </c>
      <c r="G3">
        <v>1070455.3999999999</v>
      </c>
      <c r="H3">
        <v>1076874</v>
      </c>
      <c r="I3">
        <v>1004122.8</v>
      </c>
      <c r="J3">
        <v>587330.19999999995</v>
      </c>
      <c r="K3">
        <v>1168472.2</v>
      </c>
      <c r="L3">
        <v>654225</v>
      </c>
      <c r="M3">
        <v>881239.4</v>
      </c>
      <c r="N3">
        <v>579981.19999999995</v>
      </c>
      <c r="O3">
        <v>4185627.2</v>
      </c>
      <c r="P3">
        <v>3320047.2</v>
      </c>
      <c r="Q3">
        <v>1396199.2</v>
      </c>
      <c r="R3">
        <v>792215.8</v>
      </c>
      <c r="T3">
        <v>1.409561497793766</v>
      </c>
      <c r="U3">
        <v>1.3616425297921519</v>
      </c>
      <c r="V3">
        <v>1.3954835721931891</v>
      </c>
      <c r="W3">
        <v>1.654657116398448</v>
      </c>
      <c r="X3">
        <v>1.2581941528187599</v>
      </c>
      <c r="Y3">
        <v>1.6793012683920101</v>
      </c>
      <c r="Z3">
        <v>1.7321312609710731</v>
      </c>
      <c r="AA3">
        <v>1.1725501225970221</v>
      </c>
      <c r="AB3">
        <v>1.204944778629579</v>
      </c>
      <c r="AC3">
        <v>1.633829495008104</v>
      </c>
      <c r="AD3">
        <v>2.0458047385793181</v>
      </c>
      <c r="AE3">
        <v>3.0457518712035379</v>
      </c>
      <c r="AF3">
        <v>2.1821345396048861</v>
      </c>
      <c r="AH3">
        <v>1.409561497793766</v>
      </c>
      <c r="AI3">
        <v>0.54191416940884662</v>
      </c>
      <c r="AJ3">
        <v>0.54008710500202139</v>
      </c>
      <c r="AK3">
        <v>1.654657116398448</v>
      </c>
      <c r="AL3">
        <v>0.5212483500014059</v>
      </c>
      <c r="AM3">
        <v>1.6793012683920101</v>
      </c>
      <c r="AN3">
        <v>0.578527126996778</v>
      </c>
      <c r="AO3">
        <v>1.1725501225970221</v>
      </c>
      <c r="AP3">
        <v>0.55700453980825837</v>
      </c>
      <c r="AQ3">
        <v>1.0491518356080629</v>
      </c>
      <c r="AR3">
        <v>0.49319696380989619</v>
      </c>
      <c r="AS3">
        <v>3.0457518712035379</v>
      </c>
      <c r="AT3">
        <v>1.270082222798373</v>
      </c>
      <c r="AV3">
        <v>0.32055893299984739</v>
      </c>
    </row>
    <row r="4" spans="1:48" x14ac:dyDescent="0.3">
      <c r="A4">
        <v>21</v>
      </c>
      <c r="B4" t="s">
        <v>21</v>
      </c>
      <c r="C4" t="s">
        <v>19</v>
      </c>
      <c r="D4" t="s">
        <v>20</v>
      </c>
      <c r="E4" s="3">
        <v>0</v>
      </c>
      <c r="F4">
        <v>9774060</v>
      </c>
      <c r="G4">
        <v>14455855.199999999</v>
      </c>
      <c r="H4">
        <v>14721148.199999999</v>
      </c>
      <c r="I4">
        <v>14747945.4</v>
      </c>
      <c r="J4">
        <v>8925495.8000000007</v>
      </c>
      <c r="K4">
        <v>16030261.4</v>
      </c>
      <c r="L4">
        <v>9383980.8000000007</v>
      </c>
      <c r="M4">
        <v>16571915</v>
      </c>
      <c r="N4">
        <v>13256410.4</v>
      </c>
      <c r="O4">
        <v>4907318.2</v>
      </c>
      <c r="P4">
        <v>5545166.7999999998</v>
      </c>
      <c r="Q4">
        <v>21091677.399999999</v>
      </c>
      <c r="R4">
        <v>12208374</v>
      </c>
      <c r="T4">
        <v>8.6241235281981066</v>
      </c>
      <c r="U4">
        <v>9.8029262994066819</v>
      </c>
      <c r="V4">
        <v>9.8866872650221929</v>
      </c>
      <c r="W4">
        <v>8.6224169277993497</v>
      </c>
      <c r="X4">
        <v>5.4416892918059601</v>
      </c>
      <c r="Y4">
        <v>8.2095917017897584</v>
      </c>
      <c r="Z4">
        <v>6.3220825394324489</v>
      </c>
      <c r="AA4">
        <v>12.08573292740039</v>
      </c>
      <c r="AB4">
        <v>8.8007640128082123</v>
      </c>
      <c r="AC4">
        <v>2.3486840481986291</v>
      </c>
      <c r="AD4">
        <v>4.4436593546182852</v>
      </c>
      <c r="AE4">
        <v>8.0768301539937966</v>
      </c>
      <c r="AF4">
        <v>14.454596945585219</v>
      </c>
      <c r="AH4">
        <v>8.6241235281981066</v>
      </c>
      <c r="AI4">
        <v>2.688813949807082</v>
      </c>
      <c r="AJ4">
        <v>2.8038548711978359</v>
      </c>
      <c r="AK4">
        <v>8.6224169277993497</v>
      </c>
      <c r="AL4">
        <v>1.5368393029959411</v>
      </c>
      <c r="AM4">
        <v>8.2095917017897584</v>
      </c>
      <c r="AN4">
        <v>1.6851507778104859</v>
      </c>
      <c r="AO4">
        <v>12.08573292740039</v>
      </c>
      <c r="AP4">
        <v>2.1697521075897379</v>
      </c>
      <c r="AQ4">
        <v>1.329375355789671</v>
      </c>
      <c r="AR4">
        <v>0.77836707397946159</v>
      </c>
      <c r="AS4">
        <v>8.0768301539937966</v>
      </c>
      <c r="AT4">
        <v>10.95186101119616</v>
      </c>
      <c r="AV4">
        <v>0.32832579381065441</v>
      </c>
    </row>
    <row r="5" spans="1:48" x14ac:dyDescent="0.3">
      <c r="A5">
        <v>21</v>
      </c>
      <c r="B5" t="s">
        <v>22</v>
      </c>
      <c r="C5" t="s">
        <v>19</v>
      </c>
      <c r="D5" t="s">
        <v>20</v>
      </c>
      <c r="E5" s="3">
        <v>0</v>
      </c>
      <c r="F5">
        <v>4329316.4000000004</v>
      </c>
      <c r="G5">
        <v>2751509</v>
      </c>
      <c r="H5">
        <v>2764399.6</v>
      </c>
      <c r="I5">
        <v>1278792.2</v>
      </c>
      <c r="J5">
        <v>739816.2</v>
      </c>
      <c r="K5">
        <v>1768879.6</v>
      </c>
      <c r="L5">
        <v>889665.4</v>
      </c>
      <c r="M5">
        <v>616378.19999999995</v>
      </c>
      <c r="N5">
        <v>589900.4</v>
      </c>
      <c r="O5">
        <v>4215981.4000000004</v>
      </c>
      <c r="P5">
        <v>3360465.4</v>
      </c>
      <c r="Q5">
        <v>2636300</v>
      </c>
      <c r="R5">
        <v>744625.8</v>
      </c>
      <c r="T5">
        <v>3.853952055802802</v>
      </c>
      <c r="U5">
        <v>2.5547290839953352</v>
      </c>
      <c r="V5">
        <v>2.551972206163919</v>
      </c>
      <c r="W5">
        <v>2.473136704799253</v>
      </c>
      <c r="X5">
        <v>1.5588127332273869</v>
      </c>
      <c r="Y5">
        <v>2.394708645390347</v>
      </c>
      <c r="Z5">
        <v>2.0664132739999328</v>
      </c>
      <c r="AA5">
        <v>1.8025576175947211</v>
      </c>
      <c r="AB5">
        <v>1.8357555733993649</v>
      </c>
      <c r="AC5">
        <v>1.638258104829583</v>
      </c>
      <c r="AD5">
        <v>1.972793734678999</v>
      </c>
      <c r="AE5">
        <v>3.7741533781983891</v>
      </c>
      <c r="AF5">
        <v>2.826253321784316</v>
      </c>
      <c r="AH5">
        <v>3.853952055802802</v>
      </c>
      <c r="AI5">
        <v>0.91981280159088785</v>
      </c>
      <c r="AJ5">
        <v>0.91550658578053112</v>
      </c>
      <c r="AK5">
        <v>2.473136704799253</v>
      </c>
      <c r="AL5">
        <v>0.61578185422113163</v>
      </c>
      <c r="AM5">
        <v>2.394708645390347</v>
      </c>
      <c r="AN5">
        <v>0.68852506499970334</v>
      </c>
      <c r="AO5">
        <v>1.8025576175947211</v>
      </c>
      <c r="AP5">
        <v>0.6085177851782646</v>
      </c>
      <c r="AQ5">
        <v>1.090596310625551</v>
      </c>
      <c r="AR5">
        <v>0.51556342678377409</v>
      </c>
      <c r="AS5">
        <v>3.7741533781983891</v>
      </c>
      <c r="AT5">
        <v>1.7639405324065589</v>
      </c>
      <c r="AV5">
        <v>0.32787489219335841</v>
      </c>
    </row>
    <row r="6" spans="1:48" x14ac:dyDescent="0.3">
      <c r="A6">
        <v>21</v>
      </c>
      <c r="B6" t="s">
        <v>23</v>
      </c>
      <c r="C6" t="s">
        <v>19</v>
      </c>
      <c r="D6" t="s">
        <v>20</v>
      </c>
      <c r="E6" s="3">
        <v>0</v>
      </c>
      <c r="F6">
        <v>4797310.5999999996</v>
      </c>
      <c r="G6">
        <v>6657917.2000000002</v>
      </c>
      <c r="H6">
        <v>6699503.2000000002</v>
      </c>
      <c r="I6">
        <v>1475770.8</v>
      </c>
      <c r="J6">
        <v>1512075.8</v>
      </c>
      <c r="K6">
        <v>2246846.2000000002</v>
      </c>
      <c r="L6">
        <v>1761979.2</v>
      </c>
      <c r="M6">
        <v>1030299.8</v>
      </c>
      <c r="N6">
        <v>1206684.6000000001</v>
      </c>
      <c r="O6">
        <v>4594408.8</v>
      </c>
      <c r="P6">
        <v>4356798.2</v>
      </c>
      <c r="Q6">
        <v>8246724.5999999996</v>
      </c>
      <c r="R6">
        <v>4301632.4000000004</v>
      </c>
      <c r="T6">
        <v>4.3042519115959292</v>
      </c>
      <c r="U6">
        <v>4.915088980394648</v>
      </c>
      <c r="V6">
        <v>4.9246557893755378</v>
      </c>
      <c r="W6">
        <v>2.7492365778016392</v>
      </c>
      <c r="X6">
        <v>2.1780675990390592</v>
      </c>
      <c r="Y6">
        <v>2.761881383985747</v>
      </c>
      <c r="Z6">
        <v>2.638697666575899</v>
      </c>
      <c r="AA6">
        <v>2.8814881630067251</v>
      </c>
      <c r="AB6">
        <v>2.6371526056143919</v>
      </c>
      <c r="AC6">
        <v>1.90289138223161</v>
      </c>
      <c r="AD6">
        <v>2.834875786997145</v>
      </c>
      <c r="AE6">
        <v>5.7622009977931157</v>
      </c>
      <c r="AF6">
        <v>6.9284197015978863</v>
      </c>
      <c r="AH6">
        <v>4.3042519115959292</v>
      </c>
      <c r="AI6">
        <v>1.2472434484108821</v>
      </c>
      <c r="AJ6">
        <v>1.2601605687988919</v>
      </c>
      <c r="AK6">
        <v>2.7492365778016392</v>
      </c>
      <c r="AL6">
        <v>0.68808334361528978</v>
      </c>
      <c r="AM6">
        <v>2.761881383985747</v>
      </c>
      <c r="AN6">
        <v>0.74476555560249835</v>
      </c>
      <c r="AO6">
        <v>2.8814881630067251</v>
      </c>
      <c r="AP6">
        <v>0.74437057781033222</v>
      </c>
      <c r="AQ6">
        <v>1.1044472268316889</v>
      </c>
      <c r="AR6">
        <v>0.54136312019545585</v>
      </c>
      <c r="AS6">
        <v>5.7622009977931157</v>
      </c>
      <c r="AT6">
        <v>4.6995979310129767</v>
      </c>
      <c r="AV6">
        <v>0.3301562766020652</v>
      </c>
    </row>
    <row r="7" spans="1:48" x14ac:dyDescent="0.3">
      <c r="A7">
        <v>21</v>
      </c>
      <c r="B7" t="s">
        <v>24</v>
      </c>
      <c r="C7" t="s">
        <v>19</v>
      </c>
      <c r="D7" t="s">
        <v>20</v>
      </c>
      <c r="E7" s="3">
        <v>0</v>
      </c>
      <c r="F7">
        <v>1254500</v>
      </c>
      <c r="G7">
        <v>3037683</v>
      </c>
      <c r="H7">
        <v>3045944.8</v>
      </c>
      <c r="I7">
        <v>3405256</v>
      </c>
      <c r="J7">
        <v>1715810.6</v>
      </c>
      <c r="K7">
        <v>2592357.4</v>
      </c>
      <c r="L7">
        <v>1854812.8</v>
      </c>
      <c r="M7">
        <v>1465331.4</v>
      </c>
      <c r="N7">
        <v>2378261.6</v>
      </c>
      <c r="O7">
        <v>4677209.5999999996</v>
      </c>
      <c r="P7">
        <v>4531545</v>
      </c>
      <c r="Q7">
        <v>7657925.2000000002</v>
      </c>
      <c r="R7">
        <v>2760337.6</v>
      </c>
      <c r="T7">
        <v>1.7569340113957881</v>
      </c>
      <c r="U7">
        <v>2.6712440312432588</v>
      </c>
      <c r="V7">
        <v>2.687738311389694</v>
      </c>
      <c r="W7">
        <v>3.398339236999163</v>
      </c>
      <c r="X7">
        <v>2.1968307932082101</v>
      </c>
      <c r="Y7">
        <v>2.5820409447944259</v>
      </c>
      <c r="Z7">
        <v>2.672410570795182</v>
      </c>
      <c r="AA7">
        <v>2.899244530394208</v>
      </c>
      <c r="AB7">
        <v>3.2533068676188122</v>
      </c>
      <c r="AC7">
        <v>2.045448733994272</v>
      </c>
      <c r="AD7">
        <v>3.1996284744760488</v>
      </c>
      <c r="AE7">
        <v>5.1505132485995997</v>
      </c>
      <c r="AF7">
        <v>4.6766041654220318</v>
      </c>
      <c r="AH7">
        <v>1.7569340113957881</v>
      </c>
      <c r="AI7">
        <v>0.81122160601662474</v>
      </c>
      <c r="AJ7">
        <v>0.81507269098074175</v>
      </c>
      <c r="AK7">
        <v>3.398339236999163</v>
      </c>
      <c r="AL7">
        <v>0.73929358941968526</v>
      </c>
      <c r="AM7">
        <v>2.5820409447944259</v>
      </c>
      <c r="AN7">
        <v>0.81772598439129074</v>
      </c>
      <c r="AO7">
        <v>2.899244530394208</v>
      </c>
      <c r="AP7">
        <v>0.88093949000467542</v>
      </c>
      <c r="AQ7">
        <v>1.118884313991293</v>
      </c>
      <c r="AR7">
        <v>0.56598215540871022</v>
      </c>
      <c r="AS7">
        <v>5.1505132485995997</v>
      </c>
      <c r="AT7">
        <v>2.905997053213651</v>
      </c>
      <c r="AV7">
        <v>0.32020080000511369</v>
      </c>
    </row>
    <row r="8" spans="1:48" x14ac:dyDescent="0.3">
      <c r="A8">
        <v>21</v>
      </c>
      <c r="B8" t="s">
        <v>25</v>
      </c>
      <c r="C8" t="s">
        <v>19</v>
      </c>
      <c r="D8" t="s">
        <v>20</v>
      </c>
      <c r="E8" s="3">
        <v>0</v>
      </c>
      <c r="F8">
        <v>4819087.5999999996</v>
      </c>
      <c r="G8">
        <v>5545764.2000000002</v>
      </c>
      <c r="H8">
        <v>5602414.4000000004</v>
      </c>
      <c r="I8">
        <v>5594837.2000000002</v>
      </c>
      <c r="J8">
        <v>3155786.4</v>
      </c>
      <c r="K8">
        <v>6129296.2000000002</v>
      </c>
      <c r="L8">
        <v>3104472.8</v>
      </c>
      <c r="M8">
        <v>4114032.2</v>
      </c>
      <c r="N8">
        <v>5319182.2</v>
      </c>
      <c r="O8">
        <v>4018927.8</v>
      </c>
      <c r="P8">
        <v>3624321.8</v>
      </c>
      <c r="Q8">
        <v>24198068.199999999</v>
      </c>
      <c r="R8">
        <v>7386297</v>
      </c>
      <c r="T8">
        <v>5.2344999947992621</v>
      </c>
      <c r="U8">
        <v>4.758963802206563</v>
      </c>
      <c r="V8">
        <v>4.7799638270109428</v>
      </c>
      <c r="W8">
        <v>7.5500669471977746</v>
      </c>
      <c r="X8">
        <v>3.8283347803982908</v>
      </c>
      <c r="Y8">
        <v>6.8099482595978769</v>
      </c>
      <c r="Z8">
        <v>4.0591638762038196</v>
      </c>
      <c r="AA8">
        <v>6.4020873612083964</v>
      </c>
      <c r="AB8">
        <v>5.4605899850081183</v>
      </c>
      <c r="AC8">
        <v>1.5368386306043249</v>
      </c>
      <c r="AD8">
        <v>2.404256963997613</v>
      </c>
      <c r="AE8">
        <v>8.4558818857942235</v>
      </c>
      <c r="AF8">
        <v>8.3440161908278245</v>
      </c>
      <c r="AH8">
        <v>5.2344999947992621</v>
      </c>
      <c r="AI8">
        <v>1.384228920197347</v>
      </c>
      <c r="AJ8">
        <v>1.4143410560092891</v>
      </c>
      <c r="AK8">
        <v>7.5500669471977746</v>
      </c>
      <c r="AL8">
        <v>1.1888155932014339</v>
      </c>
      <c r="AM8">
        <v>6.8099482595978769</v>
      </c>
      <c r="AN8">
        <v>1.2272093189996669</v>
      </c>
      <c r="AO8">
        <v>6.4020873612083964</v>
      </c>
      <c r="AP8">
        <v>1.397581826802343</v>
      </c>
      <c r="AQ8">
        <v>1.030384968803264</v>
      </c>
      <c r="AR8">
        <v>0.60525775481364685</v>
      </c>
      <c r="AS8">
        <v>8.4558818857942235</v>
      </c>
      <c r="AT8">
        <v>5.7898960760037879</v>
      </c>
      <c r="AV8">
        <v>0.33622437960002571</v>
      </c>
    </row>
    <row r="9" spans="1:48" x14ac:dyDescent="0.3">
      <c r="A9">
        <v>21</v>
      </c>
      <c r="B9" t="s">
        <v>26</v>
      </c>
      <c r="C9" t="s">
        <v>19</v>
      </c>
      <c r="D9" t="s">
        <v>20</v>
      </c>
      <c r="E9" s="3">
        <v>0</v>
      </c>
      <c r="F9">
        <v>2186441.2000000002</v>
      </c>
      <c r="G9">
        <v>4048842.4</v>
      </c>
      <c r="H9">
        <v>4061181.6</v>
      </c>
      <c r="I9">
        <v>1589889</v>
      </c>
      <c r="J9">
        <v>989668</v>
      </c>
      <c r="K9">
        <v>1794574.2</v>
      </c>
      <c r="L9">
        <v>1134590.2</v>
      </c>
      <c r="M9">
        <v>616867</v>
      </c>
      <c r="N9">
        <v>713130</v>
      </c>
      <c r="O9">
        <v>4560935.4000000004</v>
      </c>
      <c r="P9">
        <v>4272926.4000000004</v>
      </c>
      <c r="Q9">
        <v>575641.80000000005</v>
      </c>
      <c r="R9">
        <v>1679837</v>
      </c>
      <c r="T9">
        <v>2.158496398397256</v>
      </c>
      <c r="U9">
        <v>3.2650079647894019</v>
      </c>
      <c r="V9">
        <v>3.2657242611749102</v>
      </c>
      <c r="W9">
        <v>2.1609200783947018</v>
      </c>
      <c r="X9">
        <v>1.7717293730005621</v>
      </c>
      <c r="Y9">
        <v>2.1645201246021322</v>
      </c>
      <c r="Z9">
        <v>2.1925484352221249</v>
      </c>
      <c r="AA9">
        <v>1.7100888279906941</v>
      </c>
      <c r="AB9">
        <v>2.0874824372178411</v>
      </c>
      <c r="AC9">
        <v>1.876245663402369</v>
      </c>
      <c r="AD9">
        <v>2.7514236621675079</v>
      </c>
      <c r="AE9">
        <v>2.9904529619961981</v>
      </c>
      <c r="AF9">
        <v>4.1521372991963288</v>
      </c>
      <c r="AH9">
        <v>2.158496398397256</v>
      </c>
      <c r="AI9">
        <v>0.84619003500556578</v>
      </c>
      <c r="AJ9">
        <v>0.84366130459238775</v>
      </c>
      <c r="AK9">
        <v>2.1609200783947018</v>
      </c>
      <c r="AL9">
        <v>0.60101973320706747</v>
      </c>
      <c r="AM9">
        <v>2.1645201246021322</v>
      </c>
      <c r="AN9">
        <v>0.65449218439171086</v>
      </c>
      <c r="AO9">
        <v>1.7100888279906941</v>
      </c>
      <c r="AP9">
        <v>0.60859417880419642</v>
      </c>
      <c r="AQ9">
        <v>1.1009358914045151</v>
      </c>
      <c r="AR9">
        <v>0.54318004979286338</v>
      </c>
      <c r="AS9">
        <v>2.9904529619961981</v>
      </c>
      <c r="AT9">
        <v>2.5454106670105832</v>
      </c>
      <c r="AV9">
        <v>0.34218408940359951</v>
      </c>
    </row>
    <row r="10" spans="1:48" x14ac:dyDescent="0.3">
      <c r="A10">
        <v>21</v>
      </c>
      <c r="B10" t="s">
        <v>27</v>
      </c>
      <c r="C10" t="s">
        <v>19</v>
      </c>
      <c r="D10" t="s">
        <v>20</v>
      </c>
      <c r="E10" s="3">
        <v>0</v>
      </c>
      <c r="F10">
        <v>1359597.6</v>
      </c>
      <c r="G10">
        <v>1719443.8</v>
      </c>
      <c r="H10">
        <v>1724229</v>
      </c>
      <c r="I10">
        <v>602084</v>
      </c>
      <c r="J10">
        <v>897127</v>
      </c>
      <c r="K10">
        <v>570623.6</v>
      </c>
      <c r="L10">
        <v>962759.8</v>
      </c>
      <c r="M10">
        <v>362702.6</v>
      </c>
      <c r="N10">
        <v>660611.80000000005</v>
      </c>
      <c r="O10">
        <v>3787607.6</v>
      </c>
      <c r="P10">
        <v>2915928.2</v>
      </c>
      <c r="Q10">
        <v>230918.39999999999</v>
      </c>
      <c r="R10">
        <v>549717.6</v>
      </c>
      <c r="T10">
        <v>1.6232298037910371</v>
      </c>
      <c r="U10">
        <v>1.939391197409714</v>
      </c>
      <c r="V10">
        <v>1.933548037195578</v>
      </c>
      <c r="W10">
        <v>1.413089750992367</v>
      </c>
      <c r="X10">
        <v>1.732761236809893</v>
      </c>
      <c r="Y10">
        <v>1.3865879685909019</v>
      </c>
      <c r="Z10">
        <v>2.3219872228044549</v>
      </c>
      <c r="AA10">
        <v>1.794498152600136</v>
      </c>
      <c r="AB10">
        <v>2.1621128974016761</v>
      </c>
      <c r="AC10">
        <v>1.22125460000243</v>
      </c>
      <c r="AD10">
        <v>1.481784312234959</v>
      </c>
      <c r="AE10">
        <v>1.615458199003478</v>
      </c>
      <c r="AF10">
        <v>2.4662364686024381</v>
      </c>
      <c r="AH10">
        <v>1.6232298037910371</v>
      </c>
      <c r="AI10">
        <v>0.59769272999255918</v>
      </c>
      <c r="AJ10">
        <v>0.59431944458629005</v>
      </c>
      <c r="AK10">
        <v>1.413089750992367</v>
      </c>
      <c r="AL10">
        <v>0.57956880760029894</v>
      </c>
      <c r="AM10">
        <v>1.3865879685909019</v>
      </c>
      <c r="AN10">
        <v>0.63563219258794557</v>
      </c>
      <c r="AO10">
        <v>1.794498152600136</v>
      </c>
      <c r="AP10">
        <v>0.61191179059096612</v>
      </c>
      <c r="AQ10">
        <v>0.79398413639282805</v>
      </c>
      <c r="AR10">
        <v>0.44009354902082121</v>
      </c>
      <c r="AS10">
        <v>1.615458199003478</v>
      </c>
      <c r="AT10">
        <v>1.206328634807142</v>
      </c>
      <c r="AV10">
        <v>0.34153484500711778</v>
      </c>
    </row>
    <row r="11" spans="1:48" x14ac:dyDescent="0.3">
      <c r="A11">
        <v>21</v>
      </c>
      <c r="B11" t="s">
        <v>28</v>
      </c>
      <c r="C11" t="s">
        <v>19</v>
      </c>
      <c r="D11" t="s">
        <v>20</v>
      </c>
      <c r="E11" s="3">
        <v>0</v>
      </c>
      <c r="F11">
        <v>6171416.2000000002</v>
      </c>
      <c r="G11">
        <v>6741782</v>
      </c>
      <c r="H11">
        <v>6774496.2000000002</v>
      </c>
      <c r="I11">
        <v>8419143.5999999996</v>
      </c>
      <c r="J11">
        <v>3952197.6</v>
      </c>
      <c r="K11">
        <v>8961360.5999999996</v>
      </c>
      <c r="L11">
        <v>4261359</v>
      </c>
      <c r="M11">
        <v>9256532.1999999993</v>
      </c>
      <c r="N11">
        <v>6090145.2000000002</v>
      </c>
      <c r="O11">
        <v>4215910.2</v>
      </c>
      <c r="P11">
        <v>3494412.8</v>
      </c>
      <c r="Q11">
        <v>19259379.600000001</v>
      </c>
      <c r="R11">
        <v>6550805.2000000002</v>
      </c>
      <c r="T11">
        <v>6.4922642745950716</v>
      </c>
      <c r="U11">
        <v>5.7678438823786564</v>
      </c>
      <c r="V11">
        <v>5.7837307324050924</v>
      </c>
      <c r="W11">
        <v>11.094879388005941</v>
      </c>
      <c r="X11">
        <v>5.3160790064022878</v>
      </c>
      <c r="Y11">
        <v>10.225063718802989</v>
      </c>
      <c r="Z11">
        <v>5.953959590400336</v>
      </c>
      <c r="AA11">
        <v>9.4208088870043873</v>
      </c>
      <c r="AB11">
        <v>7.1147477678023279</v>
      </c>
      <c r="AC11">
        <v>1.702163507812656</v>
      </c>
      <c r="AD11">
        <v>2.2718372665811328</v>
      </c>
      <c r="AE11">
        <v>10.79683944280259</v>
      </c>
      <c r="AF11">
        <v>9.3967859972326551</v>
      </c>
      <c r="AH11">
        <v>6.4922642745950716</v>
      </c>
      <c r="AI11">
        <v>1.794590347999474</v>
      </c>
      <c r="AJ11">
        <v>1.815126789803617</v>
      </c>
      <c r="AK11">
        <v>11.094879388005941</v>
      </c>
      <c r="AL11">
        <v>1.4470995458075779</v>
      </c>
      <c r="AM11">
        <v>10.225063718802989</v>
      </c>
      <c r="AN11">
        <v>1.6424522427958439</v>
      </c>
      <c r="AO11">
        <v>9.4208088870043873</v>
      </c>
      <c r="AP11">
        <v>2.0450485434033912</v>
      </c>
      <c r="AQ11">
        <v>1.0836052222119179</v>
      </c>
      <c r="AR11">
        <v>0.5631062365835533</v>
      </c>
      <c r="AS11">
        <v>10.79683944280259</v>
      </c>
      <c r="AT11">
        <v>6.4367541044019161</v>
      </c>
      <c r="AV11">
        <v>0.33600959619507192</v>
      </c>
    </row>
    <row r="12" spans="1:48" x14ac:dyDescent="0.3">
      <c r="A12">
        <v>21</v>
      </c>
      <c r="B12" t="s">
        <v>29</v>
      </c>
      <c r="C12" t="s">
        <v>19</v>
      </c>
      <c r="D12" t="s">
        <v>20</v>
      </c>
      <c r="E12" s="3">
        <v>0</v>
      </c>
      <c r="F12">
        <v>6077126.4000000004</v>
      </c>
      <c r="G12">
        <v>10103709.4</v>
      </c>
      <c r="H12">
        <v>10186627</v>
      </c>
      <c r="I12">
        <v>14297375.6</v>
      </c>
      <c r="J12">
        <v>7261952.4000000004</v>
      </c>
      <c r="K12">
        <v>15602491.199999999</v>
      </c>
      <c r="L12">
        <v>6974069.4000000004</v>
      </c>
      <c r="M12">
        <v>9345182.5999999996</v>
      </c>
      <c r="N12">
        <v>7403116.5999999996</v>
      </c>
      <c r="O12">
        <v>4852422.4000000004</v>
      </c>
      <c r="P12">
        <v>5287507.8</v>
      </c>
      <c r="Q12">
        <v>31495538.800000001</v>
      </c>
      <c r="R12">
        <v>13863416.199999999</v>
      </c>
      <c r="T12">
        <v>6.0815908406046217</v>
      </c>
      <c r="U12">
        <v>7.2096594645699952</v>
      </c>
      <c r="V12">
        <v>7.2971743640198836</v>
      </c>
      <c r="W12">
        <v>13.923437183198979</v>
      </c>
      <c r="X12">
        <v>6.9870741180027833</v>
      </c>
      <c r="Y12">
        <v>13.50091390061425</v>
      </c>
      <c r="Z12">
        <v>7.1313172339985611</v>
      </c>
      <c r="AA12">
        <v>10.245829977997349</v>
      </c>
      <c r="AB12">
        <v>7.3575312157918233</v>
      </c>
      <c r="AC12">
        <v>2.2799873619980651</v>
      </c>
      <c r="AD12">
        <v>4.1327993754122874</v>
      </c>
      <c r="AE12">
        <v>11.609009138803231</v>
      </c>
      <c r="AF12">
        <v>14.047129603778011</v>
      </c>
      <c r="AH12">
        <v>6.0815908406046217</v>
      </c>
      <c r="AI12">
        <v>1.853740288584959</v>
      </c>
      <c r="AJ12">
        <v>1.8900285398063721</v>
      </c>
      <c r="AK12">
        <v>13.923437183198979</v>
      </c>
      <c r="AL12">
        <v>2.0138696845970121</v>
      </c>
      <c r="AM12">
        <v>13.50091390061425</v>
      </c>
      <c r="AN12">
        <v>2.125408534810413</v>
      </c>
      <c r="AO12">
        <v>10.245829977997349</v>
      </c>
      <c r="AP12">
        <v>1.8661000612017229</v>
      </c>
      <c r="AQ12">
        <v>1.278918094793335</v>
      </c>
      <c r="AR12">
        <v>0.68913195959175932</v>
      </c>
      <c r="AS12">
        <v>11.609009138803231</v>
      </c>
      <c r="AT12">
        <v>9.7755583741934977</v>
      </c>
      <c r="AV12">
        <v>0.33294939799234269</v>
      </c>
    </row>
    <row r="13" spans="1:48" x14ac:dyDescent="0.3">
      <c r="A13">
        <v>21</v>
      </c>
      <c r="B13" t="s">
        <v>30</v>
      </c>
      <c r="C13" t="s">
        <v>19</v>
      </c>
      <c r="D13" t="s">
        <v>20</v>
      </c>
      <c r="E13" s="3">
        <v>0</v>
      </c>
      <c r="F13">
        <v>4373945.5999999996</v>
      </c>
      <c r="G13">
        <v>3938611.4</v>
      </c>
      <c r="H13">
        <v>3945919.6</v>
      </c>
      <c r="I13">
        <v>4791875</v>
      </c>
      <c r="J13">
        <v>2158391.7999999998</v>
      </c>
      <c r="K13">
        <v>5918690.2000000002</v>
      </c>
      <c r="L13">
        <v>2618877.4</v>
      </c>
      <c r="M13">
        <v>3330299.8</v>
      </c>
      <c r="N13">
        <v>1638776.6</v>
      </c>
      <c r="O13">
        <v>4221177.5999999996</v>
      </c>
      <c r="P13">
        <v>3398866.6</v>
      </c>
      <c r="Q13">
        <v>5883243.7999999998</v>
      </c>
      <c r="R13">
        <v>3341569.6</v>
      </c>
      <c r="T13">
        <v>4.0532574228011073</v>
      </c>
      <c r="U13">
        <v>3.541392951185117</v>
      </c>
      <c r="V13">
        <v>3.5493792564026081</v>
      </c>
      <c r="W13">
        <v>3.3613006265950389</v>
      </c>
      <c r="X13">
        <v>2.067105329607148</v>
      </c>
      <c r="Y13">
        <v>3.5297067504026929</v>
      </c>
      <c r="Z13">
        <v>2.7212600856262719</v>
      </c>
      <c r="AA13">
        <v>3.1619197966007051</v>
      </c>
      <c r="AB13">
        <v>2.4773479008057619</v>
      </c>
      <c r="AC13">
        <v>1.680516902194358</v>
      </c>
      <c r="AD13">
        <v>2.0771287115872838</v>
      </c>
      <c r="AE13">
        <v>4.5388697287999094</v>
      </c>
      <c r="AF13">
        <v>4.4617803052358793</v>
      </c>
      <c r="AH13">
        <v>4.0532574228011073</v>
      </c>
      <c r="AI13">
        <v>0.97835999078233726</v>
      </c>
      <c r="AJ13">
        <v>0.98401886421488594</v>
      </c>
      <c r="AK13">
        <v>3.3613006265950389</v>
      </c>
      <c r="AL13">
        <v>0.64311506419326181</v>
      </c>
      <c r="AM13">
        <v>3.5297067504026929</v>
      </c>
      <c r="AN13">
        <v>0.76825656500295736</v>
      </c>
      <c r="AO13">
        <v>3.1619197966007051</v>
      </c>
      <c r="AP13">
        <v>0.70691717860172498</v>
      </c>
      <c r="AQ13">
        <v>1.113874779996695</v>
      </c>
      <c r="AR13">
        <v>0.54862521740724335</v>
      </c>
      <c r="AS13">
        <v>4.5388697287999094</v>
      </c>
      <c r="AT13">
        <v>2.582213092024904</v>
      </c>
      <c r="AV13">
        <v>0.33455310700228441</v>
      </c>
    </row>
    <row r="14" spans="1:48" x14ac:dyDescent="0.3">
      <c r="A14">
        <v>21</v>
      </c>
      <c r="B14" t="s">
        <v>31</v>
      </c>
      <c r="C14" t="s">
        <v>19</v>
      </c>
      <c r="D14" t="s">
        <v>20</v>
      </c>
      <c r="E14" s="3">
        <v>0</v>
      </c>
      <c r="F14">
        <v>1743369.2</v>
      </c>
      <c r="G14">
        <v>3012653.8</v>
      </c>
      <c r="H14">
        <v>3020110.8</v>
      </c>
      <c r="I14">
        <v>3424600.8</v>
      </c>
      <c r="J14">
        <v>2098792.4</v>
      </c>
      <c r="K14">
        <v>3314873</v>
      </c>
      <c r="L14">
        <v>2268915</v>
      </c>
      <c r="M14">
        <v>2642237</v>
      </c>
      <c r="N14">
        <v>1735935.6</v>
      </c>
      <c r="O14">
        <v>4575869</v>
      </c>
      <c r="P14">
        <v>4249042.2</v>
      </c>
      <c r="Q14">
        <v>7388502.4000000004</v>
      </c>
      <c r="R14">
        <v>5739481</v>
      </c>
      <c r="T14">
        <v>1.8995936420047661</v>
      </c>
      <c r="U14">
        <v>2.6128099556139199</v>
      </c>
      <c r="V14">
        <v>2.612525734194787</v>
      </c>
      <c r="W14">
        <v>3.290509480598848</v>
      </c>
      <c r="X14">
        <v>2.433103683002992</v>
      </c>
      <c r="Y14">
        <v>3.2155795645958278</v>
      </c>
      <c r="Z14">
        <v>3.1122604161966589</v>
      </c>
      <c r="AA14">
        <v>3.437233985593775</v>
      </c>
      <c r="AB14">
        <v>2.9019237024360338</v>
      </c>
      <c r="AC14">
        <v>1.911455531395041</v>
      </c>
      <c r="AD14">
        <v>2.7620649873744698</v>
      </c>
      <c r="AE14">
        <v>5.2047263690095864</v>
      </c>
      <c r="AF14">
        <v>4.7835790863959122</v>
      </c>
      <c r="AH14">
        <v>1.8995936420047661</v>
      </c>
      <c r="AI14">
        <v>0.74691172838793141</v>
      </c>
      <c r="AJ14">
        <v>0.7382877490075771</v>
      </c>
      <c r="AK14">
        <v>3.290509480598848</v>
      </c>
      <c r="AL14">
        <v>0.72083147619850929</v>
      </c>
      <c r="AM14">
        <v>3.2155795645958278</v>
      </c>
      <c r="AN14">
        <v>0.85803529719123617</v>
      </c>
      <c r="AO14">
        <v>3.437233985593775</v>
      </c>
      <c r="AP14">
        <v>0.75437198280123996</v>
      </c>
      <c r="AQ14">
        <v>1.1057023900037171</v>
      </c>
      <c r="AR14">
        <v>0.52527844720170835</v>
      </c>
      <c r="AS14">
        <v>5.2047263690095864</v>
      </c>
      <c r="AT14">
        <v>2.2464158585993572</v>
      </c>
      <c r="AV14">
        <v>0.35033528519561508</v>
      </c>
    </row>
    <row r="15" spans="1:48" x14ac:dyDescent="0.3">
      <c r="A15">
        <v>21</v>
      </c>
      <c r="B15" t="s">
        <v>32</v>
      </c>
      <c r="C15" t="s">
        <v>19</v>
      </c>
      <c r="D15" t="s">
        <v>20</v>
      </c>
      <c r="E15" s="3">
        <v>0</v>
      </c>
      <c r="F15">
        <v>11750880.199999999</v>
      </c>
      <c r="G15">
        <v>13735354.6</v>
      </c>
      <c r="H15">
        <v>13894897</v>
      </c>
      <c r="I15">
        <v>18218009.600000001</v>
      </c>
      <c r="J15">
        <v>7831496.2000000002</v>
      </c>
      <c r="K15">
        <v>18456344.199999999</v>
      </c>
      <c r="L15">
        <v>7365562</v>
      </c>
      <c r="M15">
        <v>17723012.199999999</v>
      </c>
      <c r="N15">
        <v>12426854</v>
      </c>
      <c r="O15">
        <v>4731131.5999999996</v>
      </c>
      <c r="P15">
        <v>4810760.2</v>
      </c>
      <c r="Q15">
        <v>26229788.399999999</v>
      </c>
      <c r="R15">
        <v>10264341.6</v>
      </c>
      <c r="T15">
        <v>10.521448547812181</v>
      </c>
      <c r="U15">
        <v>9.8399365248042159</v>
      </c>
      <c r="V15">
        <v>9.8624711771844886</v>
      </c>
      <c r="W15">
        <v>12.17627616600366</v>
      </c>
      <c r="X15">
        <v>6.5226336688036097</v>
      </c>
      <c r="Y15">
        <v>10.931517530407289</v>
      </c>
      <c r="Z15">
        <v>6.8431017897964921</v>
      </c>
      <c r="AA15">
        <v>14.281975235795841</v>
      </c>
      <c r="AB15">
        <v>10.18290537575958</v>
      </c>
      <c r="AC15">
        <v>2.1325210601789881</v>
      </c>
      <c r="AD15">
        <v>3.5825340444338512</v>
      </c>
      <c r="AE15">
        <v>12.16348451540107</v>
      </c>
      <c r="AF15">
        <v>14.534213351598011</v>
      </c>
      <c r="AH15">
        <v>10.521448547812181</v>
      </c>
      <c r="AI15">
        <v>2.8076307754148728</v>
      </c>
      <c r="AJ15">
        <v>2.8661138370051051</v>
      </c>
      <c r="AK15">
        <v>12.17627616600366</v>
      </c>
      <c r="AL15">
        <v>1.8597040468011981</v>
      </c>
      <c r="AM15">
        <v>10.931517530407289</v>
      </c>
      <c r="AN15">
        <v>2.0956861467799168</v>
      </c>
      <c r="AO15">
        <v>14.281975235795841</v>
      </c>
      <c r="AP15">
        <v>2.7016673033882399</v>
      </c>
      <c r="AQ15">
        <v>1.1658638393797449</v>
      </c>
      <c r="AR15">
        <v>0.68060124760959295</v>
      </c>
      <c r="AS15">
        <v>12.16348451540107</v>
      </c>
      <c r="AT15">
        <v>10.95663792080013</v>
      </c>
      <c r="AV15">
        <v>0.335514369601151</v>
      </c>
    </row>
    <row r="16" spans="1:48" x14ac:dyDescent="0.3">
      <c r="A16">
        <v>21</v>
      </c>
      <c r="B16" t="s">
        <v>33</v>
      </c>
      <c r="C16" t="s">
        <v>19</v>
      </c>
      <c r="D16" t="s">
        <v>20</v>
      </c>
      <c r="E16" s="3">
        <v>0</v>
      </c>
      <c r="F16">
        <v>4086782.6</v>
      </c>
      <c r="G16">
        <v>3317288</v>
      </c>
      <c r="H16">
        <v>3331064.2</v>
      </c>
      <c r="I16">
        <v>3127021.2</v>
      </c>
      <c r="J16">
        <v>2138588.4</v>
      </c>
      <c r="K16">
        <v>2843159</v>
      </c>
      <c r="L16">
        <v>2211047.2000000002</v>
      </c>
      <c r="M16">
        <v>3627884.8</v>
      </c>
      <c r="N16">
        <v>2260156.4</v>
      </c>
      <c r="O16">
        <v>4001025.4</v>
      </c>
      <c r="P16">
        <v>3512088.8</v>
      </c>
      <c r="Q16">
        <v>15964690.4</v>
      </c>
      <c r="R16">
        <v>4262377.4000000004</v>
      </c>
      <c r="T16">
        <v>4.4711930695921183</v>
      </c>
      <c r="U16">
        <v>3.149374641192844</v>
      </c>
      <c r="V16">
        <v>3.1526873256138059</v>
      </c>
      <c r="W16">
        <v>4.6305101407982878</v>
      </c>
      <c r="X16">
        <v>2.9229224139999128</v>
      </c>
      <c r="Y16">
        <v>3.6595070977986319</v>
      </c>
      <c r="Z16">
        <v>3.4830285654170439</v>
      </c>
      <c r="AA16">
        <v>5.2091383431979921</v>
      </c>
      <c r="AB16">
        <v>3.474572315620025</v>
      </c>
      <c r="AC16">
        <v>1.5028843931970191</v>
      </c>
      <c r="AD16">
        <v>2.2757856189447918</v>
      </c>
      <c r="AE16">
        <v>7.0235218673944484</v>
      </c>
      <c r="AF16">
        <v>5.3719841486075897</v>
      </c>
      <c r="AH16">
        <v>4.4711930695921183</v>
      </c>
      <c r="AI16">
        <v>1.1693686751998029</v>
      </c>
      <c r="AJ16">
        <v>1.1764092528028409</v>
      </c>
      <c r="AK16">
        <v>4.6305101407982878</v>
      </c>
      <c r="AL16">
        <v>1.2476876732078379</v>
      </c>
      <c r="AM16">
        <v>3.6595070977986319</v>
      </c>
      <c r="AN16">
        <v>1.350132866814965</v>
      </c>
      <c r="AO16">
        <v>5.2091383431979921</v>
      </c>
      <c r="AP16">
        <v>1.28245462680934</v>
      </c>
      <c r="AQ16">
        <v>1.0108026552014051</v>
      </c>
      <c r="AR16">
        <v>0.57602377417497341</v>
      </c>
      <c r="AS16">
        <v>7.0235218673944484</v>
      </c>
      <c r="AT16">
        <v>3.3741444412095012</v>
      </c>
      <c r="AV16">
        <v>0.35013236799859437</v>
      </c>
    </row>
    <row r="17" spans="1:48" x14ac:dyDescent="0.3">
      <c r="A17">
        <v>21</v>
      </c>
      <c r="B17" t="s">
        <v>34</v>
      </c>
      <c r="C17" t="s">
        <v>19</v>
      </c>
      <c r="D17" t="s">
        <v>20</v>
      </c>
      <c r="E17" s="3">
        <v>0</v>
      </c>
      <c r="F17">
        <v>7112853</v>
      </c>
      <c r="G17">
        <v>6962196</v>
      </c>
      <c r="H17">
        <v>7014944.2000000002</v>
      </c>
      <c r="I17">
        <v>8723892</v>
      </c>
      <c r="J17">
        <v>5364140.8</v>
      </c>
      <c r="K17">
        <v>11003270.6</v>
      </c>
      <c r="L17">
        <v>5682284.2000000002</v>
      </c>
      <c r="M17">
        <v>6128639</v>
      </c>
      <c r="N17">
        <v>3927701.6</v>
      </c>
      <c r="O17">
        <v>4576948.2</v>
      </c>
      <c r="P17">
        <v>4372121.8</v>
      </c>
      <c r="Q17">
        <v>5662981.7999999998</v>
      </c>
      <c r="R17">
        <v>5113161.8</v>
      </c>
      <c r="T17">
        <v>5.9443068415974274</v>
      </c>
      <c r="U17">
        <v>5.2753024560108317</v>
      </c>
      <c r="V17">
        <v>5.2832973164040604</v>
      </c>
      <c r="W17">
        <v>5.0367165778065104</v>
      </c>
      <c r="X17">
        <v>3.2803793001745358</v>
      </c>
      <c r="Y17">
        <v>5.4562884769984521</v>
      </c>
      <c r="Z17">
        <v>3.8992931297922042</v>
      </c>
      <c r="AA17">
        <v>4.3900332708028147</v>
      </c>
      <c r="AB17">
        <v>3.395535195217235</v>
      </c>
      <c r="AC17">
        <v>1.8985194972075989</v>
      </c>
      <c r="AD17">
        <v>2.8570344151754399</v>
      </c>
      <c r="AE17">
        <v>4.593102173192892</v>
      </c>
      <c r="AF17">
        <v>6.7557693205773832</v>
      </c>
      <c r="AH17">
        <v>5.9443068415974274</v>
      </c>
      <c r="AI17">
        <v>1.283910939609632</v>
      </c>
      <c r="AJ17">
        <v>1.3042413374176249</v>
      </c>
      <c r="AK17">
        <v>5.0367165778065104</v>
      </c>
      <c r="AL17">
        <v>0.90924869979498912</v>
      </c>
      <c r="AM17">
        <v>5.4562884769984521</v>
      </c>
      <c r="AN17">
        <v>1.0206970557919699</v>
      </c>
      <c r="AO17">
        <v>4.3900332708028147</v>
      </c>
      <c r="AP17">
        <v>0.89042666480527255</v>
      </c>
      <c r="AQ17">
        <v>1.113679955800762</v>
      </c>
      <c r="AR17">
        <v>0.55698422759305688</v>
      </c>
      <c r="AS17">
        <v>4.593102173192892</v>
      </c>
      <c r="AT17">
        <v>4.556427569797961</v>
      </c>
      <c r="AV17">
        <v>0.33551011360250421</v>
      </c>
    </row>
    <row r="18" spans="1:48" x14ac:dyDescent="0.3">
      <c r="A18">
        <v>21</v>
      </c>
      <c r="B18" t="s">
        <v>35</v>
      </c>
      <c r="C18" t="s">
        <v>19</v>
      </c>
      <c r="D18" t="s">
        <v>20</v>
      </c>
      <c r="E18" s="3">
        <v>1</v>
      </c>
      <c r="F18">
        <v>492450</v>
      </c>
      <c r="G18">
        <v>456087.2</v>
      </c>
      <c r="H18">
        <v>456245.4</v>
      </c>
      <c r="I18">
        <v>264522.40000000002</v>
      </c>
      <c r="J18">
        <v>308147.40000000002</v>
      </c>
      <c r="K18">
        <v>297407.40000000002</v>
      </c>
      <c r="L18">
        <v>323307</v>
      </c>
      <c r="M18">
        <v>253435.8</v>
      </c>
      <c r="N18">
        <v>248166.6</v>
      </c>
      <c r="O18">
        <v>3780204.6</v>
      </c>
      <c r="P18">
        <v>2875035.4</v>
      </c>
      <c r="Q18">
        <v>6495.2</v>
      </c>
      <c r="R18">
        <v>32182.2</v>
      </c>
      <c r="T18">
        <v>0.64075132400030266</v>
      </c>
      <c r="U18">
        <v>0.95206711658975107</v>
      </c>
      <c r="V18">
        <v>0.94425892460858452</v>
      </c>
      <c r="W18">
        <v>0.54520048400736409</v>
      </c>
      <c r="X18">
        <v>0.91187394121079701</v>
      </c>
      <c r="Y18">
        <v>1.130790518206777</v>
      </c>
      <c r="Z18">
        <v>1.536998518777545</v>
      </c>
      <c r="AA18">
        <v>1.212434123596176</v>
      </c>
      <c r="AB18">
        <v>1.479357314406661</v>
      </c>
      <c r="AC18">
        <v>1.230943984992336</v>
      </c>
      <c r="AD18">
        <v>1.4662705425347671</v>
      </c>
      <c r="AE18">
        <v>3.6847910599317357E-2</v>
      </c>
      <c r="AF18">
        <v>0.51220410180976617</v>
      </c>
      <c r="AH18">
        <v>0.64075132400030266</v>
      </c>
      <c r="AI18">
        <v>0.45961613900726661</v>
      </c>
      <c r="AJ18">
        <v>0.45699117201147599</v>
      </c>
      <c r="AK18">
        <v>0.54520048400736409</v>
      </c>
      <c r="AL18">
        <v>0.44513792881043629</v>
      </c>
      <c r="AM18">
        <v>1.130790518206777</v>
      </c>
      <c r="AN18">
        <v>0.52035441679181527</v>
      </c>
      <c r="AO18">
        <v>1.212434123596176</v>
      </c>
      <c r="AP18">
        <v>0.52567696761107074</v>
      </c>
      <c r="AQ18">
        <v>0.80202620418858717</v>
      </c>
      <c r="AR18">
        <v>0.44381874042446717</v>
      </c>
      <c r="AS18">
        <v>3.6847910599317357E-2</v>
      </c>
      <c r="AT18">
        <v>0.42599061118671672</v>
      </c>
      <c r="AV18">
        <v>0.35338621800183317</v>
      </c>
    </row>
    <row r="19" spans="1:48" x14ac:dyDescent="0.3">
      <c r="A19">
        <v>22</v>
      </c>
      <c r="B19" t="s">
        <v>36</v>
      </c>
      <c r="C19" t="s">
        <v>37</v>
      </c>
      <c r="D19" t="s">
        <v>38</v>
      </c>
      <c r="E19" s="3">
        <v>0</v>
      </c>
      <c r="F19">
        <v>6218015.5999999996</v>
      </c>
      <c r="G19">
        <v>5008426.2</v>
      </c>
      <c r="H19">
        <v>5096612.5999999996</v>
      </c>
      <c r="I19">
        <v>14902021.800000001</v>
      </c>
      <c r="J19">
        <v>10580947.800000001</v>
      </c>
      <c r="K19">
        <v>18200940.600000001</v>
      </c>
      <c r="L19">
        <v>11988219.6</v>
      </c>
      <c r="M19">
        <v>15785104.199999999</v>
      </c>
      <c r="N19">
        <v>8690882.1999999993</v>
      </c>
      <c r="O19">
        <v>4656903.2</v>
      </c>
      <c r="P19">
        <v>3565174.6</v>
      </c>
      <c r="Q19">
        <v>15292114.800000001</v>
      </c>
      <c r="R19">
        <v>9321157</v>
      </c>
      <c r="T19">
        <v>5.5383307179959953</v>
      </c>
      <c r="U19">
        <v>4.1589295532030519</v>
      </c>
      <c r="V19">
        <v>4.242793278186582</v>
      </c>
      <c r="W19">
        <v>15.29752804700402</v>
      </c>
      <c r="X19">
        <v>11.049815788166599</v>
      </c>
      <c r="Y19">
        <v>18.42138886980247</v>
      </c>
      <c r="Z19">
        <v>13.422009348194109</v>
      </c>
      <c r="AA19">
        <v>11.96436483280268</v>
      </c>
      <c r="AB19">
        <v>6.8453729128174006</v>
      </c>
      <c r="AC19">
        <v>2.308730566175655</v>
      </c>
      <c r="AD19">
        <v>2.1493797226110471</v>
      </c>
      <c r="AE19">
        <v>8.0237717007985339</v>
      </c>
      <c r="AF19">
        <v>7.1576040912012102</v>
      </c>
      <c r="AH19">
        <v>5.5383307179959953</v>
      </c>
      <c r="AI19">
        <v>1.3603407557937319</v>
      </c>
      <c r="AJ19">
        <v>1.41506398197962</v>
      </c>
      <c r="AK19">
        <v>15.29752804700402</v>
      </c>
      <c r="AL19">
        <v>3.3875210537982641</v>
      </c>
      <c r="AM19">
        <v>18.42138886980247</v>
      </c>
      <c r="AN19">
        <v>4.0706991310056768</v>
      </c>
      <c r="AO19">
        <v>11.96436483280268</v>
      </c>
      <c r="AP19">
        <v>1.9148254556057509</v>
      </c>
      <c r="AQ19">
        <v>1.197194772976218</v>
      </c>
      <c r="AR19">
        <v>0.45998943700105882</v>
      </c>
      <c r="AS19">
        <v>8.0237717007985339</v>
      </c>
      <c r="AT19">
        <v>3.7630659174057661</v>
      </c>
      <c r="AV19">
        <v>0.2511511093995068</v>
      </c>
    </row>
    <row r="20" spans="1:48" x14ac:dyDescent="0.3">
      <c r="A20">
        <v>22</v>
      </c>
      <c r="B20" t="s">
        <v>39</v>
      </c>
      <c r="C20" t="s">
        <v>37</v>
      </c>
      <c r="D20" t="s">
        <v>38</v>
      </c>
      <c r="E20" s="3">
        <v>1</v>
      </c>
      <c r="F20">
        <v>572109.80000000005</v>
      </c>
      <c r="G20">
        <v>385311.6</v>
      </c>
      <c r="H20">
        <v>386536.2</v>
      </c>
      <c r="I20">
        <v>531781.6</v>
      </c>
      <c r="J20">
        <v>235702.6</v>
      </c>
      <c r="K20">
        <v>415902.4</v>
      </c>
      <c r="L20">
        <v>237037.6</v>
      </c>
      <c r="M20">
        <v>425951</v>
      </c>
      <c r="N20">
        <v>37569.199999999997</v>
      </c>
      <c r="O20">
        <v>4641178.5999999996</v>
      </c>
      <c r="P20">
        <v>3447652.8</v>
      </c>
      <c r="Q20">
        <v>2057883</v>
      </c>
      <c r="R20">
        <v>145843.4</v>
      </c>
      <c r="T20">
        <v>0.89005107499542646</v>
      </c>
      <c r="U20">
        <v>0.73498240097542289</v>
      </c>
      <c r="V20">
        <v>0.72737056541955103</v>
      </c>
      <c r="W20">
        <v>1.00041114660562</v>
      </c>
      <c r="X20">
        <v>0.7090606944286264</v>
      </c>
      <c r="Y20">
        <v>1.069147865398554</v>
      </c>
      <c r="Z20">
        <v>1.2919802138349039</v>
      </c>
      <c r="AA20">
        <v>0.58353793060523462</v>
      </c>
      <c r="AB20">
        <v>0.36985235799220378</v>
      </c>
      <c r="AC20">
        <v>2.3490988482139068</v>
      </c>
      <c r="AD20">
        <v>2.0835211925965269</v>
      </c>
      <c r="AE20">
        <v>3.366071483213454</v>
      </c>
      <c r="AF20">
        <v>0.64776364921708596</v>
      </c>
      <c r="AH20">
        <v>0.89005107499542646</v>
      </c>
      <c r="AI20">
        <v>0.35168802859261628</v>
      </c>
      <c r="AJ20">
        <v>0.34261535281548272</v>
      </c>
      <c r="AK20">
        <v>1.00041114660562</v>
      </c>
      <c r="AL20">
        <v>0.33666721240733738</v>
      </c>
      <c r="AM20">
        <v>1.069147865398554</v>
      </c>
      <c r="AN20">
        <v>0.43690424600499678</v>
      </c>
      <c r="AO20">
        <v>0.58353793060523462</v>
      </c>
      <c r="AP20">
        <v>0.28382354500354262</v>
      </c>
      <c r="AQ20">
        <v>1.22501268000924</v>
      </c>
      <c r="AR20">
        <v>0.44190148478373892</v>
      </c>
      <c r="AS20">
        <v>3.366071483213454</v>
      </c>
      <c r="AT20">
        <v>0.47552979280008001</v>
      </c>
      <c r="AV20">
        <v>0.26044099979335439</v>
      </c>
    </row>
    <row r="21" spans="1:48" x14ac:dyDescent="0.3">
      <c r="A21">
        <v>22</v>
      </c>
      <c r="B21" t="s">
        <v>40</v>
      </c>
      <c r="C21" t="s">
        <v>37</v>
      </c>
      <c r="D21" t="s">
        <v>38</v>
      </c>
      <c r="E21" s="3">
        <v>0</v>
      </c>
      <c r="F21">
        <v>4386124.8</v>
      </c>
      <c r="G21">
        <v>4629799.5999999996</v>
      </c>
      <c r="H21">
        <v>4637241.8</v>
      </c>
      <c r="I21">
        <v>2573293.2000000002</v>
      </c>
      <c r="J21">
        <v>2109763.6</v>
      </c>
      <c r="K21">
        <v>7281097</v>
      </c>
      <c r="L21">
        <v>2100226.7999999998</v>
      </c>
      <c r="M21">
        <v>7628471.2000000002</v>
      </c>
      <c r="N21">
        <v>7468813.5999999996</v>
      </c>
      <c r="O21">
        <v>4391893.8</v>
      </c>
      <c r="P21">
        <v>4259146.5999999996</v>
      </c>
      <c r="Q21">
        <v>7755154.4000000004</v>
      </c>
      <c r="R21">
        <v>6166949</v>
      </c>
      <c r="T21">
        <v>3.8522741355991461</v>
      </c>
      <c r="U21">
        <v>3.6215738000057169</v>
      </c>
      <c r="V21">
        <v>3.616301157994894</v>
      </c>
      <c r="W21">
        <v>3.4036757499969101</v>
      </c>
      <c r="X21">
        <v>2.71616521460819</v>
      </c>
      <c r="Y21">
        <v>5.8350725809985304</v>
      </c>
      <c r="Z21">
        <v>2.958053830399876</v>
      </c>
      <c r="AA21">
        <v>6.6140579683880789</v>
      </c>
      <c r="AB21">
        <v>6.0482625710137654</v>
      </c>
      <c r="AC21">
        <v>2.1415129363886081</v>
      </c>
      <c r="AD21">
        <v>2.6713478249555922</v>
      </c>
      <c r="AE21">
        <v>5.0808541507984044</v>
      </c>
      <c r="AF21">
        <v>5.5839381160214554</v>
      </c>
      <c r="AH21">
        <v>3.8522741355991461</v>
      </c>
      <c r="AI21">
        <v>1.0861003142024861</v>
      </c>
      <c r="AJ21">
        <v>1.083768394804792</v>
      </c>
      <c r="AK21">
        <v>3.4036757499969101</v>
      </c>
      <c r="AL21">
        <v>0.84170010800589812</v>
      </c>
      <c r="AM21">
        <v>5.8350725809985304</v>
      </c>
      <c r="AN21">
        <v>0.90697404480306432</v>
      </c>
      <c r="AO21">
        <v>6.6140579683880789</v>
      </c>
      <c r="AP21">
        <v>1.7100463096110621</v>
      </c>
      <c r="AQ21">
        <v>1.22083528979565</v>
      </c>
      <c r="AR21">
        <v>0.49286515377461909</v>
      </c>
      <c r="AS21">
        <v>5.0808541507984044</v>
      </c>
      <c r="AT21">
        <v>3.1051922620041301</v>
      </c>
      <c r="AV21">
        <v>0.26158465699409128</v>
      </c>
    </row>
    <row r="22" spans="1:48" x14ac:dyDescent="0.3">
      <c r="A22">
        <v>22</v>
      </c>
      <c r="B22" t="s">
        <v>41</v>
      </c>
      <c r="C22" t="s">
        <v>37</v>
      </c>
      <c r="D22" t="s">
        <v>38</v>
      </c>
      <c r="E22" s="3">
        <v>0</v>
      </c>
      <c r="F22">
        <v>1288357.8</v>
      </c>
      <c r="G22">
        <v>2511554.4</v>
      </c>
      <c r="H22">
        <v>2517287.2000000002</v>
      </c>
      <c r="I22">
        <v>8049014.7999999998</v>
      </c>
      <c r="J22">
        <v>2639849</v>
      </c>
      <c r="K22">
        <v>7843161</v>
      </c>
      <c r="L22">
        <v>2563858.2000000002</v>
      </c>
      <c r="M22">
        <v>2096160</v>
      </c>
      <c r="N22">
        <v>2868954.4</v>
      </c>
      <c r="O22">
        <v>4381979.4000000004</v>
      </c>
      <c r="P22">
        <v>4219333.8</v>
      </c>
      <c r="Q22">
        <v>3344334.4</v>
      </c>
      <c r="R22">
        <v>3678603.8</v>
      </c>
      <c r="T22">
        <v>1.4217123637849001</v>
      </c>
      <c r="U22">
        <v>2.170177415601211</v>
      </c>
      <c r="V22">
        <v>2.1879046957939861</v>
      </c>
      <c r="W22">
        <v>3.597171958198305</v>
      </c>
      <c r="X22">
        <v>1.859445208200486</v>
      </c>
      <c r="Y22">
        <v>3.6908342077920682</v>
      </c>
      <c r="Z22">
        <v>2.285295994812623</v>
      </c>
      <c r="AA22">
        <v>2.2013547751994338</v>
      </c>
      <c r="AB22">
        <v>2.6411949559813359</v>
      </c>
      <c r="AC22">
        <v>2.1316501924011391</v>
      </c>
      <c r="AD22">
        <v>2.6306763665634212</v>
      </c>
      <c r="AE22">
        <v>3.9206716146029068</v>
      </c>
      <c r="AF22">
        <v>3.8453011230158149</v>
      </c>
      <c r="AH22">
        <v>1.4217123637849001</v>
      </c>
      <c r="AI22">
        <v>0.65986096840933894</v>
      </c>
      <c r="AJ22">
        <v>0.65935358540154998</v>
      </c>
      <c r="AK22">
        <v>3.597171958198305</v>
      </c>
      <c r="AL22">
        <v>0.6555716809991281</v>
      </c>
      <c r="AM22">
        <v>3.6908342077920682</v>
      </c>
      <c r="AN22">
        <v>0.74206847141031174</v>
      </c>
      <c r="AO22">
        <v>2.2013547751994338</v>
      </c>
      <c r="AP22">
        <v>0.78099367039976642</v>
      </c>
      <c r="AQ22">
        <v>1.2110066578025001</v>
      </c>
      <c r="AR22">
        <v>0.47910683800000697</v>
      </c>
      <c r="AS22">
        <v>3.9206716146029068</v>
      </c>
      <c r="AT22">
        <v>1.8540280426037501</v>
      </c>
      <c r="AV22">
        <v>0.25599903900292698</v>
      </c>
    </row>
    <row r="23" spans="1:48" x14ac:dyDescent="0.3">
      <c r="A23">
        <v>22</v>
      </c>
      <c r="B23" t="s">
        <v>42</v>
      </c>
      <c r="C23" t="s">
        <v>37</v>
      </c>
      <c r="D23" t="s">
        <v>38</v>
      </c>
      <c r="E23" s="3">
        <v>0</v>
      </c>
      <c r="F23">
        <v>878753.2</v>
      </c>
      <c r="G23">
        <v>2296611.2000000002</v>
      </c>
      <c r="H23">
        <v>2317509.7999999998</v>
      </c>
      <c r="I23">
        <v>1835525</v>
      </c>
      <c r="J23">
        <v>1551118.2</v>
      </c>
      <c r="K23">
        <v>1534932.2</v>
      </c>
      <c r="L23">
        <v>1307091.3999999999</v>
      </c>
      <c r="M23">
        <v>1062859</v>
      </c>
      <c r="N23">
        <v>2451703.7999999998</v>
      </c>
      <c r="O23">
        <v>4322342.5999999996</v>
      </c>
      <c r="P23">
        <v>4296701.8</v>
      </c>
      <c r="Q23">
        <v>4812924.4000000004</v>
      </c>
      <c r="R23">
        <v>6704022.4000000004</v>
      </c>
      <c r="T23">
        <v>1.0887633255915721</v>
      </c>
      <c r="U23">
        <v>2.005698591808323</v>
      </c>
      <c r="V23">
        <v>1.9845337256265341</v>
      </c>
      <c r="W23">
        <v>2.0613365608034662</v>
      </c>
      <c r="X23">
        <v>1.393552898609778</v>
      </c>
      <c r="Y23">
        <v>1.92853439199971</v>
      </c>
      <c r="Z23">
        <v>1.7608765344193671</v>
      </c>
      <c r="AA23">
        <v>1.1946752342046241</v>
      </c>
      <c r="AB23">
        <v>2.2831401358009318</v>
      </c>
      <c r="AC23">
        <v>2.091101036779583</v>
      </c>
      <c r="AD23">
        <v>2.6852558477781709</v>
      </c>
      <c r="AE23">
        <v>4.3083834327931978</v>
      </c>
      <c r="AF23">
        <v>4.6553478700050617</v>
      </c>
      <c r="AH23">
        <v>1.0887633255915721</v>
      </c>
      <c r="AI23">
        <v>0.6135944443987682</v>
      </c>
      <c r="AJ23">
        <v>0.61427386719733479</v>
      </c>
      <c r="AK23">
        <v>2.0613365608034662</v>
      </c>
      <c r="AL23">
        <v>0.55695326020941138</v>
      </c>
      <c r="AM23">
        <v>1.92853439199971</v>
      </c>
      <c r="AN23">
        <v>0.58315017140121195</v>
      </c>
      <c r="AO23">
        <v>1.1946752342046241</v>
      </c>
      <c r="AP23">
        <v>0.66825126119656486</v>
      </c>
      <c r="AQ23">
        <v>1.2035965583752839</v>
      </c>
      <c r="AR23">
        <v>0.48767374017043041</v>
      </c>
      <c r="AS23">
        <v>4.3083834327931978</v>
      </c>
      <c r="AT23">
        <v>1.9270878606010231</v>
      </c>
      <c r="AV23">
        <v>0.25266495140385808</v>
      </c>
    </row>
    <row r="24" spans="1:48" x14ac:dyDescent="0.3">
      <c r="A24">
        <v>22</v>
      </c>
      <c r="B24" t="s">
        <v>43</v>
      </c>
      <c r="C24" t="s">
        <v>37</v>
      </c>
      <c r="D24" t="s">
        <v>38</v>
      </c>
      <c r="E24" s="3">
        <v>0</v>
      </c>
      <c r="F24">
        <v>1877990.2</v>
      </c>
      <c r="G24">
        <v>1315631.2</v>
      </c>
      <c r="H24">
        <v>1321856.3999999999</v>
      </c>
      <c r="I24">
        <v>1753422.2</v>
      </c>
      <c r="J24">
        <v>643770.80000000005</v>
      </c>
      <c r="K24">
        <v>2376156</v>
      </c>
      <c r="L24">
        <v>632468.6</v>
      </c>
      <c r="M24">
        <v>1693590.8</v>
      </c>
      <c r="N24">
        <v>472895.8</v>
      </c>
      <c r="O24">
        <v>4319504.5999999996</v>
      </c>
      <c r="P24">
        <v>4276185.2</v>
      </c>
      <c r="Q24">
        <v>6489848.2000000002</v>
      </c>
      <c r="R24">
        <v>1606496</v>
      </c>
      <c r="T24">
        <v>1.8576766971964389</v>
      </c>
      <c r="U24">
        <v>1.2973075511807111</v>
      </c>
      <c r="V24">
        <v>1.272750542603899</v>
      </c>
      <c r="W24">
        <v>2.0880260256060859</v>
      </c>
      <c r="X24">
        <v>1.044652267993661</v>
      </c>
      <c r="Y24">
        <v>2.4117997282010042</v>
      </c>
      <c r="Z24">
        <v>1.533109039819101</v>
      </c>
      <c r="AA24">
        <v>1.863182327797404</v>
      </c>
      <c r="AB24">
        <v>0.78670735119958413</v>
      </c>
      <c r="AC24">
        <v>2.0938566016091502</v>
      </c>
      <c r="AD24">
        <v>2.6608110582514199</v>
      </c>
      <c r="AE24">
        <v>4.9218337116122708</v>
      </c>
      <c r="AF24">
        <v>2.362744152790401</v>
      </c>
      <c r="AH24">
        <v>1.8576766971964389</v>
      </c>
      <c r="AI24">
        <v>0.53808906998019668</v>
      </c>
      <c r="AJ24">
        <v>0.51969899499090388</v>
      </c>
      <c r="AK24">
        <v>2.0880260256060859</v>
      </c>
      <c r="AL24">
        <v>0.43096573859802451</v>
      </c>
      <c r="AM24">
        <v>2.4117997282010042</v>
      </c>
      <c r="AN24">
        <v>0.5000810799945612</v>
      </c>
      <c r="AO24">
        <v>1.863182327797404</v>
      </c>
      <c r="AP24">
        <v>0.40475731238839219</v>
      </c>
      <c r="AQ24">
        <v>1.2075120733992659</v>
      </c>
      <c r="AR24">
        <v>0.48397064863238481</v>
      </c>
      <c r="AS24">
        <v>4.9218337116122708</v>
      </c>
      <c r="AT24">
        <v>0.99278525518020611</v>
      </c>
      <c r="AV24">
        <v>0.25534657478565348</v>
      </c>
    </row>
    <row r="25" spans="1:48" x14ac:dyDescent="0.3">
      <c r="A25">
        <v>22</v>
      </c>
      <c r="B25" t="s">
        <v>44</v>
      </c>
      <c r="C25" t="s">
        <v>37</v>
      </c>
      <c r="D25" t="s">
        <v>38</v>
      </c>
      <c r="E25" s="3">
        <v>1</v>
      </c>
      <c r="F25">
        <v>371955.6</v>
      </c>
      <c r="G25">
        <v>331941.40000000002</v>
      </c>
      <c r="H25">
        <v>333105.8</v>
      </c>
      <c r="I25">
        <v>240817.6</v>
      </c>
      <c r="J25">
        <v>217121</v>
      </c>
      <c r="K25">
        <v>271052.2</v>
      </c>
      <c r="L25">
        <v>225112.2</v>
      </c>
      <c r="M25">
        <v>47009</v>
      </c>
      <c r="N25">
        <v>53970.8</v>
      </c>
      <c r="O25">
        <v>4421463</v>
      </c>
      <c r="P25">
        <v>3363666.8</v>
      </c>
      <c r="Q25">
        <v>381348.6</v>
      </c>
      <c r="R25">
        <v>137087.20000000001</v>
      </c>
      <c r="T25">
        <v>0.58284504560870121</v>
      </c>
      <c r="U25">
        <v>0.71423179679550231</v>
      </c>
      <c r="V25">
        <v>0.69658569140592586</v>
      </c>
      <c r="W25">
        <v>0.56161950579262343</v>
      </c>
      <c r="X25">
        <v>0.68752110821660606</v>
      </c>
      <c r="Y25">
        <v>0.98715633800020441</v>
      </c>
      <c r="Z25">
        <v>1.235497950593708</v>
      </c>
      <c r="AA25">
        <v>0.1631985898013226</v>
      </c>
      <c r="AB25">
        <v>0.42982887502294032</v>
      </c>
      <c r="AC25">
        <v>2.1169326421979351</v>
      </c>
      <c r="AD25">
        <v>1.9559440713142979</v>
      </c>
      <c r="AE25">
        <v>1.0689176716026849</v>
      </c>
      <c r="AF25">
        <v>0.69882863600505518</v>
      </c>
      <c r="AH25">
        <v>0.58284504560870121</v>
      </c>
      <c r="AI25">
        <v>0.36219925500918182</v>
      </c>
      <c r="AJ25">
        <v>0.34649064959376119</v>
      </c>
      <c r="AK25">
        <v>0.56161950579262343</v>
      </c>
      <c r="AL25">
        <v>0.33831546161090947</v>
      </c>
      <c r="AM25">
        <v>0.98715633800020441</v>
      </c>
      <c r="AN25">
        <v>0.42331494619720622</v>
      </c>
      <c r="AO25">
        <v>0.1631985898013226</v>
      </c>
      <c r="AP25">
        <v>0.30964658720768051</v>
      </c>
      <c r="AQ25">
        <v>1.2243361225933771</v>
      </c>
      <c r="AR25">
        <v>0.42855656878091403</v>
      </c>
      <c r="AS25">
        <v>1.0689176716026849</v>
      </c>
      <c r="AT25">
        <v>0.46562615439761429</v>
      </c>
      <c r="AV25">
        <v>0.25605902200331909</v>
      </c>
    </row>
    <row r="26" spans="1:48" x14ac:dyDescent="0.3">
      <c r="A26">
        <v>22</v>
      </c>
      <c r="B26" t="s">
        <v>45</v>
      </c>
      <c r="C26" t="s">
        <v>37</v>
      </c>
      <c r="D26" t="s">
        <v>38</v>
      </c>
      <c r="E26" s="3">
        <v>0</v>
      </c>
      <c r="F26">
        <v>1837465.8</v>
      </c>
      <c r="G26">
        <v>2202193</v>
      </c>
      <c r="H26">
        <v>2204705.6</v>
      </c>
      <c r="I26">
        <v>2405833.6</v>
      </c>
      <c r="J26">
        <v>712903.2</v>
      </c>
      <c r="K26">
        <v>2320475.7999999998</v>
      </c>
      <c r="L26">
        <v>799183.8</v>
      </c>
      <c r="M26">
        <v>2353739.6</v>
      </c>
      <c r="N26">
        <v>1603326.2</v>
      </c>
      <c r="O26">
        <v>4447722.5999999996</v>
      </c>
      <c r="P26">
        <v>3431989.6</v>
      </c>
      <c r="Q26">
        <v>6130407.5999999996</v>
      </c>
      <c r="R26">
        <v>3707076.4</v>
      </c>
      <c r="T26">
        <v>1.872597576194676</v>
      </c>
      <c r="U26">
        <v>2.0380918084410951</v>
      </c>
      <c r="V26">
        <v>2.0035492705937941</v>
      </c>
      <c r="W26">
        <v>1.841880422597751</v>
      </c>
      <c r="X26">
        <v>1.20377351976349</v>
      </c>
      <c r="Y26">
        <v>1.773718232609099</v>
      </c>
      <c r="Z26">
        <v>1.5545290991838561</v>
      </c>
      <c r="AA26">
        <v>2.7611907879938369</v>
      </c>
      <c r="AB26">
        <v>2.1273288202064582</v>
      </c>
      <c r="AC26">
        <v>2.1360406416060869</v>
      </c>
      <c r="AD26">
        <v>2.0197590158146341</v>
      </c>
      <c r="AE26">
        <v>4.8414250347996131</v>
      </c>
      <c r="AF26">
        <v>3.624871413595975</v>
      </c>
      <c r="AH26">
        <v>1.872597576194676</v>
      </c>
      <c r="AI26">
        <v>0.64970984160318035</v>
      </c>
      <c r="AJ26">
        <v>0.62806093560066079</v>
      </c>
      <c r="AK26">
        <v>1.841880422597751</v>
      </c>
      <c r="AL26">
        <v>0.44321603958378553</v>
      </c>
      <c r="AM26">
        <v>1.773718232609099</v>
      </c>
      <c r="AN26">
        <v>0.50206527499249209</v>
      </c>
      <c r="AO26">
        <v>2.7611907879938369</v>
      </c>
      <c r="AP26">
        <v>0.73571798379416575</v>
      </c>
      <c r="AQ26">
        <v>1.2506322768051179</v>
      </c>
      <c r="AR26">
        <v>0.43577865678817029</v>
      </c>
      <c r="AS26">
        <v>4.8414250347996131</v>
      </c>
      <c r="AT26">
        <v>1.531703479395947</v>
      </c>
      <c r="AV26">
        <v>0.25991706220665939</v>
      </c>
    </row>
    <row r="27" spans="1:48" x14ac:dyDescent="0.3">
      <c r="A27">
        <v>23</v>
      </c>
      <c r="B27" t="s">
        <v>46</v>
      </c>
      <c r="C27" t="s">
        <v>47</v>
      </c>
      <c r="D27" t="s">
        <v>48</v>
      </c>
      <c r="E27" s="3">
        <v>0</v>
      </c>
      <c r="F27">
        <v>2025390.8</v>
      </c>
      <c r="G27">
        <v>2025390.8</v>
      </c>
      <c r="H27">
        <v>2025390.8</v>
      </c>
      <c r="I27">
        <v>2641017.4</v>
      </c>
      <c r="J27">
        <v>2641017.4</v>
      </c>
      <c r="K27">
        <v>2597285.4</v>
      </c>
      <c r="L27">
        <v>2597285.4</v>
      </c>
      <c r="M27">
        <v>1830487.8</v>
      </c>
      <c r="N27">
        <v>1830487.8</v>
      </c>
      <c r="O27">
        <v>4660083.8</v>
      </c>
      <c r="P27">
        <v>4660083.8</v>
      </c>
      <c r="Q27">
        <v>3086489.6000000001</v>
      </c>
      <c r="R27">
        <v>3086489.6000000001</v>
      </c>
      <c r="T27">
        <v>2.363455368805444</v>
      </c>
      <c r="U27">
        <v>2.363455368805444</v>
      </c>
      <c r="V27">
        <v>2.363455368805444</v>
      </c>
      <c r="W27">
        <v>4.0733983453945246</v>
      </c>
      <c r="X27">
        <v>4.0733983453945246</v>
      </c>
      <c r="Y27">
        <v>3.9483658389945049</v>
      </c>
      <c r="Z27">
        <v>3.9483658389945049</v>
      </c>
      <c r="AA27">
        <v>2.6368803589954042</v>
      </c>
      <c r="AB27">
        <v>2.6368803589954042</v>
      </c>
      <c r="AC27">
        <v>2.9550440568185881</v>
      </c>
      <c r="AD27">
        <v>2.9550440568185881</v>
      </c>
      <c r="AE27">
        <v>4.2255979909910817</v>
      </c>
      <c r="AF27">
        <v>4.2255979909910817</v>
      </c>
      <c r="AH27">
        <v>2.363455368805444</v>
      </c>
      <c r="AI27">
        <v>2.363455368805444</v>
      </c>
      <c r="AJ27">
        <v>2.363455368805444</v>
      </c>
      <c r="AK27">
        <v>4.0733983453945246</v>
      </c>
      <c r="AL27">
        <v>4.0733983453945246</v>
      </c>
      <c r="AM27">
        <v>3.9483658389945049</v>
      </c>
      <c r="AN27">
        <v>3.9483658389945049</v>
      </c>
      <c r="AO27">
        <v>2.6368803589954042</v>
      </c>
      <c r="AP27">
        <v>2.6368803589954042</v>
      </c>
      <c r="AQ27">
        <v>1.5235531738086141</v>
      </c>
      <c r="AR27">
        <v>1.5235531738086141</v>
      </c>
      <c r="AS27">
        <v>4.2255979909910817</v>
      </c>
      <c r="AT27">
        <v>4.2255979909910817</v>
      </c>
      <c r="AV27">
        <v>0</v>
      </c>
    </row>
    <row r="28" spans="1:48" x14ac:dyDescent="0.3">
      <c r="A28">
        <v>23</v>
      </c>
      <c r="B28" t="s">
        <v>49</v>
      </c>
      <c r="C28" t="s">
        <v>47</v>
      </c>
      <c r="D28" t="s">
        <v>48</v>
      </c>
      <c r="E28" s="3">
        <v>0</v>
      </c>
      <c r="F28">
        <v>510392.8</v>
      </c>
      <c r="G28">
        <v>510392.8</v>
      </c>
      <c r="H28">
        <v>510392.8</v>
      </c>
      <c r="I28">
        <v>376094.8</v>
      </c>
      <c r="J28">
        <v>376094.8</v>
      </c>
      <c r="K28">
        <v>358912</v>
      </c>
      <c r="L28">
        <v>358912</v>
      </c>
      <c r="M28">
        <v>129116.6</v>
      </c>
      <c r="N28">
        <v>129116.6</v>
      </c>
      <c r="O28">
        <v>4658087</v>
      </c>
      <c r="P28">
        <v>4658087</v>
      </c>
      <c r="Q28">
        <v>306763.40000000002</v>
      </c>
      <c r="R28">
        <v>306763.40000000002</v>
      </c>
      <c r="T28">
        <v>0.89708017800003292</v>
      </c>
      <c r="U28">
        <v>0.89708017800003292</v>
      </c>
      <c r="V28">
        <v>0.89708017800003292</v>
      </c>
      <c r="W28">
        <v>0.97871619759243911</v>
      </c>
      <c r="X28">
        <v>0.97871619759243911</v>
      </c>
      <c r="Y28">
        <v>1.1340023634023959</v>
      </c>
      <c r="Z28">
        <v>1.1340023634023959</v>
      </c>
      <c r="AA28">
        <v>0.26599712679162618</v>
      </c>
      <c r="AB28">
        <v>0.26599712679162618</v>
      </c>
      <c r="AC28">
        <v>2.9832549241895321</v>
      </c>
      <c r="AD28">
        <v>2.9832549241895321</v>
      </c>
      <c r="AE28">
        <v>0.89159635639516632</v>
      </c>
      <c r="AF28">
        <v>0.89159635639516632</v>
      </c>
      <c r="AH28">
        <v>0.89708017800003292</v>
      </c>
      <c r="AI28">
        <v>0.89708017800003292</v>
      </c>
      <c r="AJ28">
        <v>0.89708017800003292</v>
      </c>
      <c r="AK28">
        <v>0.97871619759243911</v>
      </c>
      <c r="AL28">
        <v>0.97871619759243911</v>
      </c>
      <c r="AM28">
        <v>1.1340023634023959</v>
      </c>
      <c r="AN28">
        <v>1.1340023634023959</v>
      </c>
      <c r="AO28">
        <v>0.26599712679162618</v>
      </c>
      <c r="AP28">
        <v>0.26599712679162618</v>
      </c>
      <c r="AQ28">
        <v>1.549038516794099</v>
      </c>
      <c r="AR28">
        <v>1.549038516794099</v>
      </c>
      <c r="AS28">
        <v>0.89159635639516632</v>
      </c>
      <c r="AT28">
        <v>0.89159635639516632</v>
      </c>
      <c r="AV28">
        <v>0</v>
      </c>
    </row>
    <row r="29" spans="1:48" x14ac:dyDescent="0.3">
      <c r="A29">
        <v>23</v>
      </c>
      <c r="B29" t="s">
        <v>50</v>
      </c>
      <c r="C29" t="s">
        <v>47</v>
      </c>
      <c r="D29" t="s">
        <v>48</v>
      </c>
      <c r="E29" s="3">
        <v>0</v>
      </c>
      <c r="F29">
        <v>1949791.8</v>
      </c>
      <c r="G29">
        <v>1949791.8</v>
      </c>
      <c r="H29">
        <v>1949791.8</v>
      </c>
      <c r="I29">
        <v>2545954.4</v>
      </c>
      <c r="J29">
        <v>2545954.4</v>
      </c>
      <c r="K29">
        <v>2458691.7999999998</v>
      </c>
      <c r="L29">
        <v>2458691.7999999998</v>
      </c>
      <c r="M29">
        <v>1544494.4</v>
      </c>
      <c r="N29">
        <v>1544494.4</v>
      </c>
      <c r="O29">
        <v>5350565.4000000004</v>
      </c>
      <c r="P29">
        <v>5350565.4000000004</v>
      </c>
      <c r="Q29">
        <v>5329729.2</v>
      </c>
      <c r="R29">
        <v>5329729.2</v>
      </c>
      <c r="T29">
        <v>2.076896541396855</v>
      </c>
      <c r="U29">
        <v>2.076896541396855</v>
      </c>
      <c r="V29">
        <v>2.076896541396855</v>
      </c>
      <c r="W29">
        <v>3.4585425070021301</v>
      </c>
      <c r="X29">
        <v>3.4585425070021301</v>
      </c>
      <c r="Y29">
        <v>3.3669903090049051</v>
      </c>
      <c r="Z29">
        <v>3.3669903090049051</v>
      </c>
      <c r="AA29">
        <v>2.982780759205343</v>
      </c>
      <c r="AB29">
        <v>2.982780759205343</v>
      </c>
      <c r="AC29">
        <v>3.4506846172327639</v>
      </c>
      <c r="AD29">
        <v>3.4506846172327639</v>
      </c>
      <c r="AE29">
        <v>4.6079837474040684</v>
      </c>
      <c r="AF29">
        <v>4.6079837474040684</v>
      </c>
      <c r="AH29">
        <v>2.076896541396855</v>
      </c>
      <c r="AI29">
        <v>2.076896541396855</v>
      </c>
      <c r="AJ29">
        <v>2.076896541396855</v>
      </c>
      <c r="AK29">
        <v>3.4585425070021301</v>
      </c>
      <c r="AL29">
        <v>3.4585425070021301</v>
      </c>
      <c r="AM29">
        <v>3.3669903090049051</v>
      </c>
      <c r="AN29">
        <v>3.3669903090049051</v>
      </c>
      <c r="AO29">
        <v>2.982780759205343</v>
      </c>
      <c r="AP29">
        <v>2.982780759205343</v>
      </c>
      <c r="AQ29">
        <v>1.8051443884323819</v>
      </c>
      <c r="AR29">
        <v>1.8051443884323819</v>
      </c>
      <c r="AS29">
        <v>4.6079837474040684</v>
      </c>
      <c r="AT29">
        <v>4.6079837474040684</v>
      </c>
      <c r="AV29">
        <v>0</v>
      </c>
    </row>
    <row r="30" spans="1:48" x14ac:dyDescent="0.3">
      <c r="A30">
        <v>23</v>
      </c>
      <c r="B30" t="s">
        <v>51</v>
      </c>
      <c r="C30" t="s">
        <v>47</v>
      </c>
      <c r="D30" t="s">
        <v>48</v>
      </c>
      <c r="E30" s="3">
        <v>0</v>
      </c>
      <c r="F30">
        <v>1020647.2</v>
      </c>
      <c r="G30">
        <v>1020647.2</v>
      </c>
      <c r="H30">
        <v>1020647.2</v>
      </c>
      <c r="I30">
        <v>238307</v>
      </c>
      <c r="J30">
        <v>238307</v>
      </c>
      <c r="K30">
        <v>274444.2</v>
      </c>
      <c r="L30">
        <v>274444.2</v>
      </c>
      <c r="M30">
        <v>153050.6</v>
      </c>
      <c r="N30">
        <v>153050.6</v>
      </c>
      <c r="O30">
        <v>5344374.2</v>
      </c>
      <c r="P30">
        <v>5344374.2</v>
      </c>
      <c r="Q30">
        <v>69272.600000000006</v>
      </c>
      <c r="R30">
        <v>69272.600000000006</v>
      </c>
      <c r="T30">
        <v>1.096038872993085</v>
      </c>
      <c r="U30">
        <v>1.096038872993085</v>
      </c>
      <c r="V30">
        <v>1.096038872993085</v>
      </c>
      <c r="W30">
        <v>0.77237922059721309</v>
      </c>
      <c r="X30">
        <v>0.77237922059721309</v>
      </c>
      <c r="Y30">
        <v>1.079485477402341</v>
      </c>
      <c r="Z30">
        <v>1.079485477402341</v>
      </c>
      <c r="AA30">
        <v>0.92440880179638041</v>
      </c>
      <c r="AB30">
        <v>0.92440880179638041</v>
      </c>
      <c r="AC30">
        <v>3.480453076201957</v>
      </c>
      <c r="AD30">
        <v>3.480453076201957</v>
      </c>
      <c r="AE30">
        <v>0.24739845019648779</v>
      </c>
      <c r="AF30">
        <v>0.24739845019648779</v>
      </c>
      <c r="AH30">
        <v>1.096038872993085</v>
      </c>
      <c r="AI30">
        <v>1.096038872993085</v>
      </c>
      <c r="AJ30">
        <v>1.096038872993085</v>
      </c>
      <c r="AK30">
        <v>0.77237922059721309</v>
      </c>
      <c r="AL30">
        <v>0.77237922059721309</v>
      </c>
      <c r="AM30">
        <v>1.079485477402341</v>
      </c>
      <c r="AN30">
        <v>1.079485477402341</v>
      </c>
      <c r="AO30">
        <v>0.92440880179638041</v>
      </c>
      <c r="AP30">
        <v>0.92440880179638041</v>
      </c>
      <c r="AQ30">
        <v>1.820615245390218</v>
      </c>
      <c r="AR30">
        <v>1.820615245390218</v>
      </c>
      <c r="AS30">
        <v>0.24739845019648779</v>
      </c>
      <c r="AT30">
        <v>0.24739845019648779</v>
      </c>
      <c r="AV30">
        <v>0</v>
      </c>
    </row>
    <row r="31" spans="1:48" x14ac:dyDescent="0.3">
      <c r="A31">
        <v>23</v>
      </c>
      <c r="B31" t="s">
        <v>52</v>
      </c>
      <c r="C31" t="s">
        <v>47</v>
      </c>
      <c r="D31" t="s">
        <v>48</v>
      </c>
      <c r="E31" s="3">
        <v>1</v>
      </c>
      <c r="F31">
        <v>2208859.6</v>
      </c>
      <c r="G31">
        <v>2208859.6</v>
      </c>
      <c r="H31">
        <v>2208859.6</v>
      </c>
      <c r="I31">
        <v>869035.6</v>
      </c>
      <c r="J31">
        <v>869035.6</v>
      </c>
      <c r="K31">
        <v>1232562.8</v>
      </c>
      <c r="L31">
        <v>1232562.8</v>
      </c>
      <c r="M31">
        <v>692113</v>
      </c>
      <c r="N31">
        <v>692113</v>
      </c>
      <c r="O31">
        <v>4485341.8</v>
      </c>
      <c r="P31">
        <v>4485341.8</v>
      </c>
      <c r="Q31">
        <v>2299098.2000000002</v>
      </c>
      <c r="R31">
        <v>2299098.2000000002</v>
      </c>
      <c r="T31">
        <v>2.4350402106065299</v>
      </c>
      <c r="U31">
        <v>2.4350402106065299</v>
      </c>
      <c r="V31">
        <v>2.4350402106065299</v>
      </c>
      <c r="W31">
        <v>1.7621637156116781</v>
      </c>
      <c r="X31">
        <v>1.7621637156116781</v>
      </c>
      <c r="Y31">
        <v>2.0273468886036432</v>
      </c>
      <c r="Z31">
        <v>2.0273468886036432</v>
      </c>
      <c r="AA31">
        <v>2.1375239810033242</v>
      </c>
      <c r="AB31">
        <v>2.1375239810033242</v>
      </c>
      <c r="AC31">
        <v>2.743663392582675</v>
      </c>
      <c r="AD31">
        <v>2.743663392582675</v>
      </c>
      <c r="AE31">
        <v>3.6812155205989261</v>
      </c>
      <c r="AF31">
        <v>3.6812155205989261</v>
      </c>
      <c r="AH31">
        <v>2.4350402106065299</v>
      </c>
      <c r="AI31">
        <v>2.4350402106065299</v>
      </c>
      <c r="AJ31">
        <v>2.4350402106065299</v>
      </c>
      <c r="AK31">
        <v>1.7621637156116781</v>
      </c>
      <c r="AL31">
        <v>1.7621637156116781</v>
      </c>
      <c r="AM31">
        <v>2.0273468886036432</v>
      </c>
      <c r="AN31">
        <v>2.0273468886036432</v>
      </c>
      <c r="AO31">
        <v>2.1375239810033242</v>
      </c>
      <c r="AP31">
        <v>2.1375239810033242</v>
      </c>
      <c r="AQ31">
        <v>1.419136824191082</v>
      </c>
      <c r="AR31">
        <v>1.419136824191082</v>
      </c>
      <c r="AS31">
        <v>3.6812155205989261</v>
      </c>
      <c r="AT31">
        <v>3.6812155205989261</v>
      </c>
      <c r="AV31">
        <v>0</v>
      </c>
    </row>
    <row r="32" spans="1:48" x14ac:dyDescent="0.3">
      <c r="A32">
        <v>23</v>
      </c>
      <c r="B32" t="s">
        <v>53</v>
      </c>
      <c r="C32" t="s">
        <v>47</v>
      </c>
      <c r="D32" t="s">
        <v>48</v>
      </c>
      <c r="E32" s="3">
        <v>0</v>
      </c>
      <c r="F32">
        <v>896596.6</v>
      </c>
      <c r="G32">
        <v>896596.6</v>
      </c>
      <c r="H32">
        <v>896596.6</v>
      </c>
      <c r="I32">
        <v>357592.6</v>
      </c>
      <c r="J32">
        <v>357592.6</v>
      </c>
      <c r="K32">
        <v>371117.2</v>
      </c>
      <c r="L32">
        <v>371117.2</v>
      </c>
      <c r="M32">
        <v>274926.2</v>
      </c>
      <c r="N32">
        <v>274926.2</v>
      </c>
      <c r="O32">
        <v>4488895</v>
      </c>
      <c r="P32">
        <v>4488895</v>
      </c>
      <c r="Q32">
        <v>213845.8</v>
      </c>
      <c r="R32">
        <v>213845.8</v>
      </c>
      <c r="T32">
        <v>1.1350030296074689</v>
      </c>
      <c r="U32">
        <v>1.1350030296074689</v>
      </c>
      <c r="V32">
        <v>1.1350030296074689</v>
      </c>
      <c r="W32">
        <v>0.8924532504053786</v>
      </c>
      <c r="X32">
        <v>0.8924532504053786</v>
      </c>
      <c r="Y32">
        <v>1.120024519809522</v>
      </c>
      <c r="Z32">
        <v>1.120024519809522</v>
      </c>
      <c r="AA32">
        <v>1.3822964520077221</v>
      </c>
      <c r="AB32">
        <v>1.3822964520077221</v>
      </c>
      <c r="AC32">
        <v>2.779502392618451</v>
      </c>
      <c r="AD32">
        <v>2.779502392618451</v>
      </c>
      <c r="AE32">
        <v>0.88350544419954535</v>
      </c>
      <c r="AF32">
        <v>0.88350544419954535</v>
      </c>
      <c r="AH32">
        <v>1.1350030296074689</v>
      </c>
      <c r="AI32">
        <v>1.1350030296074689</v>
      </c>
      <c r="AJ32">
        <v>1.1350030296074689</v>
      </c>
      <c r="AK32">
        <v>0.8924532504053786</v>
      </c>
      <c r="AL32">
        <v>0.8924532504053786</v>
      </c>
      <c r="AM32">
        <v>1.120024519809522</v>
      </c>
      <c r="AN32">
        <v>1.120024519809522</v>
      </c>
      <c r="AO32">
        <v>1.3822964520077221</v>
      </c>
      <c r="AP32">
        <v>1.3822964520077221</v>
      </c>
      <c r="AQ32">
        <v>1.4330150618217889</v>
      </c>
      <c r="AR32">
        <v>1.4330150618217889</v>
      </c>
      <c r="AS32">
        <v>0.88350544419954535</v>
      </c>
      <c r="AT32">
        <v>0.88350544419954535</v>
      </c>
      <c r="AV32">
        <v>0</v>
      </c>
    </row>
    <row r="33" spans="1:48" x14ac:dyDescent="0.3">
      <c r="A33">
        <v>23</v>
      </c>
      <c r="B33" t="s">
        <v>54</v>
      </c>
      <c r="C33" t="s">
        <v>47</v>
      </c>
      <c r="D33" t="s">
        <v>48</v>
      </c>
      <c r="E33" s="3">
        <v>0</v>
      </c>
      <c r="F33">
        <v>3045439.2</v>
      </c>
      <c r="G33">
        <v>3045439.2</v>
      </c>
      <c r="H33">
        <v>3045439.2</v>
      </c>
      <c r="I33">
        <v>535062</v>
      </c>
      <c r="J33">
        <v>535062</v>
      </c>
      <c r="K33">
        <v>638939.19999999995</v>
      </c>
      <c r="L33">
        <v>638939.19999999995</v>
      </c>
      <c r="M33">
        <v>531586.4</v>
      </c>
      <c r="N33">
        <v>531586.4</v>
      </c>
      <c r="O33">
        <v>5304660</v>
      </c>
      <c r="P33">
        <v>5304660</v>
      </c>
      <c r="Q33">
        <v>1574101</v>
      </c>
      <c r="R33">
        <v>1574101</v>
      </c>
      <c r="T33">
        <v>2.7892714513989629</v>
      </c>
      <c r="U33">
        <v>2.7892714513989629</v>
      </c>
      <c r="V33">
        <v>2.7892714513989629</v>
      </c>
      <c r="W33">
        <v>1.126414998003747</v>
      </c>
      <c r="X33">
        <v>1.126414998003747</v>
      </c>
      <c r="Y33">
        <v>1.455407518794527</v>
      </c>
      <c r="Z33">
        <v>1.455407518794527</v>
      </c>
      <c r="AA33">
        <v>1.7931359489972241</v>
      </c>
      <c r="AB33">
        <v>1.7931359489972241</v>
      </c>
      <c r="AC33">
        <v>3.373874333419371</v>
      </c>
      <c r="AD33">
        <v>3.373874333419371</v>
      </c>
      <c r="AE33">
        <v>3.5040193171997092</v>
      </c>
      <c r="AF33">
        <v>3.5040193171997092</v>
      </c>
      <c r="AH33">
        <v>2.7892714513989629</v>
      </c>
      <c r="AI33">
        <v>2.7892714513989629</v>
      </c>
      <c r="AJ33">
        <v>2.7892714513989629</v>
      </c>
      <c r="AK33">
        <v>1.126414998003747</v>
      </c>
      <c r="AL33">
        <v>1.126414998003747</v>
      </c>
      <c r="AM33">
        <v>1.455407518794527</v>
      </c>
      <c r="AN33">
        <v>1.455407518794527</v>
      </c>
      <c r="AO33">
        <v>1.7931359489972241</v>
      </c>
      <c r="AP33">
        <v>1.7931359489972241</v>
      </c>
      <c r="AQ33">
        <v>1.743646141409408</v>
      </c>
      <c r="AR33">
        <v>1.743646141409408</v>
      </c>
      <c r="AS33">
        <v>3.5040193171997092</v>
      </c>
      <c r="AT33">
        <v>3.5040193171997092</v>
      </c>
      <c r="AV33">
        <v>0</v>
      </c>
    </row>
    <row r="34" spans="1:48" x14ac:dyDescent="0.3">
      <c r="A34">
        <v>23</v>
      </c>
      <c r="B34" t="s">
        <v>55</v>
      </c>
      <c r="C34" t="s">
        <v>47</v>
      </c>
      <c r="D34" t="s">
        <v>48</v>
      </c>
      <c r="E34" s="3">
        <v>0</v>
      </c>
      <c r="F34">
        <v>2290113.4</v>
      </c>
      <c r="G34">
        <v>2290113.4</v>
      </c>
      <c r="H34">
        <v>2290113.4</v>
      </c>
      <c r="I34">
        <v>270661.59999999998</v>
      </c>
      <c r="J34">
        <v>270661.59999999998</v>
      </c>
      <c r="K34">
        <v>300975</v>
      </c>
      <c r="L34">
        <v>300975</v>
      </c>
      <c r="M34">
        <v>266982.40000000002</v>
      </c>
      <c r="N34">
        <v>266982.40000000002</v>
      </c>
      <c r="O34">
        <v>5285159.8</v>
      </c>
      <c r="P34">
        <v>5285159.8</v>
      </c>
      <c r="Q34">
        <v>40982.6</v>
      </c>
      <c r="R34">
        <v>40982.6</v>
      </c>
      <c r="T34">
        <v>1.961004825599957</v>
      </c>
      <c r="U34">
        <v>1.961004825599957</v>
      </c>
      <c r="V34">
        <v>1.961004825599957</v>
      </c>
      <c r="W34">
        <v>0.63357416479848327</v>
      </c>
      <c r="X34">
        <v>0.63357416479848327</v>
      </c>
      <c r="Y34">
        <v>1.075061120203463</v>
      </c>
      <c r="Z34">
        <v>1.075061120203463</v>
      </c>
      <c r="AA34">
        <v>1.274914314394118</v>
      </c>
      <c r="AB34">
        <v>1.274914314394118</v>
      </c>
      <c r="AC34">
        <v>3.3884386783931411</v>
      </c>
      <c r="AD34">
        <v>3.3884386783931411</v>
      </c>
      <c r="AE34">
        <v>0.22945327140041619</v>
      </c>
      <c r="AF34">
        <v>0.22945327140041619</v>
      </c>
      <c r="AH34">
        <v>1.961004825599957</v>
      </c>
      <c r="AI34">
        <v>1.961004825599957</v>
      </c>
      <c r="AJ34">
        <v>1.961004825599957</v>
      </c>
      <c r="AK34">
        <v>0.63357416479848327</v>
      </c>
      <c r="AL34">
        <v>0.63357416479848327</v>
      </c>
      <c r="AM34">
        <v>1.075061120203463</v>
      </c>
      <c r="AN34">
        <v>1.075061120203463</v>
      </c>
      <c r="AO34">
        <v>1.274914314394118</v>
      </c>
      <c r="AP34">
        <v>1.274914314394118</v>
      </c>
      <c r="AQ34">
        <v>1.738877078396035</v>
      </c>
      <c r="AR34">
        <v>1.738877078396035</v>
      </c>
      <c r="AS34">
        <v>0.22945327140041619</v>
      </c>
      <c r="AT34">
        <v>0.22945327140041619</v>
      </c>
      <c r="AV34">
        <v>0</v>
      </c>
    </row>
    <row r="35" spans="1:48" x14ac:dyDescent="0.3">
      <c r="A35">
        <v>23</v>
      </c>
      <c r="B35" t="s">
        <v>56</v>
      </c>
      <c r="C35" t="s">
        <v>47</v>
      </c>
      <c r="D35" t="s">
        <v>48</v>
      </c>
      <c r="E35" s="3">
        <v>0</v>
      </c>
      <c r="F35">
        <v>8055849.7999999998</v>
      </c>
      <c r="G35">
        <v>8055849.7999999998</v>
      </c>
      <c r="H35">
        <v>8055849.7999999998</v>
      </c>
      <c r="I35">
        <v>44794298</v>
      </c>
      <c r="J35">
        <v>44794298</v>
      </c>
      <c r="K35">
        <v>64731602.799999997</v>
      </c>
      <c r="L35">
        <v>64731602.799999997</v>
      </c>
      <c r="M35">
        <v>12997115.6</v>
      </c>
      <c r="N35">
        <v>12997115.6</v>
      </c>
      <c r="O35">
        <v>8289557.2000000002</v>
      </c>
      <c r="P35">
        <v>8289557.2000000002</v>
      </c>
      <c r="Q35">
        <v>74116162.400000006</v>
      </c>
      <c r="R35">
        <v>74116162.400000006</v>
      </c>
      <c r="T35">
        <v>7.6275971131923139</v>
      </c>
      <c r="U35">
        <v>7.6275971131923139</v>
      </c>
      <c r="V35">
        <v>7.6275971131923139</v>
      </c>
      <c r="W35">
        <v>43.097886329214091</v>
      </c>
      <c r="X35">
        <v>43.097886329214091</v>
      </c>
      <c r="Y35">
        <v>63.708901526802222</v>
      </c>
      <c r="Z35">
        <v>63.708901526802222</v>
      </c>
      <c r="AA35">
        <v>10.194311438582369</v>
      </c>
      <c r="AB35">
        <v>10.194311438582369</v>
      </c>
      <c r="AC35">
        <v>6.9349615900136996</v>
      </c>
      <c r="AD35">
        <v>6.9349615900136996</v>
      </c>
      <c r="AE35">
        <v>32.828261969803137</v>
      </c>
      <c r="AF35">
        <v>32.828261969803137</v>
      </c>
      <c r="AH35">
        <v>7.6275971131923139</v>
      </c>
      <c r="AI35">
        <v>7.6275971131923139</v>
      </c>
      <c r="AJ35">
        <v>7.6275971131923139</v>
      </c>
      <c r="AK35">
        <v>43.097886329214091</v>
      </c>
      <c r="AL35">
        <v>43.097886329214091</v>
      </c>
      <c r="AM35">
        <v>63.708901526802222</v>
      </c>
      <c r="AN35">
        <v>63.708901526802222</v>
      </c>
      <c r="AO35">
        <v>10.194311438582369</v>
      </c>
      <c r="AP35">
        <v>10.194311438582369</v>
      </c>
      <c r="AQ35">
        <v>3.6460725434124468</v>
      </c>
      <c r="AR35">
        <v>3.6460725434124468</v>
      </c>
      <c r="AS35">
        <v>32.828261969803137</v>
      </c>
      <c r="AT35">
        <v>32.828261969803137</v>
      </c>
      <c r="AV35">
        <v>0</v>
      </c>
    </row>
    <row r="36" spans="1:48" x14ac:dyDescent="0.3">
      <c r="A36">
        <v>23</v>
      </c>
      <c r="B36" t="s">
        <v>57</v>
      </c>
      <c r="C36" t="s">
        <v>47</v>
      </c>
      <c r="D36" t="s">
        <v>48</v>
      </c>
      <c r="E36" s="3">
        <v>0</v>
      </c>
      <c r="F36">
        <v>11188592.4</v>
      </c>
      <c r="G36">
        <v>11188592.4</v>
      </c>
      <c r="H36">
        <v>11188592.4</v>
      </c>
      <c r="I36">
        <v>65436608.200000003</v>
      </c>
      <c r="J36">
        <v>65436608.200000003</v>
      </c>
      <c r="K36">
        <v>88076707.200000003</v>
      </c>
      <c r="L36">
        <v>88076707.200000003</v>
      </c>
      <c r="M36">
        <v>13756660.6</v>
      </c>
      <c r="N36">
        <v>13756660.6</v>
      </c>
      <c r="O36">
        <v>8299787.7999999998</v>
      </c>
      <c r="P36">
        <v>8299787.7999999998</v>
      </c>
      <c r="Q36">
        <v>97544876.200000003</v>
      </c>
      <c r="R36">
        <v>97544876.200000003</v>
      </c>
      <c r="T36">
        <v>10.12450405299314</v>
      </c>
      <c r="U36">
        <v>10.12450405299314</v>
      </c>
      <c r="V36">
        <v>10.12450405299314</v>
      </c>
      <c r="W36">
        <v>62.28605813899194</v>
      </c>
      <c r="X36">
        <v>62.28605813899194</v>
      </c>
      <c r="Y36">
        <v>85.687548743007937</v>
      </c>
      <c r="Z36">
        <v>85.687548743007937</v>
      </c>
      <c r="AA36">
        <v>11.449395689397351</v>
      </c>
      <c r="AB36">
        <v>11.449395689397351</v>
      </c>
      <c r="AC36">
        <v>6.9285605646087776</v>
      </c>
      <c r="AD36">
        <v>6.9285605646087776</v>
      </c>
      <c r="AE36">
        <v>45.384482291003224</v>
      </c>
      <c r="AF36">
        <v>45.384482291003224</v>
      </c>
      <c r="AH36">
        <v>10.12450405299314</v>
      </c>
      <c r="AI36">
        <v>10.12450405299314</v>
      </c>
      <c r="AJ36">
        <v>10.12450405299314</v>
      </c>
      <c r="AK36">
        <v>62.28605813899194</v>
      </c>
      <c r="AL36">
        <v>62.28605813899194</v>
      </c>
      <c r="AM36">
        <v>85.687548743007937</v>
      </c>
      <c r="AN36">
        <v>85.687548743007937</v>
      </c>
      <c r="AO36">
        <v>11.449395689397351</v>
      </c>
      <c r="AP36">
        <v>11.449395689397351</v>
      </c>
      <c r="AQ36">
        <v>3.655319820594741</v>
      </c>
      <c r="AR36">
        <v>3.655319820594741</v>
      </c>
      <c r="AS36">
        <v>45.384482291003224</v>
      </c>
      <c r="AT36">
        <v>45.384482291003224</v>
      </c>
      <c r="AV36">
        <v>0</v>
      </c>
    </row>
    <row r="37" spans="1:48" x14ac:dyDescent="0.3">
      <c r="A37">
        <v>23</v>
      </c>
      <c r="B37" t="s">
        <v>58</v>
      </c>
      <c r="C37" t="s">
        <v>47</v>
      </c>
      <c r="D37" t="s">
        <v>48</v>
      </c>
      <c r="E37" s="3">
        <v>0</v>
      </c>
      <c r="F37">
        <v>2119756</v>
      </c>
      <c r="G37">
        <v>2119756</v>
      </c>
      <c r="H37">
        <v>2119756</v>
      </c>
      <c r="I37">
        <v>2798305.8</v>
      </c>
      <c r="J37">
        <v>2798305.8</v>
      </c>
      <c r="K37">
        <v>7879274.5999999996</v>
      </c>
      <c r="L37">
        <v>7879274.5999999996</v>
      </c>
      <c r="M37">
        <v>2394989.4</v>
      </c>
      <c r="N37">
        <v>2394989.4</v>
      </c>
      <c r="O37">
        <v>5026362.5999999996</v>
      </c>
      <c r="P37">
        <v>5026362.5999999996</v>
      </c>
      <c r="Q37">
        <v>15958521.4</v>
      </c>
      <c r="R37">
        <v>15958521.4</v>
      </c>
      <c r="T37">
        <v>2.2742869906011038</v>
      </c>
      <c r="U37">
        <v>2.2742869906011038</v>
      </c>
      <c r="V37">
        <v>2.2742869906011038</v>
      </c>
      <c r="W37">
        <v>3.524343046994181</v>
      </c>
      <c r="X37">
        <v>3.524343046994181</v>
      </c>
      <c r="Y37">
        <v>8.1215915584005423</v>
      </c>
      <c r="Z37">
        <v>8.1215915584005423</v>
      </c>
      <c r="AA37">
        <v>3.8770987059921032</v>
      </c>
      <c r="AB37">
        <v>3.8770987059921032</v>
      </c>
      <c r="AC37">
        <v>3.3157029547903218</v>
      </c>
      <c r="AD37">
        <v>3.3157029547903218</v>
      </c>
      <c r="AE37">
        <v>8.1997402141918432</v>
      </c>
      <c r="AF37">
        <v>8.1997402141918432</v>
      </c>
      <c r="AH37">
        <v>2.2742869906011038</v>
      </c>
      <c r="AI37">
        <v>2.2742869906011038</v>
      </c>
      <c r="AJ37">
        <v>2.2742869906011038</v>
      </c>
      <c r="AK37">
        <v>3.524343046994181</v>
      </c>
      <c r="AL37">
        <v>3.524343046994181</v>
      </c>
      <c r="AM37">
        <v>8.1215915584005423</v>
      </c>
      <c r="AN37">
        <v>8.1215915584005423</v>
      </c>
      <c r="AO37">
        <v>3.8770987059921032</v>
      </c>
      <c r="AP37">
        <v>3.8770987059921032</v>
      </c>
      <c r="AQ37">
        <v>1.6824614935845601</v>
      </c>
      <c r="AR37">
        <v>1.6824614935845601</v>
      </c>
      <c r="AS37">
        <v>8.1997402141918432</v>
      </c>
      <c r="AT37">
        <v>8.1997402141918432</v>
      </c>
      <c r="AV37">
        <v>0</v>
      </c>
    </row>
    <row r="38" spans="1:48" x14ac:dyDescent="0.3">
      <c r="A38">
        <v>23</v>
      </c>
      <c r="B38" t="s">
        <v>59</v>
      </c>
      <c r="C38" t="s">
        <v>47</v>
      </c>
      <c r="D38" t="s">
        <v>48</v>
      </c>
      <c r="E38" s="3">
        <v>1</v>
      </c>
      <c r="F38">
        <v>3176321.4</v>
      </c>
      <c r="G38">
        <v>3176321.4</v>
      </c>
      <c r="H38">
        <v>3176321.4</v>
      </c>
      <c r="I38">
        <v>8110191.4000000004</v>
      </c>
      <c r="J38">
        <v>8110191.4000000004</v>
      </c>
      <c r="K38">
        <v>15306715.199999999</v>
      </c>
      <c r="L38">
        <v>15306715.199999999</v>
      </c>
      <c r="M38">
        <v>5959335.2000000002</v>
      </c>
      <c r="N38">
        <v>5959335.2000000002</v>
      </c>
      <c r="O38">
        <v>5031203.2</v>
      </c>
      <c r="P38">
        <v>5031203.2</v>
      </c>
      <c r="Q38">
        <v>24978322.199999999</v>
      </c>
      <c r="R38">
        <v>24978322.199999999</v>
      </c>
      <c r="T38">
        <v>3.119051143195247</v>
      </c>
      <c r="U38">
        <v>3.119051143195247</v>
      </c>
      <c r="V38">
        <v>3.119051143195247</v>
      </c>
      <c r="W38">
        <v>8.4978987854032315</v>
      </c>
      <c r="X38">
        <v>8.4978987854032315</v>
      </c>
      <c r="Y38">
        <v>15.403102084004789</v>
      </c>
      <c r="Z38">
        <v>15.403102084004789</v>
      </c>
      <c r="AA38">
        <v>7.3580165619961919</v>
      </c>
      <c r="AB38">
        <v>7.3580165619961919</v>
      </c>
      <c r="AC38">
        <v>3.312531159998616</v>
      </c>
      <c r="AD38">
        <v>3.312531159998616</v>
      </c>
      <c r="AE38">
        <v>11.42839262438938</v>
      </c>
      <c r="AF38">
        <v>11.42839262438938</v>
      </c>
      <c r="AH38">
        <v>3.119051143195247</v>
      </c>
      <c r="AI38">
        <v>3.119051143195247</v>
      </c>
      <c r="AJ38">
        <v>3.119051143195247</v>
      </c>
      <c r="AK38">
        <v>8.4978987854032315</v>
      </c>
      <c r="AL38">
        <v>8.4978987854032315</v>
      </c>
      <c r="AM38">
        <v>15.403102084004789</v>
      </c>
      <c r="AN38">
        <v>15.403102084004789</v>
      </c>
      <c r="AO38">
        <v>7.3580165619961919</v>
      </c>
      <c r="AP38">
        <v>7.3580165619961919</v>
      </c>
      <c r="AQ38">
        <v>1.685277145798318</v>
      </c>
      <c r="AR38">
        <v>1.685277145798318</v>
      </c>
      <c r="AS38">
        <v>11.42839262438938</v>
      </c>
      <c r="AT38">
        <v>11.42839262438938</v>
      </c>
      <c r="AV38">
        <v>0</v>
      </c>
    </row>
    <row r="39" spans="1:48" x14ac:dyDescent="0.3">
      <c r="A39">
        <v>23</v>
      </c>
      <c r="B39" t="s">
        <v>60</v>
      </c>
      <c r="C39" t="s">
        <v>47</v>
      </c>
      <c r="D39" t="s">
        <v>48</v>
      </c>
      <c r="E39" s="3">
        <v>0</v>
      </c>
      <c r="F39">
        <v>2509577.6</v>
      </c>
      <c r="G39">
        <v>2509577.6</v>
      </c>
      <c r="H39">
        <v>2509577.6</v>
      </c>
      <c r="I39">
        <v>8535142.8000000007</v>
      </c>
      <c r="J39">
        <v>8535142.8000000007</v>
      </c>
      <c r="K39">
        <v>10917159.800000001</v>
      </c>
      <c r="L39">
        <v>10917159.800000001</v>
      </c>
      <c r="M39">
        <v>5751810.2000000002</v>
      </c>
      <c r="N39">
        <v>5751810.2000000002</v>
      </c>
      <c r="O39">
        <v>5993899</v>
      </c>
      <c r="P39">
        <v>5993899</v>
      </c>
      <c r="Q39">
        <v>8420866.5999999996</v>
      </c>
      <c r="R39">
        <v>8420866.5999999996</v>
      </c>
      <c r="T39">
        <v>2.618717028200626</v>
      </c>
      <c r="U39">
        <v>2.618717028200626</v>
      </c>
      <c r="V39">
        <v>2.618717028200626</v>
      </c>
      <c r="W39">
        <v>7.6328915018006231</v>
      </c>
      <c r="X39">
        <v>7.6328915018006231</v>
      </c>
      <c r="Y39">
        <v>10.06359998280532</v>
      </c>
      <c r="Z39">
        <v>10.06359998280532</v>
      </c>
      <c r="AA39">
        <v>6.8235849519958718</v>
      </c>
      <c r="AB39">
        <v>6.8235849519958718</v>
      </c>
      <c r="AC39">
        <v>4.2750260297849314</v>
      </c>
      <c r="AD39">
        <v>4.2750260297849314</v>
      </c>
      <c r="AE39">
        <v>5.6147400079993526</v>
      </c>
      <c r="AF39">
        <v>5.6147400079993526</v>
      </c>
      <c r="AH39">
        <v>2.618717028200626</v>
      </c>
      <c r="AI39">
        <v>2.618717028200626</v>
      </c>
      <c r="AJ39">
        <v>2.618717028200626</v>
      </c>
      <c r="AK39">
        <v>7.6328915018006231</v>
      </c>
      <c r="AL39">
        <v>7.6328915018006231</v>
      </c>
      <c r="AM39">
        <v>10.06359998280532</v>
      </c>
      <c r="AN39">
        <v>10.06359998280532</v>
      </c>
      <c r="AO39">
        <v>6.8235849519958718</v>
      </c>
      <c r="AP39">
        <v>6.8235849519958718</v>
      </c>
      <c r="AQ39">
        <v>2.199317345389864</v>
      </c>
      <c r="AR39">
        <v>2.199317345389864</v>
      </c>
      <c r="AS39">
        <v>5.6147400079993526</v>
      </c>
      <c r="AT39">
        <v>5.6147400079993526</v>
      </c>
      <c r="AV39">
        <v>0</v>
      </c>
    </row>
    <row r="40" spans="1:48" x14ac:dyDescent="0.3">
      <c r="A40">
        <v>23</v>
      </c>
      <c r="B40" t="s">
        <v>61</v>
      </c>
      <c r="C40" t="s">
        <v>47</v>
      </c>
      <c r="D40" t="s">
        <v>48</v>
      </c>
      <c r="E40" s="3">
        <v>0</v>
      </c>
      <c r="F40">
        <v>2722210.4</v>
      </c>
      <c r="G40">
        <v>2722210.4</v>
      </c>
      <c r="H40">
        <v>2722210.4</v>
      </c>
      <c r="I40">
        <v>13103222.199999999</v>
      </c>
      <c r="J40">
        <v>13103222.199999999</v>
      </c>
      <c r="K40">
        <v>18542027</v>
      </c>
      <c r="L40">
        <v>18542027</v>
      </c>
      <c r="M40">
        <v>8635362.4000000004</v>
      </c>
      <c r="N40">
        <v>8635362.4000000004</v>
      </c>
      <c r="O40">
        <v>5991858.4000000004</v>
      </c>
      <c r="P40">
        <v>5991858.4000000004</v>
      </c>
      <c r="Q40">
        <v>12723913.6</v>
      </c>
      <c r="R40">
        <v>12723913.6</v>
      </c>
      <c r="T40">
        <v>2.9582418231933838</v>
      </c>
      <c r="U40">
        <v>2.9582418231933838</v>
      </c>
      <c r="V40">
        <v>2.9582418231933838</v>
      </c>
      <c r="W40">
        <v>11.366271333798069</v>
      </c>
      <c r="X40">
        <v>11.366271333798069</v>
      </c>
      <c r="Y40">
        <v>16.55779799739248</v>
      </c>
      <c r="Z40">
        <v>16.55779799739248</v>
      </c>
      <c r="AA40">
        <v>9.7097667404043015</v>
      </c>
      <c r="AB40">
        <v>9.7097667404043015</v>
      </c>
      <c r="AC40">
        <v>4.2440867615747262</v>
      </c>
      <c r="AD40">
        <v>4.2440867615747262</v>
      </c>
      <c r="AE40">
        <v>7.0628792785981203</v>
      </c>
      <c r="AF40">
        <v>7.0628792785981203</v>
      </c>
      <c r="AH40">
        <v>2.9582418231933838</v>
      </c>
      <c r="AI40">
        <v>2.9582418231933838</v>
      </c>
      <c r="AJ40">
        <v>2.9582418231933838</v>
      </c>
      <c r="AK40">
        <v>11.366271333798069</v>
      </c>
      <c r="AL40">
        <v>11.366271333798069</v>
      </c>
      <c r="AM40">
        <v>16.55779799739248</v>
      </c>
      <c r="AN40">
        <v>16.55779799739248</v>
      </c>
      <c r="AO40">
        <v>9.7097667404043015</v>
      </c>
      <c r="AP40">
        <v>9.7097667404043015</v>
      </c>
      <c r="AQ40">
        <v>2.1854258575825951</v>
      </c>
      <c r="AR40">
        <v>2.1854258575825951</v>
      </c>
      <c r="AS40">
        <v>7.0628792785981203</v>
      </c>
      <c r="AT40">
        <v>7.0628792785981203</v>
      </c>
      <c r="AV40">
        <v>0</v>
      </c>
    </row>
    <row r="41" spans="1:48" x14ac:dyDescent="0.3">
      <c r="A41">
        <v>23</v>
      </c>
      <c r="B41" t="s">
        <v>62</v>
      </c>
      <c r="C41" t="s">
        <v>47</v>
      </c>
      <c r="D41" t="s">
        <v>48</v>
      </c>
      <c r="E41" s="3">
        <v>0</v>
      </c>
      <c r="F41">
        <v>584782.4</v>
      </c>
      <c r="G41">
        <v>584782.4</v>
      </c>
      <c r="H41">
        <v>584782.4</v>
      </c>
      <c r="I41">
        <v>281783.40000000002</v>
      </c>
      <c r="J41">
        <v>281783.40000000002</v>
      </c>
      <c r="K41">
        <v>316800.59999999998</v>
      </c>
      <c r="L41">
        <v>316800.59999999998</v>
      </c>
      <c r="M41">
        <v>276818.40000000002</v>
      </c>
      <c r="N41">
        <v>276818.40000000002</v>
      </c>
      <c r="O41">
        <v>3746597.2</v>
      </c>
      <c r="P41">
        <v>3746597.2</v>
      </c>
      <c r="Q41">
        <v>41970.2</v>
      </c>
      <c r="R41">
        <v>41970.2</v>
      </c>
      <c r="T41">
        <v>0.75011248600203539</v>
      </c>
      <c r="U41">
        <v>0.75011248600203539</v>
      </c>
      <c r="V41">
        <v>0.75011248600203539</v>
      </c>
      <c r="W41">
        <v>0.57519289999618195</v>
      </c>
      <c r="X41">
        <v>0.57519289999618195</v>
      </c>
      <c r="Y41">
        <v>1.1222601368092</v>
      </c>
      <c r="Z41">
        <v>1.1222601368092</v>
      </c>
      <c r="AA41">
        <v>1.2586017541994809</v>
      </c>
      <c r="AB41">
        <v>1.2586017541994809</v>
      </c>
      <c r="AC41">
        <v>1.8678717714210511</v>
      </c>
      <c r="AD41">
        <v>1.8678717714210511</v>
      </c>
      <c r="AE41">
        <v>0.25620895480387851</v>
      </c>
      <c r="AF41">
        <v>0.25620895480387851</v>
      </c>
      <c r="AH41">
        <v>0.75011248600203539</v>
      </c>
      <c r="AI41">
        <v>0.75011248600203539</v>
      </c>
      <c r="AJ41">
        <v>0.75011248600203539</v>
      </c>
      <c r="AK41">
        <v>0.57519289999618195</v>
      </c>
      <c r="AL41">
        <v>0.57519289999618195</v>
      </c>
      <c r="AM41">
        <v>1.1222601368092</v>
      </c>
      <c r="AN41">
        <v>1.1222601368092</v>
      </c>
      <c r="AO41">
        <v>1.2586017541994809</v>
      </c>
      <c r="AP41">
        <v>1.2586017541994809</v>
      </c>
      <c r="AQ41">
        <v>1.0021917044126889</v>
      </c>
      <c r="AR41">
        <v>1.0021917044126889</v>
      </c>
      <c r="AS41">
        <v>0.25620895480387851</v>
      </c>
      <c r="AT41">
        <v>0.25620895480387851</v>
      </c>
      <c r="AV41">
        <v>0</v>
      </c>
    </row>
    <row r="42" spans="1:48" x14ac:dyDescent="0.3">
      <c r="A42">
        <v>23</v>
      </c>
      <c r="B42" t="s">
        <v>63</v>
      </c>
      <c r="C42" t="s">
        <v>47</v>
      </c>
      <c r="D42" t="s">
        <v>48</v>
      </c>
      <c r="E42" s="3">
        <v>0</v>
      </c>
      <c r="F42">
        <v>668118.80000000005</v>
      </c>
      <c r="G42">
        <v>668118.80000000005</v>
      </c>
      <c r="H42">
        <v>668118.80000000005</v>
      </c>
      <c r="I42">
        <v>275748.8</v>
      </c>
      <c r="J42">
        <v>275748.8</v>
      </c>
      <c r="K42">
        <v>342227.4</v>
      </c>
      <c r="L42">
        <v>342227.4</v>
      </c>
      <c r="M42">
        <v>268625.8</v>
      </c>
      <c r="N42">
        <v>268625.8</v>
      </c>
      <c r="O42">
        <v>3752541.2</v>
      </c>
      <c r="P42">
        <v>3752541.2</v>
      </c>
      <c r="Q42">
        <v>58445</v>
      </c>
      <c r="R42">
        <v>58445</v>
      </c>
      <c r="T42">
        <v>0.81799208260490563</v>
      </c>
      <c r="U42">
        <v>0.81799208260490563</v>
      </c>
      <c r="V42">
        <v>0.81799208260490563</v>
      </c>
      <c r="W42">
        <v>0.52730386060429735</v>
      </c>
      <c r="X42">
        <v>0.52730386060429735</v>
      </c>
      <c r="Y42">
        <v>1.124749457405414</v>
      </c>
      <c r="Z42">
        <v>1.124749457405414</v>
      </c>
      <c r="AA42">
        <v>1.204882505210116</v>
      </c>
      <c r="AB42">
        <v>1.204882505210116</v>
      </c>
      <c r="AC42">
        <v>1.894445666018874</v>
      </c>
      <c r="AD42">
        <v>1.894445666018874</v>
      </c>
      <c r="AE42">
        <v>0.32078629320603802</v>
      </c>
      <c r="AF42">
        <v>0.32078629320603802</v>
      </c>
      <c r="AH42">
        <v>0.81799208260490563</v>
      </c>
      <c r="AI42">
        <v>0.81799208260490563</v>
      </c>
      <c r="AJ42">
        <v>0.81799208260490563</v>
      </c>
      <c r="AK42">
        <v>0.52730386060429735</v>
      </c>
      <c r="AL42">
        <v>0.52730386060429735</v>
      </c>
      <c r="AM42">
        <v>1.124749457405414</v>
      </c>
      <c r="AN42">
        <v>1.124749457405414</v>
      </c>
      <c r="AO42">
        <v>1.204882505210116</v>
      </c>
      <c r="AP42">
        <v>1.204882505210116</v>
      </c>
      <c r="AQ42">
        <v>1.0270883140154179</v>
      </c>
      <c r="AR42">
        <v>1.0270883140154179</v>
      </c>
      <c r="AS42">
        <v>0.32078629320603802</v>
      </c>
      <c r="AT42">
        <v>0.32078629320603802</v>
      </c>
      <c r="AV42">
        <v>0</v>
      </c>
    </row>
    <row r="43" spans="1:48" x14ac:dyDescent="0.3">
      <c r="A43">
        <v>24</v>
      </c>
      <c r="B43" t="s">
        <v>64</v>
      </c>
      <c r="C43" t="s">
        <v>65</v>
      </c>
      <c r="D43" t="s">
        <v>66</v>
      </c>
      <c r="E43" s="3">
        <v>1</v>
      </c>
      <c r="F43">
        <v>1465680.2</v>
      </c>
      <c r="G43">
        <v>774563.6</v>
      </c>
      <c r="H43">
        <v>770101.2</v>
      </c>
      <c r="I43">
        <v>2004888.8</v>
      </c>
      <c r="J43">
        <v>465502.2</v>
      </c>
      <c r="K43">
        <v>2157026.6</v>
      </c>
      <c r="L43">
        <v>493193</v>
      </c>
      <c r="M43">
        <v>1414445.2</v>
      </c>
      <c r="N43">
        <v>310888.40000000002</v>
      </c>
      <c r="O43">
        <v>3393315.6</v>
      </c>
      <c r="P43">
        <v>2921652.4</v>
      </c>
      <c r="Q43">
        <v>7725292.4000000004</v>
      </c>
      <c r="R43">
        <v>810668.2</v>
      </c>
      <c r="T43">
        <v>1.8450267992098821</v>
      </c>
      <c r="U43">
        <v>1.0637669515854209</v>
      </c>
      <c r="V43">
        <v>1.042142441234319</v>
      </c>
      <c r="W43">
        <v>2.8948597522045021</v>
      </c>
      <c r="X43">
        <v>0.98453522959607653</v>
      </c>
      <c r="Y43">
        <v>2.84343224420445</v>
      </c>
      <c r="Z43">
        <v>1.467983028589515</v>
      </c>
      <c r="AA43">
        <v>1.46745558460243</v>
      </c>
      <c r="AB43">
        <v>0.70225833241711366</v>
      </c>
      <c r="AC43">
        <v>1.3372587263991591</v>
      </c>
      <c r="AD43">
        <v>1.658199058409082</v>
      </c>
      <c r="AE43">
        <v>5.4592589932086408</v>
      </c>
      <c r="AF43">
        <v>1.9192177414253819</v>
      </c>
      <c r="AH43">
        <v>1.8450267992098821</v>
      </c>
      <c r="AI43">
        <v>0.43860523580224248</v>
      </c>
      <c r="AJ43">
        <v>0.42056933240965011</v>
      </c>
      <c r="AK43">
        <v>2.8948597522045021</v>
      </c>
      <c r="AL43">
        <v>0.41085976779577321</v>
      </c>
      <c r="AM43">
        <v>2.84343224420445</v>
      </c>
      <c r="AN43">
        <v>0.47194303941214449</v>
      </c>
      <c r="AO43">
        <v>1.46745558460243</v>
      </c>
      <c r="AP43">
        <v>0.35244139080750758</v>
      </c>
      <c r="AQ43">
        <v>0.69394684660364869</v>
      </c>
      <c r="AR43">
        <v>0.36681829895824192</v>
      </c>
      <c r="AS43">
        <v>5.4592589932086408</v>
      </c>
      <c r="AT43">
        <v>0.91952309641055763</v>
      </c>
      <c r="AV43">
        <v>0.25497464920044882</v>
      </c>
    </row>
    <row r="44" spans="1:48" x14ac:dyDescent="0.3">
      <c r="A44">
        <v>24</v>
      </c>
      <c r="B44" t="s">
        <v>67</v>
      </c>
      <c r="C44" t="s">
        <v>65</v>
      </c>
      <c r="D44" t="s">
        <v>66</v>
      </c>
      <c r="E44" s="3">
        <v>0</v>
      </c>
      <c r="F44">
        <v>7040893.2000000002</v>
      </c>
      <c r="G44">
        <v>4937735.8</v>
      </c>
      <c r="H44">
        <v>4971393.8</v>
      </c>
      <c r="I44">
        <v>6888278.7999999998</v>
      </c>
      <c r="J44">
        <v>3095466</v>
      </c>
      <c r="K44">
        <v>6394892.7999999998</v>
      </c>
      <c r="L44">
        <v>3223348.4</v>
      </c>
      <c r="M44">
        <v>15975768.6</v>
      </c>
      <c r="N44">
        <v>4790256.4000000004</v>
      </c>
      <c r="O44">
        <v>7598860.4000000004</v>
      </c>
      <c r="P44">
        <v>5793716.4000000004</v>
      </c>
      <c r="Q44">
        <v>20961509</v>
      </c>
      <c r="R44">
        <v>8097953.2000000002</v>
      </c>
      <c r="T44">
        <v>5.3289183571876491</v>
      </c>
      <c r="U44">
        <v>3.596362814790337</v>
      </c>
      <c r="V44">
        <v>3.5692779131990391</v>
      </c>
      <c r="W44">
        <v>5.8291497296071606</v>
      </c>
      <c r="X44">
        <v>2.4189048492291478</v>
      </c>
      <c r="Y44">
        <v>4.7147306145983752</v>
      </c>
      <c r="Z44">
        <v>2.8520188988186419</v>
      </c>
      <c r="AA44">
        <v>10.8598036498006</v>
      </c>
      <c r="AB44">
        <v>3.8238491682102902</v>
      </c>
      <c r="AC44">
        <v>4.4488292974070642</v>
      </c>
      <c r="AD44">
        <v>3.7571076479624019</v>
      </c>
      <c r="AE44">
        <v>9.0388987107959107</v>
      </c>
      <c r="AF44">
        <v>6.3283765694184693</v>
      </c>
      <c r="AH44">
        <v>5.3289183571876491</v>
      </c>
      <c r="AI44">
        <v>1.0953605190035891</v>
      </c>
      <c r="AJ44">
        <v>1.056323216395685</v>
      </c>
      <c r="AK44">
        <v>5.8291497296071606</v>
      </c>
      <c r="AL44">
        <v>0.82832186362356874</v>
      </c>
      <c r="AM44">
        <v>4.7147306145983752</v>
      </c>
      <c r="AN44">
        <v>0.89114551080856474</v>
      </c>
      <c r="AO44">
        <v>10.8598036498006</v>
      </c>
      <c r="AP44">
        <v>1.1983105522056581</v>
      </c>
      <c r="AQ44">
        <v>2.4144280848093329</v>
      </c>
      <c r="AR44">
        <v>0.61258603736641815</v>
      </c>
      <c r="AS44">
        <v>9.0388987107959107</v>
      </c>
      <c r="AT44">
        <v>3.407297757209744</v>
      </c>
      <c r="AV44">
        <v>0.30000693640322418</v>
      </c>
    </row>
    <row r="45" spans="1:48" x14ac:dyDescent="0.3">
      <c r="A45">
        <v>24</v>
      </c>
      <c r="B45" t="s">
        <v>68</v>
      </c>
      <c r="C45" t="s">
        <v>65</v>
      </c>
      <c r="D45" t="s">
        <v>66</v>
      </c>
      <c r="E45" s="3">
        <v>0</v>
      </c>
      <c r="F45">
        <v>2754637.4</v>
      </c>
      <c r="G45">
        <v>2620738.2000000002</v>
      </c>
      <c r="H45">
        <v>2661350.6</v>
      </c>
      <c r="I45">
        <v>4808313.4000000004</v>
      </c>
      <c r="J45">
        <v>1441181.6</v>
      </c>
      <c r="K45">
        <v>4348298.4000000004</v>
      </c>
      <c r="L45">
        <v>1661400.8</v>
      </c>
      <c r="M45">
        <v>4566077.4000000004</v>
      </c>
      <c r="N45">
        <v>2277055</v>
      </c>
      <c r="O45">
        <v>7454517.4000000004</v>
      </c>
      <c r="P45">
        <v>5654741.2000000002</v>
      </c>
      <c r="Q45">
        <v>13585854.4</v>
      </c>
      <c r="R45">
        <v>5751680.4000000004</v>
      </c>
      <c r="T45">
        <v>2.4197235063998961</v>
      </c>
      <c r="U45">
        <v>2.1826281901914628</v>
      </c>
      <c r="V45">
        <v>2.190610767790349</v>
      </c>
      <c r="W45">
        <v>3.0081067595980131</v>
      </c>
      <c r="X45">
        <v>1.758439095807262</v>
      </c>
      <c r="Y45">
        <v>2.8046819205977949</v>
      </c>
      <c r="Z45">
        <v>2.2683541613921991</v>
      </c>
      <c r="AA45">
        <v>3.4038419984048232</v>
      </c>
      <c r="AB45">
        <v>2.353033797390526</v>
      </c>
      <c r="AC45">
        <v>4.3184167043946218</v>
      </c>
      <c r="AD45">
        <v>3.6332373563782312</v>
      </c>
      <c r="AE45">
        <v>6.4381089164060539</v>
      </c>
      <c r="AF45">
        <v>4.3432388460321816</v>
      </c>
      <c r="AH45">
        <v>2.4197235063998961</v>
      </c>
      <c r="AI45">
        <v>0.6556756319943815</v>
      </c>
      <c r="AJ45">
        <v>0.66386120578972618</v>
      </c>
      <c r="AK45">
        <v>3.0081067595980131</v>
      </c>
      <c r="AL45">
        <v>0.62782452179235404</v>
      </c>
      <c r="AM45">
        <v>2.8046819205977949</v>
      </c>
      <c r="AN45">
        <v>0.73475262739229952</v>
      </c>
      <c r="AO45">
        <v>3.4038419984048232</v>
      </c>
      <c r="AP45">
        <v>0.67927715278929102</v>
      </c>
      <c r="AQ45">
        <v>2.3276810181851029</v>
      </c>
      <c r="AR45">
        <v>0.58567764519248156</v>
      </c>
      <c r="AS45">
        <v>6.4381089164060539</v>
      </c>
      <c r="AT45">
        <v>1.9970247298013419</v>
      </c>
      <c r="AV45">
        <v>0.25159842899884088</v>
      </c>
    </row>
    <row r="46" spans="1:48" x14ac:dyDescent="0.3">
      <c r="A46">
        <v>24</v>
      </c>
      <c r="B46" t="s">
        <v>69</v>
      </c>
      <c r="C46" t="s">
        <v>65</v>
      </c>
      <c r="D46" t="s">
        <v>66</v>
      </c>
      <c r="E46" s="3">
        <v>0</v>
      </c>
      <c r="F46">
        <v>414114.2</v>
      </c>
      <c r="G46">
        <v>964181.6</v>
      </c>
      <c r="H46">
        <v>969718.2</v>
      </c>
      <c r="I46">
        <v>355969</v>
      </c>
      <c r="J46">
        <v>457205.8</v>
      </c>
      <c r="K46">
        <v>369603.2</v>
      </c>
      <c r="L46">
        <v>494336</v>
      </c>
      <c r="M46">
        <v>185834.8</v>
      </c>
      <c r="N46">
        <v>364574</v>
      </c>
      <c r="O46">
        <v>3528815.8</v>
      </c>
      <c r="P46">
        <v>3042648.4</v>
      </c>
      <c r="Q46">
        <v>708200.2</v>
      </c>
      <c r="R46">
        <v>1343816</v>
      </c>
      <c r="T46">
        <v>0.74557772279949863</v>
      </c>
      <c r="U46">
        <v>1.200500047206879</v>
      </c>
      <c r="V46">
        <v>1.204118666832801</v>
      </c>
      <c r="W46">
        <v>0.79439300899393861</v>
      </c>
      <c r="X46">
        <v>1.015205263381358</v>
      </c>
      <c r="Y46">
        <v>1.0263294941978529</v>
      </c>
      <c r="Z46">
        <v>1.4886553688265849</v>
      </c>
      <c r="AA46">
        <v>0.32273607139941302</v>
      </c>
      <c r="AB46">
        <v>0.79066427999641742</v>
      </c>
      <c r="AC46">
        <v>1.4922827310103459</v>
      </c>
      <c r="AD46">
        <v>1.7830125504231551</v>
      </c>
      <c r="AE46">
        <v>2.0307792840059848</v>
      </c>
      <c r="AF46">
        <v>2.3449849056196399</v>
      </c>
      <c r="AH46">
        <v>0.74557772279949863</v>
      </c>
      <c r="AI46">
        <v>0.45511843899730592</v>
      </c>
      <c r="AJ46">
        <v>0.45947679101373068</v>
      </c>
      <c r="AK46">
        <v>0.79439300899393861</v>
      </c>
      <c r="AL46">
        <v>0.40802592559484763</v>
      </c>
      <c r="AM46">
        <v>1.0263294941978529</v>
      </c>
      <c r="AN46">
        <v>0.47368946000933648</v>
      </c>
      <c r="AO46">
        <v>0.32273607139941302</v>
      </c>
      <c r="AP46">
        <v>0.38700392658938648</v>
      </c>
      <c r="AQ46">
        <v>0.77743499380885628</v>
      </c>
      <c r="AR46">
        <v>0.39839064401458008</v>
      </c>
      <c r="AS46">
        <v>2.0307792840059848</v>
      </c>
      <c r="AT46">
        <v>1.019305314007215</v>
      </c>
      <c r="AV46">
        <v>0.25941608540015287</v>
      </c>
    </row>
    <row r="47" spans="1:48" x14ac:dyDescent="0.3">
      <c r="A47">
        <v>24</v>
      </c>
      <c r="B47" t="s">
        <v>70</v>
      </c>
      <c r="C47" t="s">
        <v>65</v>
      </c>
      <c r="D47" t="s">
        <v>66</v>
      </c>
      <c r="E47" s="3">
        <v>0</v>
      </c>
      <c r="F47">
        <v>328897.59999999998</v>
      </c>
      <c r="G47">
        <v>999301.6</v>
      </c>
      <c r="H47">
        <v>1003903.2</v>
      </c>
      <c r="I47">
        <v>235216.4</v>
      </c>
      <c r="J47">
        <v>531410.80000000005</v>
      </c>
      <c r="K47">
        <v>248491</v>
      </c>
      <c r="L47">
        <v>565798.6</v>
      </c>
      <c r="M47">
        <v>67910.8</v>
      </c>
      <c r="N47">
        <v>429628.4</v>
      </c>
      <c r="O47">
        <v>3395854.4</v>
      </c>
      <c r="P47">
        <v>2929409.6</v>
      </c>
      <c r="Q47">
        <v>335678.2</v>
      </c>
      <c r="R47">
        <v>1656630.4</v>
      </c>
      <c r="T47">
        <v>0.63716074860421945</v>
      </c>
      <c r="U47">
        <v>1.2635199755837681</v>
      </c>
      <c r="V47">
        <v>1.2317386136099231</v>
      </c>
      <c r="W47">
        <v>0.67326792319654483</v>
      </c>
      <c r="X47">
        <v>1.098380816989811</v>
      </c>
      <c r="Y47">
        <v>0.98459413000964557</v>
      </c>
      <c r="Z47">
        <v>1.5751833324378819</v>
      </c>
      <c r="AA47">
        <v>0.16573269240325311</v>
      </c>
      <c r="AB47">
        <v>0.8781339752022177</v>
      </c>
      <c r="AC47">
        <v>1.3511927427898629</v>
      </c>
      <c r="AD47">
        <v>1.675595969863934</v>
      </c>
      <c r="AE47">
        <v>1.372757513605757</v>
      </c>
      <c r="AF47">
        <v>2.579833222011803</v>
      </c>
      <c r="AH47">
        <v>0.63716074860421945</v>
      </c>
      <c r="AI47">
        <v>0.4639626307936851</v>
      </c>
      <c r="AJ47">
        <v>0.43161735680187119</v>
      </c>
      <c r="AK47">
        <v>0.67326792319654483</v>
      </c>
      <c r="AL47">
        <v>0.42755611759494061</v>
      </c>
      <c r="AM47">
        <v>0.98459413000964557</v>
      </c>
      <c r="AN47">
        <v>0.49349192321533342</v>
      </c>
      <c r="AO47">
        <v>0.16573269240325311</v>
      </c>
      <c r="AP47">
        <v>0.40814295860473071</v>
      </c>
      <c r="AQ47">
        <v>0.69701902598026211</v>
      </c>
      <c r="AR47">
        <v>0.37511905498686238</v>
      </c>
      <c r="AS47">
        <v>1.372757513605757</v>
      </c>
      <c r="AT47">
        <v>1.1125341295788529</v>
      </c>
      <c r="AV47">
        <v>0.28078488560277037</v>
      </c>
    </row>
    <row r="48" spans="1:48" x14ac:dyDescent="0.3">
      <c r="A48">
        <v>24</v>
      </c>
      <c r="B48" t="s">
        <v>71</v>
      </c>
      <c r="C48" t="s">
        <v>65</v>
      </c>
      <c r="D48" t="s">
        <v>66</v>
      </c>
      <c r="E48" s="3">
        <v>0</v>
      </c>
      <c r="F48">
        <v>2180548</v>
      </c>
      <c r="G48">
        <v>2661876.7999999998</v>
      </c>
      <c r="H48">
        <v>2683565.6</v>
      </c>
      <c r="I48">
        <v>7568929</v>
      </c>
      <c r="J48">
        <v>1212156.6000000001</v>
      </c>
      <c r="K48">
        <v>10126395.6</v>
      </c>
      <c r="L48">
        <v>1471697.2</v>
      </c>
      <c r="M48">
        <v>5117375.4000000004</v>
      </c>
      <c r="N48">
        <v>2112353</v>
      </c>
      <c r="O48">
        <v>7570115.2000000002</v>
      </c>
      <c r="P48">
        <v>5744022.5999999996</v>
      </c>
      <c r="Q48">
        <v>9604938.1999999993</v>
      </c>
      <c r="R48">
        <v>5091660.5999999996</v>
      </c>
      <c r="T48">
        <v>2.057446113211336</v>
      </c>
      <c r="U48">
        <v>2.2562722518166991</v>
      </c>
      <c r="V48">
        <v>2.2351544178032778</v>
      </c>
      <c r="W48">
        <v>3.4804554936010388</v>
      </c>
      <c r="X48">
        <v>1.533043446973898</v>
      </c>
      <c r="Y48">
        <v>4.5641007938131226</v>
      </c>
      <c r="Z48">
        <v>1.996776538004633</v>
      </c>
      <c r="AA48">
        <v>3.267477377993055</v>
      </c>
      <c r="AB48">
        <v>2.3529454684234219</v>
      </c>
      <c r="AC48">
        <v>4.4737529352190908</v>
      </c>
      <c r="AD48">
        <v>3.7456205514376051</v>
      </c>
      <c r="AE48">
        <v>5.5910981207969597</v>
      </c>
      <c r="AF48">
        <v>4.2402698105666783</v>
      </c>
      <c r="AH48">
        <v>2.057446113211336</v>
      </c>
      <c r="AI48">
        <v>0.76603898140019733</v>
      </c>
      <c r="AJ48">
        <v>0.74553711101179942</v>
      </c>
      <c r="AK48">
        <v>3.4804554936010388</v>
      </c>
      <c r="AL48">
        <v>0.53358710900065487</v>
      </c>
      <c r="AM48">
        <v>4.5641007938131226</v>
      </c>
      <c r="AN48">
        <v>0.61935376699548217</v>
      </c>
      <c r="AO48">
        <v>3.267477377993055</v>
      </c>
      <c r="AP48">
        <v>0.68108283660840241</v>
      </c>
      <c r="AQ48">
        <v>2.429764600610361</v>
      </c>
      <c r="AR48">
        <v>0.61663090299116452</v>
      </c>
      <c r="AS48">
        <v>5.5910981207969597</v>
      </c>
      <c r="AT48">
        <v>2.0585242219909561</v>
      </c>
      <c r="AV48">
        <v>0.27955677919671867</v>
      </c>
    </row>
    <row r="49" spans="1:48" x14ac:dyDescent="0.3">
      <c r="A49">
        <v>24</v>
      </c>
      <c r="B49" t="s">
        <v>72</v>
      </c>
      <c r="C49" t="s">
        <v>65</v>
      </c>
      <c r="D49" t="s">
        <v>66</v>
      </c>
      <c r="E49" s="3">
        <v>0</v>
      </c>
      <c r="F49">
        <v>6904071</v>
      </c>
      <c r="G49">
        <v>4814457.5999999996</v>
      </c>
      <c r="H49">
        <v>4847813.4000000004</v>
      </c>
      <c r="I49">
        <v>4053004.4</v>
      </c>
      <c r="J49">
        <v>2408341</v>
      </c>
      <c r="K49">
        <v>2835324</v>
      </c>
      <c r="L49">
        <v>2484263.7999999998</v>
      </c>
      <c r="M49">
        <v>10738918.4</v>
      </c>
      <c r="N49">
        <v>4073364.2</v>
      </c>
      <c r="O49">
        <v>7483609.4000000004</v>
      </c>
      <c r="P49">
        <v>5715352.4000000004</v>
      </c>
      <c r="Q49">
        <v>43890192.200000003</v>
      </c>
      <c r="R49">
        <v>10067321.6</v>
      </c>
      <c r="T49">
        <v>5.5357554927992174</v>
      </c>
      <c r="U49">
        <v>3.582427064981311</v>
      </c>
      <c r="V49">
        <v>3.553822073206538</v>
      </c>
      <c r="W49">
        <v>4.1083683088014364</v>
      </c>
      <c r="X49">
        <v>2.1787576554110268</v>
      </c>
      <c r="Y49">
        <v>2.3700454871926921</v>
      </c>
      <c r="Z49">
        <v>2.568206596793607</v>
      </c>
      <c r="AA49">
        <v>7.8909468627942259</v>
      </c>
      <c r="AB49">
        <v>3.465411735972157</v>
      </c>
      <c r="AC49">
        <v>4.3769396041927404</v>
      </c>
      <c r="AD49">
        <v>3.6885897049971388</v>
      </c>
      <c r="AE49">
        <v>16.012936466798418</v>
      </c>
      <c r="AF49">
        <v>6.9776447251730129</v>
      </c>
      <c r="AH49">
        <v>5.5357554927992174</v>
      </c>
      <c r="AI49">
        <v>1.0811117063916751</v>
      </c>
      <c r="AJ49">
        <v>1.0740348359977361</v>
      </c>
      <c r="AK49">
        <v>4.1083683088014364</v>
      </c>
      <c r="AL49">
        <v>0.70201952101197096</v>
      </c>
      <c r="AM49">
        <v>2.3700454871926921</v>
      </c>
      <c r="AN49">
        <v>0.7537505288026296</v>
      </c>
      <c r="AO49">
        <v>7.8909468627942259</v>
      </c>
      <c r="AP49">
        <v>0.97793446759460489</v>
      </c>
      <c r="AQ49">
        <v>2.361518666194752</v>
      </c>
      <c r="AR49">
        <v>0.60531219058320862</v>
      </c>
      <c r="AS49">
        <v>16.012936466798418</v>
      </c>
      <c r="AT49">
        <v>3.664226508996216</v>
      </c>
      <c r="AV49">
        <v>0.25617226039757951</v>
      </c>
    </row>
    <row r="50" spans="1:48" x14ac:dyDescent="0.3">
      <c r="A50">
        <v>24</v>
      </c>
      <c r="B50" t="s">
        <v>73</v>
      </c>
      <c r="C50" t="s">
        <v>65</v>
      </c>
      <c r="D50" t="s">
        <v>66</v>
      </c>
      <c r="E50" s="3">
        <v>1</v>
      </c>
      <c r="F50">
        <v>1297565.2</v>
      </c>
      <c r="G50">
        <v>765637</v>
      </c>
      <c r="H50">
        <v>770099.4</v>
      </c>
      <c r="I50">
        <v>962221.8</v>
      </c>
      <c r="J50">
        <v>361399</v>
      </c>
      <c r="K50">
        <v>1087804.6000000001</v>
      </c>
      <c r="L50">
        <v>378251</v>
      </c>
      <c r="M50">
        <v>840370</v>
      </c>
      <c r="N50">
        <v>225119</v>
      </c>
      <c r="O50">
        <v>3530230</v>
      </c>
      <c r="P50">
        <v>3040356</v>
      </c>
      <c r="Q50">
        <v>3234570.4</v>
      </c>
      <c r="R50">
        <v>818780.4</v>
      </c>
      <c r="T50">
        <v>1.595104003808228</v>
      </c>
      <c r="U50">
        <v>1.0704497933737001</v>
      </c>
      <c r="V50">
        <v>1.0725316004070919</v>
      </c>
      <c r="W50">
        <v>1.5939880702004301</v>
      </c>
      <c r="X50">
        <v>0.90808553639217282</v>
      </c>
      <c r="Y50">
        <v>1.8048519363976081</v>
      </c>
      <c r="Z50">
        <v>1.3818618282151871</v>
      </c>
      <c r="AA50">
        <v>1.153858731593937</v>
      </c>
      <c r="AB50">
        <v>0.6315531424072105</v>
      </c>
      <c r="AC50">
        <v>1.489949813805288</v>
      </c>
      <c r="AD50">
        <v>1.7745889923942739</v>
      </c>
      <c r="AE50">
        <v>3.8229442090028898</v>
      </c>
      <c r="AF50">
        <v>1.8726294942025561</v>
      </c>
      <c r="AH50">
        <v>1.595104003808228</v>
      </c>
      <c r="AI50">
        <v>0.44277318979729902</v>
      </c>
      <c r="AJ50">
        <v>0.44632756719947791</v>
      </c>
      <c r="AK50">
        <v>1.5939880702004301</v>
      </c>
      <c r="AL50">
        <v>0.38086641440168018</v>
      </c>
      <c r="AM50">
        <v>1.8048519363976081</v>
      </c>
      <c r="AN50">
        <v>0.44239113621879372</v>
      </c>
      <c r="AO50">
        <v>1.153858731593937</v>
      </c>
      <c r="AP50">
        <v>0.3459107116039376</v>
      </c>
      <c r="AQ50">
        <v>0.7737856040068436</v>
      </c>
      <c r="AR50">
        <v>0.39639333860250192</v>
      </c>
      <c r="AS50">
        <v>3.8229442090028898</v>
      </c>
      <c r="AT50">
        <v>0.84034744378877801</v>
      </c>
      <c r="AV50">
        <v>0.27270119099994178</v>
      </c>
    </row>
    <row r="51" spans="1:48" x14ac:dyDescent="0.3">
      <c r="A51">
        <v>24</v>
      </c>
      <c r="B51" t="s">
        <v>74</v>
      </c>
      <c r="C51" t="s">
        <v>75</v>
      </c>
      <c r="D51" t="s">
        <v>66</v>
      </c>
      <c r="E51" s="3">
        <v>0</v>
      </c>
      <c r="F51">
        <v>1465680.2</v>
      </c>
      <c r="G51">
        <v>4228756</v>
      </c>
      <c r="H51">
        <v>4216833.2</v>
      </c>
      <c r="I51">
        <v>2004888.8</v>
      </c>
      <c r="J51">
        <v>1923132.2</v>
      </c>
      <c r="K51">
        <v>2157026.6</v>
      </c>
      <c r="L51">
        <v>2055254</v>
      </c>
      <c r="M51">
        <v>1414445.2</v>
      </c>
      <c r="N51">
        <v>5057726.2</v>
      </c>
      <c r="O51">
        <v>3393315.6</v>
      </c>
      <c r="P51">
        <v>4201070.2</v>
      </c>
      <c r="Q51">
        <v>7725292.4000000004</v>
      </c>
      <c r="R51">
        <v>12063475.4</v>
      </c>
      <c r="T51">
        <v>1.8984577489958609</v>
      </c>
      <c r="U51">
        <v>3.5644371122180019</v>
      </c>
      <c r="V51">
        <v>3.5187757185951338</v>
      </c>
      <c r="W51">
        <v>2.94286118799937</v>
      </c>
      <c r="X51">
        <v>2.5921283237694301</v>
      </c>
      <c r="Y51">
        <v>2.8347867915930691</v>
      </c>
      <c r="Z51">
        <v>2.4987749201885889</v>
      </c>
      <c r="AA51">
        <v>1.491823113005375</v>
      </c>
      <c r="AB51">
        <v>3.7755299380281939</v>
      </c>
      <c r="AC51">
        <v>1.340265730995452</v>
      </c>
      <c r="AD51">
        <v>2.7383751019660849</v>
      </c>
      <c r="AE51">
        <v>5.4275000940018803</v>
      </c>
      <c r="AF51">
        <v>9.1667974020296246</v>
      </c>
      <c r="AH51">
        <v>1.8984577489958609</v>
      </c>
      <c r="AI51">
        <v>1.2095485280151479</v>
      </c>
      <c r="AJ51">
        <v>1.179104551381897</v>
      </c>
      <c r="AK51">
        <v>2.94286118799937</v>
      </c>
      <c r="AL51">
        <v>0.94127942299237477</v>
      </c>
      <c r="AM51">
        <v>2.8347867915930691</v>
      </c>
      <c r="AN51">
        <v>0.8649919405987021</v>
      </c>
      <c r="AO51">
        <v>1.491823113005375</v>
      </c>
      <c r="AP51">
        <v>1.442443690396612</v>
      </c>
      <c r="AQ51">
        <v>0.69647611500113271</v>
      </c>
      <c r="AR51">
        <v>0.60358189179678445</v>
      </c>
      <c r="AS51">
        <v>5.4275000940018803</v>
      </c>
      <c r="AT51">
        <v>6.0243277366040271</v>
      </c>
      <c r="AV51">
        <v>0.26363744840491571</v>
      </c>
    </row>
    <row r="52" spans="1:48" x14ac:dyDescent="0.3">
      <c r="A52">
        <v>24</v>
      </c>
      <c r="B52" t="s">
        <v>76</v>
      </c>
      <c r="C52" t="s">
        <v>75</v>
      </c>
      <c r="D52" t="s">
        <v>66</v>
      </c>
      <c r="E52" s="3">
        <v>0</v>
      </c>
      <c r="F52">
        <v>7040893.2000000002</v>
      </c>
      <c r="G52">
        <v>2440867.2000000002</v>
      </c>
      <c r="H52">
        <v>2435076.6</v>
      </c>
      <c r="I52">
        <v>6888278.7999999998</v>
      </c>
      <c r="J52">
        <v>1078394.3999999999</v>
      </c>
      <c r="K52">
        <v>6394892.7999999998</v>
      </c>
      <c r="L52">
        <v>1137574.8</v>
      </c>
      <c r="M52">
        <v>15975768.6</v>
      </c>
      <c r="N52">
        <v>1454953.2</v>
      </c>
      <c r="O52">
        <v>7598860.4000000004</v>
      </c>
      <c r="P52">
        <v>3864199.6</v>
      </c>
      <c r="Q52">
        <v>20961509</v>
      </c>
      <c r="R52">
        <v>3608465.6</v>
      </c>
      <c r="T52">
        <v>5.3121807407995218</v>
      </c>
      <c r="U52">
        <v>2.1011882012011478</v>
      </c>
      <c r="V52">
        <v>2.0802626075921582</v>
      </c>
      <c r="W52">
        <v>5.821223738393746</v>
      </c>
      <c r="X52">
        <v>1.5322396043920889</v>
      </c>
      <c r="Y52">
        <v>4.7328662422019976</v>
      </c>
      <c r="Z52">
        <v>1.981132333783898</v>
      </c>
      <c r="AA52">
        <v>10.97571841920144</v>
      </c>
      <c r="AB52">
        <v>1.621271531021921</v>
      </c>
      <c r="AC52">
        <v>4.4672135399829127</v>
      </c>
      <c r="AD52">
        <v>2.3817395146121272</v>
      </c>
      <c r="AE52">
        <v>8.8963068776007272</v>
      </c>
      <c r="AF52">
        <v>3.8707984235719781</v>
      </c>
      <c r="AH52">
        <v>5.3121807407995218</v>
      </c>
      <c r="AI52">
        <v>0.81063032841193494</v>
      </c>
      <c r="AJ52">
        <v>0.79645469818497072</v>
      </c>
      <c r="AK52">
        <v>5.821223738393746</v>
      </c>
      <c r="AL52">
        <v>0.64885130320908502</v>
      </c>
      <c r="AM52">
        <v>4.7328662422019976</v>
      </c>
      <c r="AN52">
        <v>0.73121390020241961</v>
      </c>
      <c r="AO52">
        <v>10.97571841920144</v>
      </c>
      <c r="AP52">
        <v>0.6536744680081028</v>
      </c>
      <c r="AQ52">
        <v>2.4254897327802611</v>
      </c>
      <c r="AR52">
        <v>0.51146796018001628</v>
      </c>
      <c r="AS52">
        <v>8.8963068776007272</v>
      </c>
      <c r="AT52">
        <v>2.0212956987787041</v>
      </c>
      <c r="AV52">
        <v>0.26217026720405562</v>
      </c>
    </row>
    <row r="53" spans="1:48" x14ac:dyDescent="0.3">
      <c r="A53">
        <v>24</v>
      </c>
      <c r="B53" t="s">
        <v>77</v>
      </c>
      <c r="C53" t="s">
        <v>75</v>
      </c>
      <c r="D53" t="s">
        <v>66</v>
      </c>
      <c r="E53" s="3">
        <v>1</v>
      </c>
      <c r="F53">
        <v>2754637.4</v>
      </c>
      <c r="G53">
        <v>1291133</v>
      </c>
      <c r="H53">
        <v>1309551.6000000001</v>
      </c>
      <c r="I53">
        <v>4808313.4000000004</v>
      </c>
      <c r="J53">
        <v>545291</v>
      </c>
      <c r="K53">
        <v>4348298.4000000004</v>
      </c>
      <c r="L53">
        <v>591107.4</v>
      </c>
      <c r="M53">
        <v>4566077.4000000004</v>
      </c>
      <c r="N53">
        <v>855004.2</v>
      </c>
      <c r="O53">
        <v>7454517.4000000004</v>
      </c>
      <c r="P53">
        <v>3804724.8</v>
      </c>
      <c r="Q53">
        <v>13585854.4</v>
      </c>
      <c r="R53">
        <v>2437360.7999999998</v>
      </c>
      <c r="T53">
        <v>2.5114477713941601</v>
      </c>
      <c r="U53">
        <v>1.396061418222962</v>
      </c>
      <c r="V53">
        <v>1.391228823404526</v>
      </c>
      <c r="W53">
        <v>3.0452436601975932</v>
      </c>
      <c r="X53">
        <v>1.0524525703862311</v>
      </c>
      <c r="Y53">
        <v>2.8251849544001741</v>
      </c>
      <c r="Z53">
        <v>1.4853847686201329</v>
      </c>
      <c r="AA53">
        <v>3.4182617735990788</v>
      </c>
      <c r="AB53">
        <v>1.044075760192936</v>
      </c>
      <c r="AC53">
        <v>4.3612797453999521</v>
      </c>
      <c r="AD53">
        <v>2.327244499966036</v>
      </c>
      <c r="AE53">
        <v>6.5496713270025797</v>
      </c>
      <c r="AF53">
        <v>2.8002856412087569</v>
      </c>
      <c r="AH53">
        <v>2.5114477713941601</v>
      </c>
      <c r="AI53">
        <v>0.58486331420135684</v>
      </c>
      <c r="AJ53">
        <v>0.58697149259969594</v>
      </c>
      <c r="AK53">
        <v>3.0452436601975932</v>
      </c>
      <c r="AL53">
        <v>0.45375759798334908</v>
      </c>
      <c r="AM53">
        <v>2.8251849544001741</v>
      </c>
      <c r="AN53">
        <v>0.51615485500078651</v>
      </c>
      <c r="AO53">
        <v>3.4182617735990788</v>
      </c>
      <c r="AP53">
        <v>0.55835421280353326</v>
      </c>
      <c r="AQ53">
        <v>2.3487163598067129</v>
      </c>
      <c r="AR53">
        <v>0.4881251644168515</v>
      </c>
      <c r="AS53">
        <v>6.5496713270025797</v>
      </c>
      <c r="AT53">
        <v>1.431185632012784</v>
      </c>
      <c r="AV53">
        <v>0.25791481299675068</v>
      </c>
    </row>
    <row r="54" spans="1:48" x14ac:dyDescent="0.3">
      <c r="A54">
        <v>24</v>
      </c>
      <c r="B54" t="s">
        <v>78</v>
      </c>
      <c r="C54" t="s">
        <v>75</v>
      </c>
      <c r="D54" t="s">
        <v>66</v>
      </c>
      <c r="E54" s="3">
        <v>0</v>
      </c>
      <c r="F54">
        <v>414114.2</v>
      </c>
      <c r="G54">
        <v>3234675.6</v>
      </c>
      <c r="H54">
        <v>3278856</v>
      </c>
      <c r="I54">
        <v>355969</v>
      </c>
      <c r="J54">
        <v>1789694.2</v>
      </c>
      <c r="K54">
        <v>369603.2</v>
      </c>
      <c r="L54">
        <v>2035624</v>
      </c>
      <c r="M54">
        <v>185834.8</v>
      </c>
      <c r="N54">
        <v>3653191</v>
      </c>
      <c r="O54">
        <v>3528815.8</v>
      </c>
      <c r="P54">
        <v>4159958.2</v>
      </c>
      <c r="Q54">
        <v>708200.2</v>
      </c>
      <c r="R54">
        <v>9774928.8000000007</v>
      </c>
      <c r="T54">
        <v>0.82945844338973984</v>
      </c>
      <c r="U54">
        <v>2.8730884280113971</v>
      </c>
      <c r="V54">
        <v>2.8501055720029398</v>
      </c>
      <c r="W54">
        <v>0.813528856204357</v>
      </c>
      <c r="X54">
        <v>2.134553009812953</v>
      </c>
      <c r="Y54">
        <v>1.0429089657904109</v>
      </c>
      <c r="Z54">
        <v>2.311801690590801</v>
      </c>
      <c r="AA54">
        <v>0.32988073420128777</v>
      </c>
      <c r="AB54">
        <v>2.890816249989439</v>
      </c>
      <c r="AC54">
        <v>1.486792318586958</v>
      </c>
      <c r="AD54">
        <v>2.731685662595555</v>
      </c>
      <c r="AE54">
        <v>1.9507958706060891</v>
      </c>
      <c r="AF54">
        <v>7.863677496393211</v>
      </c>
      <c r="AH54">
        <v>0.82945844338973984</v>
      </c>
      <c r="AI54">
        <v>0.98567006521043365</v>
      </c>
      <c r="AJ54">
        <v>0.98496327040484177</v>
      </c>
      <c r="AK54">
        <v>0.813528856204357</v>
      </c>
      <c r="AL54">
        <v>0.76271796080982313</v>
      </c>
      <c r="AM54">
        <v>1.0429089657904109</v>
      </c>
      <c r="AN54">
        <v>0.74025482440483759</v>
      </c>
      <c r="AO54">
        <v>0.32988073420128777</v>
      </c>
      <c r="AP54">
        <v>1.024791407794692</v>
      </c>
      <c r="AQ54">
        <v>0.77097173338406721</v>
      </c>
      <c r="AR54">
        <v>0.57284622497973037</v>
      </c>
      <c r="AS54">
        <v>1.9507958706060891</v>
      </c>
      <c r="AT54">
        <v>5.18857706321287</v>
      </c>
      <c r="AV54">
        <v>0.26757292301044788</v>
      </c>
    </row>
    <row r="55" spans="1:48" x14ac:dyDescent="0.3">
      <c r="A55">
        <v>24</v>
      </c>
      <c r="B55" t="s">
        <v>79</v>
      </c>
      <c r="C55" t="s">
        <v>75</v>
      </c>
      <c r="D55" t="s">
        <v>66</v>
      </c>
      <c r="E55" s="3">
        <v>0</v>
      </c>
      <c r="F55">
        <v>328897.59999999998</v>
      </c>
      <c r="G55">
        <v>3380587.6</v>
      </c>
      <c r="H55">
        <v>3368987.4</v>
      </c>
      <c r="I55">
        <v>235216.4</v>
      </c>
      <c r="J55">
        <v>2147694.4</v>
      </c>
      <c r="K55">
        <v>248491</v>
      </c>
      <c r="L55">
        <v>2527464.4</v>
      </c>
      <c r="M55">
        <v>67910.8</v>
      </c>
      <c r="N55">
        <v>3014626.2</v>
      </c>
      <c r="O55">
        <v>3395854.4</v>
      </c>
      <c r="P55">
        <v>4186877</v>
      </c>
      <c r="Q55">
        <v>335678.2</v>
      </c>
      <c r="R55">
        <v>12169787.800000001</v>
      </c>
      <c r="T55">
        <v>0.66251926559489216</v>
      </c>
      <c r="U55">
        <v>2.9709699742030349</v>
      </c>
      <c r="V55">
        <v>2.956208634580253</v>
      </c>
      <c r="W55">
        <v>0.68500213701045143</v>
      </c>
      <c r="X55">
        <v>2.37202687379322</v>
      </c>
      <c r="Y55">
        <v>0.97816801520530139</v>
      </c>
      <c r="Z55">
        <v>2.451043680193834</v>
      </c>
      <c r="AA55">
        <v>0.16302744559943669</v>
      </c>
      <c r="AB55">
        <v>2.6753344588214532</v>
      </c>
      <c r="AC55">
        <v>1.355064621189376</v>
      </c>
      <c r="AD55">
        <v>2.7375967902771658</v>
      </c>
      <c r="AE55">
        <v>1.3489799893985039</v>
      </c>
      <c r="AF55">
        <v>8.5133402985928122</v>
      </c>
      <c r="AH55">
        <v>0.66251926559489216</v>
      </c>
      <c r="AI55">
        <v>1.0274806026020089</v>
      </c>
      <c r="AJ55">
        <v>1.0151586035906801</v>
      </c>
      <c r="AK55">
        <v>0.68500213701045143</v>
      </c>
      <c r="AL55">
        <v>0.88932934258482421</v>
      </c>
      <c r="AM55">
        <v>0.97816801520530139</v>
      </c>
      <c r="AN55">
        <v>0.87439692699699667</v>
      </c>
      <c r="AO55">
        <v>0.16302744559943669</v>
      </c>
      <c r="AP55">
        <v>1.002630230988143</v>
      </c>
      <c r="AQ55">
        <v>0.70283733919495717</v>
      </c>
      <c r="AR55">
        <v>0.59997620380017902</v>
      </c>
      <c r="AS55">
        <v>1.3489799893985039</v>
      </c>
      <c r="AT55">
        <v>5.4225755182036668</v>
      </c>
      <c r="AV55">
        <v>0.25439355140551922</v>
      </c>
    </row>
    <row r="56" spans="1:48" x14ac:dyDescent="0.3">
      <c r="A56">
        <v>24</v>
      </c>
      <c r="B56" t="s">
        <v>80</v>
      </c>
      <c r="C56" t="s">
        <v>75</v>
      </c>
      <c r="D56" t="s">
        <v>66</v>
      </c>
      <c r="E56" s="3">
        <v>1</v>
      </c>
      <c r="F56">
        <v>2180548</v>
      </c>
      <c r="G56">
        <v>1162463</v>
      </c>
      <c r="H56">
        <v>1155481.6000000001</v>
      </c>
      <c r="I56">
        <v>7568929</v>
      </c>
      <c r="J56">
        <v>567363</v>
      </c>
      <c r="K56">
        <v>10126395.6</v>
      </c>
      <c r="L56">
        <v>622441</v>
      </c>
      <c r="M56">
        <v>5117375.4000000004</v>
      </c>
      <c r="N56">
        <v>524762.6</v>
      </c>
      <c r="O56">
        <v>7570115.2000000002</v>
      </c>
      <c r="P56">
        <v>3836306.4</v>
      </c>
      <c r="Q56">
        <v>9604938.1999999993</v>
      </c>
      <c r="R56">
        <v>2100768</v>
      </c>
      <c r="T56">
        <v>2.0823846635990781</v>
      </c>
      <c r="U56">
        <v>1.287986795417964</v>
      </c>
      <c r="V56">
        <v>1.2584917214058811</v>
      </c>
      <c r="W56">
        <v>3.4623796515865251</v>
      </c>
      <c r="X56">
        <v>0.99924548579147088</v>
      </c>
      <c r="Y56">
        <v>4.6004550503974313</v>
      </c>
      <c r="Z56">
        <v>1.472447603597538</v>
      </c>
      <c r="AA56">
        <v>3.3439520936051852</v>
      </c>
      <c r="AB56">
        <v>0.81728146058740092</v>
      </c>
      <c r="AC56">
        <v>4.4339094197959641</v>
      </c>
      <c r="AD56">
        <v>2.35878134018858</v>
      </c>
      <c r="AE56">
        <v>5.366636908007786</v>
      </c>
      <c r="AF56">
        <v>2.403524767013733</v>
      </c>
      <c r="AH56">
        <v>2.0823846635990781</v>
      </c>
      <c r="AI56">
        <v>0.58720543400850145</v>
      </c>
      <c r="AJ56">
        <v>0.56429724880727006</v>
      </c>
      <c r="AK56">
        <v>3.4623796515865251</v>
      </c>
      <c r="AL56">
        <v>0.43855615740758369</v>
      </c>
      <c r="AM56">
        <v>4.6004550503974313</v>
      </c>
      <c r="AN56">
        <v>0.48157249321811829</v>
      </c>
      <c r="AO56">
        <v>3.3439520936051852</v>
      </c>
      <c r="AP56">
        <v>0.47696200379868969</v>
      </c>
      <c r="AQ56">
        <v>2.4043747153948059</v>
      </c>
      <c r="AR56">
        <v>0.49992927338462317</v>
      </c>
      <c r="AS56">
        <v>5.366636908007786</v>
      </c>
      <c r="AT56">
        <v>1.2941642699937801</v>
      </c>
      <c r="AV56">
        <v>0.25786663020262501</v>
      </c>
    </row>
    <row r="57" spans="1:48" x14ac:dyDescent="0.3">
      <c r="A57">
        <v>24</v>
      </c>
      <c r="B57" t="s">
        <v>81</v>
      </c>
      <c r="C57" t="s">
        <v>75</v>
      </c>
      <c r="D57" t="s">
        <v>66</v>
      </c>
      <c r="E57" s="3">
        <v>0</v>
      </c>
      <c r="F57">
        <v>6904071</v>
      </c>
      <c r="G57">
        <v>2257541.6</v>
      </c>
      <c r="H57">
        <v>2309637</v>
      </c>
      <c r="I57">
        <v>4053004.4</v>
      </c>
      <c r="J57">
        <v>994108.2</v>
      </c>
      <c r="K57">
        <v>2835324</v>
      </c>
      <c r="L57">
        <v>1083968</v>
      </c>
      <c r="M57">
        <v>10738918.4</v>
      </c>
      <c r="N57">
        <v>1437678.4</v>
      </c>
      <c r="O57">
        <v>7483609.4000000004</v>
      </c>
      <c r="P57">
        <v>3849220</v>
      </c>
      <c r="Q57">
        <v>43890192.200000003</v>
      </c>
      <c r="R57">
        <v>3256634.6</v>
      </c>
      <c r="T57">
        <v>5.561015122203389</v>
      </c>
      <c r="U57">
        <v>1.9874339358066211</v>
      </c>
      <c r="V57">
        <v>1.981319633004023</v>
      </c>
      <c r="W57">
        <v>4.1524062520009464</v>
      </c>
      <c r="X57">
        <v>1.48427703420748</v>
      </c>
      <c r="Y57">
        <v>2.372776073805289</v>
      </c>
      <c r="Z57">
        <v>1.956526644044789</v>
      </c>
      <c r="AA57">
        <v>7.8978217584022783</v>
      </c>
      <c r="AB57">
        <v>1.5986731249606241</v>
      </c>
      <c r="AC57">
        <v>4.4028862599981951</v>
      </c>
      <c r="AD57">
        <v>2.376065932231723</v>
      </c>
      <c r="AE57">
        <v>15.843590510002111</v>
      </c>
      <c r="AF57">
        <v>3.2763899290177512</v>
      </c>
      <c r="AH57">
        <v>5.561015122203389</v>
      </c>
      <c r="AI57">
        <v>0.73601411822019147</v>
      </c>
      <c r="AJ57">
        <v>0.74626739119412377</v>
      </c>
      <c r="AK57">
        <v>4.1524062520009464</v>
      </c>
      <c r="AL57">
        <v>0.56195687918225301</v>
      </c>
      <c r="AM57">
        <v>2.372776073805289</v>
      </c>
      <c r="AN57">
        <v>0.61882680520648137</v>
      </c>
      <c r="AO57">
        <v>7.8978217584022783</v>
      </c>
      <c r="AP57">
        <v>0.67197990900021976</v>
      </c>
      <c r="AQ57">
        <v>2.3796549826045519</v>
      </c>
      <c r="AR57">
        <v>0.49200972598046072</v>
      </c>
      <c r="AS57">
        <v>15.843590510002111</v>
      </c>
      <c r="AT57">
        <v>1.800777383800596</v>
      </c>
      <c r="AV57">
        <v>0.25211266820551831</v>
      </c>
    </row>
    <row r="58" spans="1:48" x14ac:dyDescent="0.3">
      <c r="A58">
        <v>24</v>
      </c>
      <c r="B58" t="s">
        <v>82</v>
      </c>
      <c r="C58" t="s">
        <v>75</v>
      </c>
      <c r="D58" t="s">
        <v>66</v>
      </c>
      <c r="E58" s="3">
        <v>0</v>
      </c>
      <c r="F58">
        <v>1297565.2</v>
      </c>
      <c r="G58">
        <v>3625923</v>
      </c>
      <c r="H58">
        <v>3707084.4</v>
      </c>
      <c r="I58">
        <v>962221.8</v>
      </c>
      <c r="J58">
        <v>2224723.4</v>
      </c>
      <c r="K58">
        <v>1087804.6000000001</v>
      </c>
      <c r="L58">
        <v>2554449.2000000002</v>
      </c>
      <c r="M58">
        <v>840370</v>
      </c>
      <c r="N58">
        <v>4212260.2</v>
      </c>
      <c r="O58">
        <v>3530230</v>
      </c>
      <c r="P58">
        <v>4160664.2</v>
      </c>
      <c r="Q58">
        <v>3234570.4</v>
      </c>
      <c r="R58">
        <v>10098929.800000001</v>
      </c>
      <c r="T58">
        <v>1.576505796192214</v>
      </c>
      <c r="U58">
        <v>3.1220772671978918</v>
      </c>
      <c r="V58">
        <v>3.1135200621967671</v>
      </c>
      <c r="W58">
        <v>1.6044784716039431</v>
      </c>
      <c r="X58">
        <v>2.5593730663822498</v>
      </c>
      <c r="Y58">
        <v>1.8102053254086059</v>
      </c>
      <c r="Z58">
        <v>2.7816938348056279</v>
      </c>
      <c r="AA58">
        <v>1.161055536998902</v>
      </c>
      <c r="AB58">
        <v>3.4000196165754462</v>
      </c>
      <c r="AC58">
        <v>1.482728224789025</v>
      </c>
      <c r="AD58">
        <v>2.7147677817905791</v>
      </c>
      <c r="AE58">
        <v>3.9799260694009719</v>
      </c>
      <c r="AF58">
        <v>7.8802028833713846</v>
      </c>
      <c r="AH58">
        <v>1.576505796192214</v>
      </c>
      <c r="AI58">
        <v>1.085739725612803</v>
      </c>
      <c r="AJ58">
        <v>1.1068146214005541</v>
      </c>
      <c r="AK58">
        <v>1.6044784716039431</v>
      </c>
      <c r="AL58">
        <v>0.93347199458512475</v>
      </c>
      <c r="AM58">
        <v>1.8102053254086059</v>
      </c>
      <c r="AN58">
        <v>0.90511660581105391</v>
      </c>
      <c r="AO58">
        <v>1.161055536998902</v>
      </c>
      <c r="AP58">
        <v>1.0694441693893171</v>
      </c>
      <c r="AQ58">
        <v>0.77098661978379823</v>
      </c>
      <c r="AR58">
        <v>0.5693348399829119</v>
      </c>
      <c r="AS58">
        <v>3.9799260694009719</v>
      </c>
      <c r="AT58">
        <v>5.2101116043922957</v>
      </c>
      <c r="AV58">
        <v>0.25634067280916489</v>
      </c>
    </row>
    <row r="59" spans="1:48" x14ac:dyDescent="0.3">
      <c r="A59">
        <v>4</v>
      </c>
      <c r="B59" t="s">
        <v>83</v>
      </c>
      <c r="C59" t="s">
        <v>84</v>
      </c>
      <c r="D59" t="s">
        <v>66</v>
      </c>
      <c r="E59" s="3">
        <v>0</v>
      </c>
      <c r="F59">
        <v>1465680.2</v>
      </c>
      <c r="G59">
        <v>2306244.4</v>
      </c>
      <c r="H59">
        <v>2378536.7999999998</v>
      </c>
      <c r="I59">
        <v>2004888.8</v>
      </c>
      <c r="J59">
        <v>1284933.3999999999</v>
      </c>
      <c r="K59">
        <v>2157026.6</v>
      </c>
      <c r="L59">
        <v>1284565.8</v>
      </c>
      <c r="M59">
        <v>1414445.2</v>
      </c>
      <c r="N59">
        <v>1754577.6</v>
      </c>
      <c r="O59">
        <v>3393315.6</v>
      </c>
      <c r="P59">
        <v>3533452.6</v>
      </c>
      <c r="Q59">
        <v>7725292.4000000004</v>
      </c>
      <c r="R59">
        <v>3362329.2</v>
      </c>
      <c r="T59">
        <v>1.828576385404449</v>
      </c>
      <c r="U59">
        <v>2.3648785640078129</v>
      </c>
      <c r="V59">
        <v>2.4372761268285101</v>
      </c>
      <c r="W59">
        <v>3.1364859764056749</v>
      </c>
      <c r="X59">
        <v>2.296716560341884</v>
      </c>
      <c r="Y59">
        <v>2.971417685196502</v>
      </c>
      <c r="Z59">
        <v>2.3156137301702979</v>
      </c>
      <c r="AA59">
        <v>1.5096124591946141</v>
      </c>
      <c r="AB59">
        <v>1.8266260661825069</v>
      </c>
      <c r="AC59">
        <v>1.338585626595886</v>
      </c>
      <c r="AD59">
        <v>2.2576630822208239</v>
      </c>
      <c r="AE59">
        <v>5.4645018103939949</v>
      </c>
      <c r="AF59">
        <v>4.7320458477828664</v>
      </c>
      <c r="AH59">
        <v>1.828576385404449</v>
      </c>
      <c r="AI59">
        <v>0.94411615800345317</v>
      </c>
      <c r="AJ59">
        <v>0.99649906580452807</v>
      </c>
      <c r="AK59">
        <v>3.1364859764056749</v>
      </c>
      <c r="AL59">
        <v>0.96542744657490398</v>
      </c>
      <c r="AM59">
        <v>2.971417685196502</v>
      </c>
      <c r="AN59">
        <v>0.82949212499079295</v>
      </c>
      <c r="AO59">
        <v>1.5096124591946141</v>
      </c>
      <c r="AP59">
        <v>0.7483082891965751</v>
      </c>
      <c r="AQ59">
        <v>0.69230543980374937</v>
      </c>
      <c r="AR59">
        <v>0.51974479240598159</v>
      </c>
      <c r="AS59">
        <v>5.4645018103939949</v>
      </c>
      <c r="AT59">
        <v>2.8751582572003831</v>
      </c>
      <c r="AV59">
        <v>0.36837770499987521</v>
      </c>
    </row>
    <row r="60" spans="1:48" x14ac:dyDescent="0.3">
      <c r="A60">
        <v>4</v>
      </c>
      <c r="B60" t="s">
        <v>85</v>
      </c>
      <c r="C60" t="s">
        <v>84</v>
      </c>
      <c r="D60" t="s">
        <v>66</v>
      </c>
      <c r="E60" s="3">
        <v>1</v>
      </c>
      <c r="F60">
        <v>7040893.2000000002</v>
      </c>
      <c r="G60">
        <v>2514979.2000000002</v>
      </c>
      <c r="H60">
        <v>2520728.2000000002</v>
      </c>
      <c r="I60">
        <v>6888278.7999999998</v>
      </c>
      <c r="J60">
        <v>950997</v>
      </c>
      <c r="K60">
        <v>6394892.7999999998</v>
      </c>
      <c r="L60">
        <v>1050700.2</v>
      </c>
      <c r="M60">
        <v>15975768.6</v>
      </c>
      <c r="N60">
        <v>1370524</v>
      </c>
      <c r="O60">
        <v>7598860.4000000004</v>
      </c>
      <c r="P60">
        <v>4330214.5999999996</v>
      </c>
      <c r="Q60">
        <v>20961509</v>
      </c>
      <c r="R60">
        <v>3107227.6</v>
      </c>
      <c r="T60">
        <v>5.3194147318019533</v>
      </c>
      <c r="U60">
        <v>2.2817530585918582</v>
      </c>
      <c r="V60">
        <v>2.375737979001133</v>
      </c>
      <c r="W60">
        <v>6.1578949737944644</v>
      </c>
      <c r="X60">
        <v>1.5539407631615181</v>
      </c>
      <c r="Y60">
        <v>4.8089681328099676</v>
      </c>
      <c r="Z60">
        <v>2.0320753521926229</v>
      </c>
      <c r="AA60">
        <v>11.236959121795371</v>
      </c>
      <c r="AB60">
        <v>1.6804567172017419</v>
      </c>
      <c r="AC60">
        <v>4.4762843597971367</v>
      </c>
      <c r="AD60">
        <v>2.8503274421324019</v>
      </c>
      <c r="AE60">
        <v>9.2298243512050249</v>
      </c>
      <c r="AF60">
        <v>3.5171800616139079</v>
      </c>
      <c r="AH60">
        <v>5.3194147318019533</v>
      </c>
      <c r="AI60">
        <v>0.99286004439927633</v>
      </c>
      <c r="AJ60">
        <v>1.038119611615548</v>
      </c>
      <c r="AK60">
        <v>6.1578949737944644</v>
      </c>
      <c r="AL60">
        <v>0.71309707539039668</v>
      </c>
      <c r="AM60">
        <v>4.8089681328099676</v>
      </c>
      <c r="AN60">
        <v>0.81185378300142474</v>
      </c>
      <c r="AO60">
        <v>11.236959121795371</v>
      </c>
      <c r="AP60">
        <v>0.80188182679703457</v>
      </c>
      <c r="AQ60">
        <v>2.4232668443990399</v>
      </c>
      <c r="AR60">
        <v>0.60509891939582305</v>
      </c>
      <c r="AS60">
        <v>9.2298243512050249</v>
      </c>
      <c r="AT60">
        <v>1.7890485668147449</v>
      </c>
      <c r="AV60">
        <v>0.37568834219127889</v>
      </c>
    </row>
    <row r="61" spans="1:48" x14ac:dyDescent="0.3">
      <c r="A61">
        <v>4</v>
      </c>
      <c r="B61" t="s">
        <v>86</v>
      </c>
      <c r="C61" t="s">
        <v>84</v>
      </c>
      <c r="D61" t="s">
        <v>66</v>
      </c>
      <c r="E61" s="3">
        <v>0</v>
      </c>
      <c r="F61">
        <v>2754637.4</v>
      </c>
      <c r="G61">
        <v>1389052.2</v>
      </c>
      <c r="H61">
        <v>1379270.2</v>
      </c>
      <c r="I61">
        <v>4808313.4000000004</v>
      </c>
      <c r="J61">
        <v>613926</v>
      </c>
      <c r="K61">
        <v>4348298.4000000004</v>
      </c>
      <c r="L61">
        <v>659793.19999999995</v>
      </c>
      <c r="M61">
        <v>4566077.4000000004</v>
      </c>
      <c r="N61">
        <v>613918.80000000005</v>
      </c>
      <c r="O61">
        <v>7454517.4000000004</v>
      </c>
      <c r="P61">
        <v>4258946.5999999996</v>
      </c>
      <c r="Q61">
        <v>13585854.4</v>
      </c>
      <c r="R61">
        <v>1584939</v>
      </c>
      <c r="T61">
        <v>2.4455474297923501</v>
      </c>
      <c r="U61">
        <v>1.51162134820479</v>
      </c>
      <c r="V61">
        <v>1.4870830888045019</v>
      </c>
      <c r="W61">
        <v>3.1389336918015029</v>
      </c>
      <c r="X61">
        <v>1.25970856481581</v>
      </c>
      <c r="Y61">
        <v>2.9806146782008001</v>
      </c>
      <c r="Z61">
        <v>1.684687251580181</v>
      </c>
      <c r="AA61">
        <v>3.4931720607972241</v>
      </c>
      <c r="AB61">
        <v>0.99933468401432035</v>
      </c>
      <c r="AC61">
        <v>4.3481199860165356</v>
      </c>
      <c r="AD61">
        <v>2.7705723597260659</v>
      </c>
      <c r="AE61">
        <v>6.6579467330011539</v>
      </c>
      <c r="AF61">
        <v>2.6738672195642721</v>
      </c>
      <c r="AH61">
        <v>2.4455474297923501</v>
      </c>
      <c r="AI61">
        <v>0.62488580661010928</v>
      </c>
      <c r="AJ61">
        <v>0.60121861619991246</v>
      </c>
      <c r="AK61">
        <v>3.1389336918015029</v>
      </c>
      <c r="AL61">
        <v>0.52697476580506186</v>
      </c>
      <c r="AM61">
        <v>2.9806146782008001</v>
      </c>
      <c r="AN61">
        <v>0.56336782400612717</v>
      </c>
      <c r="AO61">
        <v>3.4931720607972241</v>
      </c>
      <c r="AP61">
        <v>0.50494471481652003</v>
      </c>
      <c r="AQ61">
        <v>2.346256696619093</v>
      </c>
      <c r="AR61">
        <v>0.58122305279248399</v>
      </c>
      <c r="AS61">
        <v>6.6579467330011539</v>
      </c>
      <c r="AT61">
        <v>1.2582722719875159</v>
      </c>
      <c r="AV61">
        <v>0.37150933000375519</v>
      </c>
    </row>
    <row r="62" spans="1:48" x14ac:dyDescent="0.3">
      <c r="A62">
        <v>4</v>
      </c>
      <c r="B62" t="s">
        <v>87</v>
      </c>
      <c r="C62" t="s">
        <v>84</v>
      </c>
      <c r="D62" t="s">
        <v>66</v>
      </c>
      <c r="E62" s="3">
        <v>0</v>
      </c>
      <c r="F62">
        <v>414114.2</v>
      </c>
      <c r="G62">
        <v>1588564.2</v>
      </c>
      <c r="H62">
        <v>1599258.6</v>
      </c>
      <c r="I62">
        <v>355969</v>
      </c>
      <c r="J62">
        <v>768294.6</v>
      </c>
      <c r="K62">
        <v>369603.2</v>
      </c>
      <c r="L62">
        <v>848844.80000000005</v>
      </c>
      <c r="M62">
        <v>185834.8</v>
      </c>
      <c r="N62">
        <v>956411.2</v>
      </c>
      <c r="O62">
        <v>3528815.8</v>
      </c>
      <c r="P62">
        <v>3531725.6</v>
      </c>
      <c r="Q62">
        <v>708200.2</v>
      </c>
      <c r="R62">
        <v>2549499.4</v>
      </c>
      <c r="T62">
        <v>0.74535021460615103</v>
      </c>
      <c r="U62">
        <v>1.7739671529561749</v>
      </c>
      <c r="V62">
        <v>1.838113662024262</v>
      </c>
      <c r="W62">
        <v>0.81351439299760386</v>
      </c>
      <c r="X62">
        <v>1.5542201001779179</v>
      </c>
      <c r="Y62">
        <v>1.1222367099951951</v>
      </c>
      <c r="Z62">
        <v>2.0795564030355309</v>
      </c>
      <c r="AA62">
        <v>0.34772789659909897</v>
      </c>
      <c r="AB62">
        <v>1.3635685752436979</v>
      </c>
      <c r="AC62">
        <v>1.5504098007979339</v>
      </c>
      <c r="AD62">
        <v>2.3353983907902149</v>
      </c>
      <c r="AE62">
        <v>1.995816965808626</v>
      </c>
      <c r="AF62">
        <v>3.4508259667956742</v>
      </c>
      <c r="AH62">
        <v>0.74535021460615103</v>
      </c>
      <c r="AI62">
        <v>0.73298834398738111</v>
      </c>
      <c r="AJ62">
        <v>0.79478253480629069</v>
      </c>
      <c r="AK62">
        <v>0.81351439299760386</v>
      </c>
      <c r="AL62">
        <v>0.69701892140437849</v>
      </c>
      <c r="AM62">
        <v>1.1222367099951951</v>
      </c>
      <c r="AN62">
        <v>0.78048791979672383</v>
      </c>
      <c r="AO62">
        <v>0.34772789659909897</v>
      </c>
      <c r="AP62">
        <v>0.63116179801872929</v>
      </c>
      <c r="AQ62">
        <v>0.80679112359066496</v>
      </c>
      <c r="AR62">
        <v>0.54152747641783205</v>
      </c>
      <c r="AS62">
        <v>1.995816965808626</v>
      </c>
      <c r="AT62">
        <v>1.867252518585883</v>
      </c>
      <c r="AV62">
        <v>0.3675659633940086</v>
      </c>
    </row>
    <row r="63" spans="1:48" x14ac:dyDescent="0.3">
      <c r="A63">
        <v>4</v>
      </c>
      <c r="B63" t="s">
        <v>88</v>
      </c>
      <c r="C63" t="s">
        <v>84</v>
      </c>
      <c r="D63" t="s">
        <v>66</v>
      </c>
      <c r="E63" s="3">
        <v>0</v>
      </c>
      <c r="F63">
        <v>328897.59999999998</v>
      </c>
      <c r="G63">
        <v>1340510.8</v>
      </c>
      <c r="H63">
        <v>1354864.2</v>
      </c>
      <c r="I63">
        <v>235216.4</v>
      </c>
      <c r="J63">
        <v>765982.6</v>
      </c>
      <c r="K63">
        <v>248491</v>
      </c>
      <c r="L63">
        <v>821619.19999999995</v>
      </c>
      <c r="M63">
        <v>67910.8</v>
      </c>
      <c r="N63">
        <v>672552.4</v>
      </c>
      <c r="O63">
        <v>3395854.4</v>
      </c>
      <c r="P63">
        <v>3483782.2</v>
      </c>
      <c r="Q63">
        <v>335678.2</v>
      </c>
      <c r="R63">
        <v>2368454</v>
      </c>
      <c r="T63">
        <v>0.63174879279104057</v>
      </c>
      <c r="U63">
        <v>1.6262287883961111</v>
      </c>
      <c r="V63">
        <v>1.683188080176478</v>
      </c>
      <c r="W63">
        <v>0.70208621560013851</v>
      </c>
      <c r="X63">
        <v>1.5853400476218671</v>
      </c>
      <c r="Y63">
        <v>1.044469153007958</v>
      </c>
      <c r="Z63">
        <v>2.149301414802903</v>
      </c>
      <c r="AA63">
        <v>0.18365609480533751</v>
      </c>
      <c r="AB63">
        <v>1.208629932586337</v>
      </c>
      <c r="AC63">
        <v>1.4088199711928611</v>
      </c>
      <c r="AD63">
        <v>2.309532201476395</v>
      </c>
      <c r="AE63">
        <v>1.2824631781957581</v>
      </c>
      <c r="AF63">
        <v>3.2406023542222102</v>
      </c>
      <c r="AH63">
        <v>0.63174879279104057</v>
      </c>
      <c r="AI63">
        <v>0.63939608919899915</v>
      </c>
      <c r="AJ63">
        <v>0.69433950180537063</v>
      </c>
      <c r="AK63">
        <v>0.70208621560013851</v>
      </c>
      <c r="AL63">
        <v>0.72567532321554606</v>
      </c>
      <c r="AM63">
        <v>1.044469153007958</v>
      </c>
      <c r="AN63">
        <v>0.86974463419755921</v>
      </c>
      <c r="AO63">
        <v>0.18365609480533751</v>
      </c>
      <c r="AP63">
        <v>0.59685810399823824</v>
      </c>
      <c r="AQ63">
        <v>0.72797093199915253</v>
      </c>
      <c r="AR63">
        <v>0.53802608580444944</v>
      </c>
      <c r="AS63">
        <v>1.2824631781957581</v>
      </c>
      <c r="AT63">
        <v>1.6112807402096221</v>
      </c>
      <c r="AV63">
        <v>0.39190587820485229</v>
      </c>
    </row>
    <row r="64" spans="1:48" x14ac:dyDescent="0.3">
      <c r="A64">
        <v>4</v>
      </c>
      <c r="B64" t="s">
        <v>89</v>
      </c>
      <c r="C64" t="s">
        <v>84</v>
      </c>
      <c r="D64" t="s">
        <v>66</v>
      </c>
      <c r="E64" s="3">
        <v>0</v>
      </c>
      <c r="F64">
        <v>2180548</v>
      </c>
      <c r="G64">
        <v>1389020</v>
      </c>
      <c r="H64">
        <v>1390535.4</v>
      </c>
      <c r="I64">
        <v>7568929</v>
      </c>
      <c r="J64">
        <v>548217</v>
      </c>
      <c r="K64">
        <v>10126395.6</v>
      </c>
      <c r="L64">
        <v>599419.4</v>
      </c>
      <c r="M64">
        <v>5117375.4000000004</v>
      </c>
      <c r="N64">
        <v>742206</v>
      </c>
      <c r="O64">
        <v>7570115.2000000002</v>
      </c>
      <c r="P64">
        <v>4307185.5999999996</v>
      </c>
      <c r="Q64">
        <v>9604938.1999999993</v>
      </c>
      <c r="R64">
        <v>1697518.2</v>
      </c>
      <c r="T64">
        <v>2.0411228864104491</v>
      </c>
      <c r="U64">
        <v>1.5985599560022821</v>
      </c>
      <c r="V64">
        <v>1.6238108940189699</v>
      </c>
      <c r="W64">
        <v>3.7625958774064201</v>
      </c>
      <c r="X64">
        <v>1.2805453039938579</v>
      </c>
      <c r="Y64">
        <v>4.7765969225962177</v>
      </c>
      <c r="Z64">
        <v>1.643134495831327</v>
      </c>
      <c r="AA64">
        <v>3.3567859750008209</v>
      </c>
      <c r="AB64">
        <v>1.1039464801899159</v>
      </c>
      <c r="AC64">
        <v>4.4291121307993304</v>
      </c>
      <c r="AD64">
        <v>2.7956129713857081</v>
      </c>
      <c r="AE64">
        <v>5.542913351993775</v>
      </c>
      <c r="AF64">
        <v>2.846047203009948</v>
      </c>
      <c r="AH64">
        <v>2.0411228864104491</v>
      </c>
      <c r="AI64">
        <v>0.66313657260034231</v>
      </c>
      <c r="AJ64">
        <v>0.67232729060924612</v>
      </c>
      <c r="AK64">
        <v>3.7625958774064201</v>
      </c>
      <c r="AL64">
        <v>0.5594456091988832</v>
      </c>
      <c r="AM64">
        <v>4.7765969225962177</v>
      </c>
      <c r="AN64">
        <v>0.56211751460214143</v>
      </c>
      <c r="AO64">
        <v>3.3567859750008209</v>
      </c>
      <c r="AP64">
        <v>0.50905398219474596</v>
      </c>
      <c r="AQ64">
        <v>2.3969344034034288</v>
      </c>
      <c r="AR64">
        <v>0.57669727739412335</v>
      </c>
      <c r="AS64">
        <v>5.542913351993775</v>
      </c>
      <c r="AT64">
        <v>1.391952888382366</v>
      </c>
      <c r="AV64">
        <v>0.42359482739702797</v>
      </c>
    </row>
    <row r="65" spans="1:48" x14ac:dyDescent="0.3">
      <c r="A65">
        <v>4</v>
      </c>
      <c r="B65" t="s">
        <v>90</v>
      </c>
      <c r="C65" t="s">
        <v>84</v>
      </c>
      <c r="D65" t="s">
        <v>66</v>
      </c>
      <c r="E65" s="3">
        <v>1</v>
      </c>
      <c r="F65">
        <v>6904071</v>
      </c>
      <c r="G65">
        <v>2618038.4</v>
      </c>
      <c r="H65">
        <v>2644609.4</v>
      </c>
      <c r="I65">
        <v>4053004.4</v>
      </c>
      <c r="J65">
        <v>943508.4</v>
      </c>
      <c r="K65">
        <v>2835324</v>
      </c>
      <c r="L65">
        <v>1040184</v>
      </c>
      <c r="M65">
        <v>10738918.4</v>
      </c>
      <c r="N65">
        <v>1746889.2</v>
      </c>
      <c r="O65">
        <v>7483609.4000000004</v>
      </c>
      <c r="P65">
        <v>4294746</v>
      </c>
      <c r="Q65">
        <v>43890192.200000003</v>
      </c>
      <c r="R65">
        <v>3887150.4</v>
      </c>
      <c r="T65">
        <v>5.5809706739964886</v>
      </c>
      <c r="U65">
        <v>2.4795752762001939</v>
      </c>
      <c r="V65">
        <v>2.4733164273900909</v>
      </c>
      <c r="W65">
        <v>4.3309253462008197</v>
      </c>
      <c r="X65">
        <v>1.5696089407952969</v>
      </c>
      <c r="Y65">
        <v>2.4253032390028242</v>
      </c>
      <c r="Z65">
        <v>1.9799859857594131</v>
      </c>
      <c r="AA65">
        <v>8.1034439838083934</v>
      </c>
      <c r="AB65">
        <v>1.920993015787098</v>
      </c>
      <c r="AC65">
        <v>4.3378439240157602</v>
      </c>
      <c r="AD65">
        <v>2.797504040558124</v>
      </c>
      <c r="AE65">
        <v>16.150874862406631</v>
      </c>
      <c r="AF65">
        <v>3.906821173016215</v>
      </c>
      <c r="AH65">
        <v>5.5809706739964886</v>
      </c>
      <c r="AI65">
        <v>1.0694039658119441</v>
      </c>
      <c r="AJ65">
        <v>1.075298493006267</v>
      </c>
      <c r="AK65">
        <v>4.3309253462008197</v>
      </c>
      <c r="AL65">
        <v>0.72987874860409652</v>
      </c>
      <c r="AM65">
        <v>2.4253032390028242</v>
      </c>
      <c r="AN65">
        <v>0.77170542639214545</v>
      </c>
      <c r="AO65">
        <v>8.1034439838083934</v>
      </c>
      <c r="AP65">
        <v>0.94005430098040965</v>
      </c>
      <c r="AQ65">
        <v>2.343033963610651</v>
      </c>
      <c r="AR65">
        <v>0.58809643062413675</v>
      </c>
      <c r="AS65">
        <v>16.150874862406631</v>
      </c>
      <c r="AT65">
        <v>2.107942980405642</v>
      </c>
      <c r="AV65">
        <v>0.37433874980779358</v>
      </c>
    </row>
    <row r="66" spans="1:48" x14ac:dyDescent="0.3">
      <c r="A66">
        <v>4</v>
      </c>
      <c r="B66" t="s">
        <v>91</v>
      </c>
      <c r="C66" t="s">
        <v>84</v>
      </c>
      <c r="D66" t="s">
        <v>66</v>
      </c>
      <c r="E66" s="3">
        <v>0</v>
      </c>
      <c r="F66">
        <v>1297565.2</v>
      </c>
      <c r="G66">
        <v>2263980.4</v>
      </c>
      <c r="H66">
        <v>2444291.4</v>
      </c>
      <c r="I66">
        <v>962221.8</v>
      </c>
      <c r="J66">
        <v>1655648.4</v>
      </c>
      <c r="K66">
        <v>1087804.6000000001</v>
      </c>
      <c r="L66">
        <v>1681748.2</v>
      </c>
      <c r="M66">
        <v>840370</v>
      </c>
      <c r="N66">
        <v>1937942.6</v>
      </c>
      <c r="O66">
        <v>3530230</v>
      </c>
      <c r="P66">
        <v>3571963.8</v>
      </c>
      <c r="Q66">
        <v>3234570.4</v>
      </c>
      <c r="R66">
        <v>3289928.2</v>
      </c>
      <c r="T66">
        <v>1.494123247795506</v>
      </c>
      <c r="U66">
        <v>2.3267415677895769</v>
      </c>
      <c r="V66">
        <v>2.4619402317912318</v>
      </c>
      <c r="W66">
        <v>1.708171539404429</v>
      </c>
      <c r="X66">
        <v>2.5234679123968822</v>
      </c>
      <c r="Y66">
        <v>1.891543643799378</v>
      </c>
      <c r="Z66">
        <v>2.6667061381856909</v>
      </c>
      <c r="AA66">
        <v>1.186225727206329</v>
      </c>
      <c r="AB66">
        <v>1.840998424799182</v>
      </c>
      <c r="AC66">
        <v>1.480092508206144</v>
      </c>
      <c r="AD66">
        <v>2.314702903368743</v>
      </c>
      <c r="AE66">
        <v>3.8669139395991809</v>
      </c>
      <c r="AF66">
        <v>4.6321546963998106</v>
      </c>
      <c r="AH66">
        <v>1.494123247795506</v>
      </c>
      <c r="AI66">
        <v>1.044245902990224</v>
      </c>
      <c r="AJ66">
        <v>1.1341743519937151</v>
      </c>
      <c r="AK66">
        <v>1.708171539404429</v>
      </c>
      <c r="AL66">
        <v>1.225560917804251</v>
      </c>
      <c r="AM66">
        <v>1.891543643799378</v>
      </c>
      <c r="AN66">
        <v>1.120149715605657</v>
      </c>
      <c r="AO66">
        <v>1.186225727206329</v>
      </c>
      <c r="AP66">
        <v>0.99302905860240576</v>
      </c>
      <c r="AQ66">
        <v>0.77096348000923176</v>
      </c>
      <c r="AR66">
        <v>0.53475842479383573</v>
      </c>
      <c r="AS66">
        <v>3.8669139395991809</v>
      </c>
      <c r="AT66">
        <v>2.8440597110020458</v>
      </c>
      <c r="AV66">
        <v>0.42062814739765603</v>
      </c>
    </row>
    <row r="67" spans="1:48" x14ac:dyDescent="0.3">
      <c r="A67">
        <v>5</v>
      </c>
      <c r="B67" t="s">
        <v>92</v>
      </c>
      <c r="C67" t="s">
        <v>93</v>
      </c>
      <c r="D67" t="s">
        <v>94</v>
      </c>
      <c r="E67" s="3">
        <v>0</v>
      </c>
      <c r="F67">
        <v>208371</v>
      </c>
      <c r="G67">
        <v>309468.59999999998</v>
      </c>
      <c r="H67">
        <v>309546.59999999998</v>
      </c>
      <c r="I67">
        <v>201376.6</v>
      </c>
      <c r="J67">
        <v>207616.6</v>
      </c>
      <c r="K67">
        <v>204585.8</v>
      </c>
      <c r="L67">
        <v>214411.8</v>
      </c>
      <c r="M67">
        <v>2603.1999999999998</v>
      </c>
      <c r="N67">
        <v>18431.599999999999</v>
      </c>
      <c r="O67">
        <v>3766247.8</v>
      </c>
      <c r="P67">
        <v>3589114.2</v>
      </c>
      <c r="Q67">
        <v>9501</v>
      </c>
      <c r="R67">
        <v>61895.199999999997</v>
      </c>
      <c r="T67">
        <v>0.42498579179518858</v>
      </c>
      <c r="U67">
        <v>0.66166331441490911</v>
      </c>
      <c r="V67">
        <v>0.64701684680767357</v>
      </c>
      <c r="W67">
        <v>0.46597645959700462</v>
      </c>
      <c r="X67">
        <v>0.65309224139782596</v>
      </c>
      <c r="Y67">
        <v>0.99367939039948394</v>
      </c>
      <c r="Z67">
        <v>1.2427387286035809</v>
      </c>
      <c r="AA67">
        <v>9.2082351195858739E-2</v>
      </c>
      <c r="AB67">
        <v>0.30168680261122061</v>
      </c>
      <c r="AC67">
        <v>1.6826369864051229</v>
      </c>
      <c r="AD67">
        <v>1.971782655979041</v>
      </c>
      <c r="AE67">
        <v>4.0991235594265103E-2</v>
      </c>
      <c r="AF67">
        <v>0.48989253100007768</v>
      </c>
      <c r="AH67">
        <v>0.42498579179518858</v>
      </c>
      <c r="AI67">
        <v>0.42844792859978043</v>
      </c>
      <c r="AJ67">
        <v>0.41828501559793951</v>
      </c>
      <c r="AK67">
        <v>0.46597645959700462</v>
      </c>
      <c r="AL67">
        <v>0.43737141300225629</v>
      </c>
      <c r="AM67">
        <v>0.99367939039948394</v>
      </c>
      <c r="AN67">
        <v>0.73278966999496331</v>
      </c>
      <c r="AO67">
        <v>9.2082351195858739E-2</v>
      </c>
      <c r="AP67">
        <v>0.2443482307833619</v>
      </c>
      <c r="AQ67">
        <v>0.9292535610089544</v>
      </c>
      <c r="AR67">
        <v>0.67216408140957351</v>
      </c>
      <c r="AS67">
        <v>4.0991235594265103E-2</v>
      </c>
      <c r="AT67">
        <v>0.33518028300022712</v>
      </c>
      <c r="AV67">
        <v>0.19748274460434909</v>
      </c>
    </row>
    <row r="68" spans="1:48" x14ac:dyDescent="0.3">
      <c r="A68">
        <v>5</v>
      </c>
      <c r="B68" t="s">
        <v>95</v>
      </c>
      <c r="C68" t="s">
        <v>93</v>
      </c>
      <c r="D68" t="s">
        <v>94</v>
      </c>
      <c r="E68" s="3">
        <v>1</v>
      </c>
      <c r="F68">
        <v>3563622.8</v>
      </c>
      <c r="G68">
        <v>2084152.8</v>
      </c>
      <c r="H68">
        <v>2085125.2</v>
      </c>
      <c r="I68">
        <v>11193030.6</v>
      </c>
      <c r="J68">
        <v>4420350.8</v>
      </c>
      <c r="K68">
        <v>12329101.6</v>
      </c>
      <c r="L68">
        <v>4875891.5999999996</v>
      </c>
      <c r="M68">
        <v>7020716.7999999998</v>
      </c>
      <c r="N68">
        <v>3483798.6</v>
      </c>
      <c r="O68">
        <v>5306523.2</v>
      </c>
      <c r="P68">
        <v>4610927.2</v>
      </c>
      <c r="Q68">
        <v>8747838.8000000007</v>
      </c>
      <c r="R68">
        <v>4244304.8</v>
      </c>
      <c r="T68">
        <v>2.9875503275950899</v>
      </c>
      <c r="U68">
        <v>2.0658095141989179</v>
      </c>
      <c r="V68">
        <v>2.0588780145917549</v>
      </c>
      <c r="W68">
        <v>8.3225758095912177</v>
      </c>
      <c r="X68">
        <v>3.6960391155851542</v>
      </c>
      <c r="Y68">
        <v>9.262807437195443</v>
      </c>
      <c r="Z68">
        <v>4.3579150469799064</v>
      </c>
      <c r="AA68">
        <v>4.882736894401023</v>
      </c>
      <c r="AB68">
        <v>2.6843433462316169</v>
      </c>
      <c r="AC68">
        <v>2.8007750848250001</v>
      </c>
      <c r="AD68">
        <v>2.6929450630093918</v>
      </c>
      <c r="AE68">
        <v>4.908000602392713</v>
      </c>
      <c r="AF68">
        <v>3.4032413301989441</v>
      </c>
      <c r="AH68">
        <v>2.9875503275950899</v>
      </c>
      <c r="AI68">
        <v>1.584260043199174</v>
      </c>
      <c r="AJ68">
        <v>1.5804053373984059</v>
      </c>
      <c r="AK68">
        <v>8.3225758095912177</v>
      </c>
      <c r="AL68">
        <v>3.3897592663823159</v>
      </c>
      <c r="AM68">
        <v>9.262807437195443</v>
      </c>
      <c r="AN68">
        <v>3.8233684469887521</v>
      </c>
      <c r="AO68">
        <v>4.882736894401023</v>
      </c>
      <c r="AP68">
        <v>2.4759738638065749</v>
      </c>
      <c r="AQ68">
        <v>1.6224571886239569</v>
      </c>
      <c r="AR68">
        <v>0.97262470819987357</v>
      </c>
      <c r="AS68">
        <v>4.908000602392713</v>
      </c>
      <c r="AT68">
        <v>2.7265067692031151</v>
      </c>
      <c r="AV68">
        <v>0.20061848500045021</v>
      </c>
    </row>
    <row r="69" spans="1:48" x14ac:dyDescent="0.3">
      <c r="A69">
        <v>5</v>
      </c>
      <c r="B69" t="s">
        <v>96</v>
      </c>
      <c r="C69" t="s">
        <v>93</v>
      </c>
      <c r="D69" t="s">
        <v>94</v>
      </c>
      <c r="E69" s="3">
        <v>0</v>
      </c>
      <c r="F69">
        <v>4442563</v>
      </c>
      <c r="G69">
        <v>3852971.4</v>
      </c>
      <c r="H69">
        <v>3855258</v>
      </c>
      <c r="I69">
        <v>16353725.4</v>
      </c>
      <c r="J69">
        <v>7367551.7999999998</v>
      </c>
      <c r="K69">
        <v>19422488.800000001</v>
      </c>
      <c r="L69">
        <v>8355566.7999999998</v>
      </c>
      <c r="M69">
        <v>19335396.399999999</v>
      </c>
      <c r="N69">
        <v>9991928.1999999993</v>
      </c>
      <c r="O69">
        <v>5298766.8</v>
      </c>
      <c r="P69">
        <v>4633136.8</v>
      </c>
      <c r="Q69">
        <v>20741767.199999999</v>
      </c>
      <c r="R69">
        <v>9583755</v>
      </c>
      <c r="T69">
        <v>3.5662907871941569</v>
      </c>
      <c r="U69">
        <v>3.1649305016093421</v>
      </c>
      <c r="V69">
        <v>3.169235672609648</v>
      </c>
      <c r="W69">
        <v>6.5926385828002818</v>
      </c>
      <c r="X69">
        <v>3.6435881513869388</v>
      </c>
      <c r="Y69">
        <v>8.1827696491964161</v>
      </c>
      <c r="Z69">
        <v>4.3460208994045386</v>
      </c>
      <c r="AA69">
        <v>10.575972344790349</v>
      </c>
      <c r="AB69">
        <v>6.098775374167599</v>
      </c>
      <c r="AC69">
        <v>2.7909139764204149</v>
      </c>
      <c r="AD69">
        <v>2.7053398394433321</v>
      </c>
      <c r="AE69">
        <v>7.0799012805917299</v>
      </c>
      <c r="AF69">
        <v>4.8321634845924564</v>
      </c>
      <c r="AH69">
        <v>3.5662907871941569</v>
      </c>
      <c r="AI69">
        <v>2.286857336800312</v>
      </c>
      <c r="AJ69">
        <v>2.284614444209728</v>
      </c>
      <c r="AK69">
        <v>6.5926385828002818</v>
      </c>
      <c r="AL69">
        <v>3.1127222002076449</v>
      </c>
      <c r="AM69">
        <v>8.1827696491964161</v>
      </c>
      <c r="AN69">
        <v>3.661814252007753</v>
      </c>
      <c r="AO69">
        <v>10.575972344790349</v>
      </c>
      <c r="AP69">
        <v>5.4574647529807416</v>
      </c>
      <c r="AQ69">
        <v>1.6039624946133699</v>
      </c>
      <c r="AR69">
        <v>0.96515329920803195</v>
      </c>
      <c r="AS69">
        <v>7.0799012805917299</v>
      </c>
      <c r="AT69">
        <v>3.994898726203246</v>
      </c>
      <c r="AV69">
        <v>0.1880120282061398</v>
      </c>
    </row>
    <row r="70" spans="1:48" x14ac:dyDescent="0.3">
      <c r="A70">
        <v>5</v>
      </c>
      <c r="B70" t="s">
        <v>97</v>
      </c>
      <c r="C70" t="s">
        <v>93</v>
      </c>
      <c r="D70" t="s">
        <v>94</v>
      </c>
      <c r="E70" s="3">
        <v>0</v>
      </c>
      <c r="F70">
        <v>7165620.4000000004</v>
      </c>
      <c r="G70">
        <v>4213999.8</v>
      </c>
      <c r="H70">
        <v>4194643</v>
      </c>
      <c r="I70">
        <v>16705599.6</v>
      </c>
      <c r="J70">
        <v>7107138</v>
      </c>
      <c r="K70">
        <v>15066067</v>
      </c>
      <c r="L70">
        <v>6886574</v>
      </c>
      <c r="M70">
        <v>34420914.200000003</v>
      </c>
      <c r="N70">
        <v>15319614.6</v>
      </c>
      <c r="O70">
        <v>3836925.8</v>
      </c>
      <c r="P70">
        <v>3667936.4</v>
      </c>
      <c r="Q70">
        <v>34501219.600000001</v>
      </c>
      <c r="R70">
        <v>14883863.6</v>
      </c>
      <c r="T70">
        <v>6.4418236195982903</v>
      </c>
      <c r="U70">
        <v>3.9502263588074129</v>
      </c>
      <c r="V70">
        <v>3.9204350908112251</v>
      </c>
      <c r="W70">
        <v>17.172465198609281</v>
      </c>
      <c r="X70">
        <v>7.798462732200278</v>
      </c>
      <c r="Y70">
        <v>15.648562181997111</v>
      </c>
      <c r="Z70">
        <v>7.8471542065672111</v>
      </c>
      <c r="AA70">
        <v>31.684609712794192</v>
      </c>
      <c r="AB70">
        <v>13.89919613277889</v>
      </c>
      <c r="AC70">
        <v>1.659055876010098</v>
      </c>
      <c r="AD70">
        <v>1.969136019807775</v>
      </c>
      <c r="AE70">
        <v>14.63486859660479</v>
      </c>
      <c r="AF70">
        <v>7.9761636026145428</v>
      </c>
      <c r="AH70">
        <v>6.4418236195982903</v>
      </c>
      <c r="AI70">
        <v>2.9765435938024889</v>
      </c>
      <c r="AJ70">
        <v>2.958646250003949</v>
      </c>
      <c r="AK70">
        <v>17.172465198609281</v>
      </c>
      <c r="AL70">
        <v>7.1175209766020986</v>
      </c>
      <c r="AM70">
        <v>15.648562181997111</v>
      </c>
      <c r="AN70">
        <v>7.0114547371922527</v>
      </c>
      <c r="AO70">
        <v>31.684609712794192</v>
      </c>
      <c r="AP70">
        <v>13.02440069319564</v>
      </c>
      <c r="AQ70">
        <v>0.89552906021708623</v>
      </c>
      <c r="AR70">
        <v>0.65886739958659746</v>
      </c>
      <c r="AS70">
        <v>14.63486859660479</v>
      </c>
      <c r="AT70">
        <v>6.8399691338068802</v>
      </c>
      <c r="AV70">
        <v>0.19602908240049149</v>
      </c>
    </row>
    <row r="71" spans="1:48" x14ac:dyDescent="0.3">
      <c r="A71">
        <v>5</v>
      </c>
      <c r="B71" t="s">
        <v>98</v>
      </c>
      <c r="C71" t="s">
        <v>93</v>
      </c>
      <c r="D71" t="s">
        <v>94</v>
      </c>
      <c r="E71" s="3">
        <v>0</v>
      </c>
      <c r="F71">
        <v>5599438.4000000004</v>
      </c>
      <c r="G71">
        <v>4120774.4</v>
      </c>
      <c r="H71">
        <v>4117260.4</v>
      </c>
      <c r="I71">
        <v>21848843.399999999</v>
      </c>
      <c r="J71">
        <v>9542467.8000000007</v>
      </c>
      <c r="K71">
        <v>22132789.600000001</v>
      </c>
      <c r="L71">
        <v>9238580.5999999996</v>
      </c>
      <c r="M71">
        <v>28067433</v>
      </c>
      <c r="N71">
        <v>13066225.6</v>
      </c>
      <c r="O71">
        <v>3793876</v>
      </c>
      <c r="P71">
        <v>3651425.6</v>
      </c>
      <c r="Q71">
        <v>24500181.199999999</v>
      </c>
      <c r="R71">
        <v>11258450</v>
      </c>
      <c r="T71">
        <v>4.985951144591672</v>
      </c>
      <c r="U71">
        <v>3.6599104265798821</v>
      </c>
      <c r="V71">
        <v>3.6704687632096471</v>
      </c>
      <c r="W71">
        <v>21.947752235794901</v>
      </c>
      <c r="X71">
        <v>10.080066087213339</v>
      </c>
      <c r="Y71">
        <v>22.858878771006129</v>
      </c>
      <c r="Z71">
        <v>10.163987997389629</v>
      </c>
      <c r="AA71">
        <v>23.592834111396218</v>
      </c>
      <c r="AB71">
        <v>11.399976692197381</v>
      </c>
      <c r="AC71">
        <v>1.6076159243879371</v>
      </c>
      <c r="AD71">
        <v>1.9388683725439479</v>
      </c>
      <c r="AE71">
        <v>11.027821666997619</v>
      </c>
      <c r="AF71">
        <v>6.6559864519862462</v>
      </c>
      <c r="AH71">
        <v>4.985951144591672</v>
      </c>
      <c r="AI71">
        <v>2.6441212605976032</v>
      </c>
      <c r="AJ71">
        <v>2.6516825370083099</v>
      </c>
      <c r="AK71">
        <v>21.947752235794901</v>
      </c>
      <c r="AL71">
        <v>9.4831650923879351</v>
      </c>
      <c r="AM71">
        <v>22.858878771006129</v>
      </c>
      <c r="AN71">
        <v>9.4621184535964851</v>
      </c>
      <c r="AO71">
        <v>23.592834111396218</v>
      </c>
      <c r="AP71">
        <v>10.441752797598021</v>
      </c>
      <c r="AQ71">
        <v>0.89539006538689137</v>
      </c>
      <c r="AR71">
        <v>0.65733851078548466</v>
      </c>
      <c r="AS71">
        <v>11.027821666997619</v>
      </c>
      <c r="AT71">
        <v>5.6923466985870617</v>
      </c>
      <c r="AV71">
        <v>0.1818190209975</v>
      </c>
    </row>
    <row r="72" spans="1:48" x14ac:dyDescent="0.3">
      <c r="A72">
        <v>5</v>
      </c>
      <c r="B72" t="s">
        <v>99</v>
      </c>
      <c r="C72" t="s">
        <v>93</v>
      </c>
      <c r="D72" t="s">
        <v>94</v>
      </c>
      <c r="E72" s="3">
        <v>0</v>
      </c>
      <c r="F72">
        <v>7172555.4000000004</v>
      </c>
      <c r="G72">
        <v>4620799.8</v>
      </c>
      <c r="H72">
        <v>4615891.8</v>
      </c>
      <c r="I72">
        <v>33690542.200000003</v>
      </c>
      <c r="J72">
        <v>14838476.800000001</v>
      </c>
      <c r="K72">
        <v>31507591.600000001</v>
      </c>
      <c r="L72">
        <v>13778511.800000001</v>
      </c>
      <c r="M72">
        <v>38861470</v>
      </c>
      <c r="N72">
        <v>17880939.399999999</v>
      </c>
      <c r="O72">
        <v>5310778.8</v>
      </c>
      <c r="P72">
        <v>4642229.4000000004</v>
      </c>
      <c r="Q72">
        <v>36494432.200000003</v>
      </c>
      <c r="R72">
        <v>16819109.800000001</v>
      </c>
      <c r="T72">
        <v>5.339774712995859</v>
      </c>
      <c r="U72">
        <v>3.6848628251813351</v>
      </c>
      <c r="V72">
        <v>3.6965794488089161</v>
      </c>
      <c r="W72">
        <v>12.291848831396781</v>
      </c>
      <c r="X72">
        <v>6.0724969473958481</v>
      </c>
      <c r="Y72">
        <v>12.526453542197119</v>
      </c>
      <c r="Z72">
        <v>6.3621273931988984</v>
      </c>
      <c r="AA72">
        <v>17.904610159795261</v>
      </c>
      <c r="AB72">
        <v>9.0496863115869921</v>
      </c>
      <c r="AC72">
        <v>2.7583994919958061</v>
      </c>
      <c r="AD72">
        <v>2.6733277319697661</v>
      </c>
      <c r="AE72">
        <v>10.41687764879898</v>
      </c>
      <c r="AF72">
        <v>6.5588520981953478</v>
      </c>
      <c r="AH72">
        <v>5.339774712995859</v>
      </c>
      <c r="AI72">
        <v>2.704313649394317</v>
      </c>
      <c r="AJ72">
        <v>2.7081253424054008</v>
      </c>
      <c r="AK72">
        <v>12.291848831396781</v>
      </c>
      <c r="AL72">
        <v>5.3844883900077551</v>
      </c>
      <c r="AM72">
        <v>12.526453542197119</v>
      </c>
      <c r="AN72">
        <v>5.5339954193914309</v>
      </c>
      <c r="AO72">
        <v>17.904610159795261</v>
      </c>
      <c r="AP72">
        <v>7.8647918697912242</v>
      </c>
      <c r="AQ72">
        <v>1.5996669186046351</v>
      </c>
      <c r="AR72">
        <v>0.96465104080853048</v>
      </c>
      <c r="AS72">
        <v>10.41687764879898</v>
      </c>
      <c r="AT72">
        <v>5.5833294117997863</v>
      </c>
      <c r="AV72">
        <v>0.18431626560632139</v>
      </c>
    </row>
    <row r="73" spans="1:48" x14ac:dyDescent="0.3">
      <c r="A73">
        <v>5</v>
      </c>
      <c r="B73" t="s">
        <v>100</v>
      </c>
      <c r="C73" t="s">
        <v>93</v>
      </c>
      <c r="D73" t="s">
        <v>94</v>
      </c>
      <c r="E73" s="3">
        <v>1</v>
      </c>
      <c r="F73">
        <v>2039070.4</v>
      </c>
      <c r="G73">
        <v>1156105.3999999999</v>
      </c>
      <c r="H73">
        <v>1158241.6000000001</v>
      </c>
      <c r="I73">
        <v>10173845</v>
      </c>
      <c r="J73">
        <v>4685309.8</v>
      </c>
      <c r="K73">
        <v>8141602.4000000004</v>
      </c>
      <c r="L73">
        <v>3844979.4</v>
      </c>
      <c r="M73">
        <v>5449982.7999999998</v>
      </c>
      <c r="N73">
        <v>2498819.6</v>
      </c>
      <c r="O73">
        <v>5295709.5999999996</v>
      </c>
      <c r="P73">
        <v>4587068.2</v>
      </c>
      <c r="Q73">
        <v>11762103.199999999</v>
      </c>
      <c r="R73">
        <v>4717273</v>
      </c>
      <c r="T73">
        <v>1.8539963833987709</v>
      </c>
      <c r="U73">
        <v>1.3030773478094491</v>
      </c>
      <c r="V73">
        <v>1.306016041012481</v>
      </c>
      <c r="W73">
        <v>7.4467386436066594</v>
      </c>
      <c r="X73">
        <v>3.7839893211901652</v>
      </c>
      <c r="Y73">
        <v>6.2990010569978043</v>
      </c>
      <c r="Z73">
        <v>3.6430053329968359</v>
      </c>
      <c r="AA73">
        <v>3.8618927821982649</v>
      </c>
      <c r="AB73">
        <v>2.0996928201813718</v>
      </c>
      <c r="AC73">
        <v>2.7743850158178249</v>
      </c>
      <c r="AD73">
        <v>2.6610537710774218</v>
      </c>
      <c r="AE73">
        <v>5.3697516907996032</v>
      </c>
      <c r="AF73">
        <v>3.22164143518894</v>
      </c>
      <c r="AH73">
        <v>1.8539963833987709</v>
      </c>
      <c r="AI73">
        <v>0.97114322541747244</v>
      </c>
      <c r="AJ73">
        <v>0.97422670500236563</v>
      </c>
      <c r="AK73">
        <v>7.4467386436066594</v>
      </c>
      <c r="AL73">
        <v>3.4881416583782991</v>
      </c>
      <c r="AM73">
        <v>6.2990010569978043</v>
      </c>
      <c r="AN73">
        <v>3.083989191398723</v>
      </c>
      <c r="AO73">
        <v>3.8618927821982649</v>
      </c>
      <c r="AP73">
        <v>1.9252683915954549</v>
      </c>
      <c r="AQ73">
        <v>1.6043247824185529</v>
      </c>
      <c r="AR73">
        <v>0.96066260142833926</v>
      </c>
      <c r="AS73">
        <v>5.3697516907996032</v>
      </c>
      <c r="AT73">
        <v>2.7254813749983442</v>
      </c>
      <c r="AV73">
        <v>0.18418552140938119</v>
      </c>
    </row>
    <row r="74" spans="1:48" x14ac:dyDescent="0.3">
      <c r="A74">
        <v>5</v>
      </c>
      <c r="B74" t="s">
        <v>101</v>
      </c>
      <c r="C74" t="s">
        <v>93</v>
      </c>
      <c r="D74" t="s">
        <v>94</v>
      </c>
      <c r="E74" s="3">
        <v>0</v>
      </c>
      <c r="F74">
        <v>206046.2</v>
      </c>
      <c r="G74">
        <v>306872.8</v>
      </c>
      <c r="H74">
        <v>306927.2</v>
      </c>
      <c r="I74">
        <v>201570.6</v>
      </c>
      <c r="J74">
        <v>220700.2</v>
      </c>
      <c r="K74">
        <v>202385.2</v>
      </c>
      <c r="L74">
        <v>226818</v>
      </c>
      <c r="M74">
        <v>890</v>
      </c>
      <c r="N74">
        <v>19431.599999999999</v>
      </c>
      <c r="O74">
        <v>3815273.4</v>
      </c>
      <c r="P74">
        <v>3599925.6</v>
      </c>
      <c r="Q74">
        <v>3896.8</v>
      </c>
      <c r="R74">
        <v>48108.2</v>
      </c>
      <c r="T74">
        <v>0.35292723120073788</v>
      </c>
      <c r="U74">
        <v>0.61147240839782169</v>
      </c>
      <c r="V74">
        <v>0.60544418078497986</v>
      </c>
      <c r="W74">
        <v>0.38956402200274171</v>
      </c>
      <c r="X74">
        <v>0.60534532800083984</v>
      </c>
      <c r="Y74">
        <v>0.94984540039440613</v>
      </c>
      <c r="Z74">
        <v>1.168553626787616</v>
      </c>
      <c r="AA74">
        <v>9.007679639616975E-2</v>
      </c>
      <c r="AB74">
        <v>0.29225600560312159</v>
      </c>
      <c r="AC74">
        <v>1.6681469620089051</v>
      </c>
      <c r="AD74">
        <v>1.9483494181709831</v>
      </c>
      <c r="AE74">
        <v>2.4122761789476439E-2</v>
      </c>
      <c r="AF74">
        <v>0.4573665319941938</v>
      </c>
      <c r="AH74">
        <v>0.35292723120073788</v>
      </c>
      <c r="AI74">
        <v>0.39700092040584423</v>
      </c>
      <c r="AJ74">
        <v>0.395599257806316</v>
      </c>
      <c r="AK74">
        <v>0.38956402200274171</v>
      </c>
      <c r="AL74">
        <v>0.39649471959564841</v>
      </c>
      <c r="AM74">
        <v>0.94984540039440613</v>
      </c>
      <c r="AN74">
        <v>0.68305528359487655</v>
      </c>
      <c r="AO74">
        <v>9.007679639616975E-2</v>
      </c>
      <c r="AP74">
        <v>0.24078479939489619</v>
      </c>
      <c r="AQ74">
        <v>0.90926265460439026</v>
      </c>
      <c r="AR74">
        <v>0.66168141040252526</v>
      </c>
      <c r="AS74">
        <v>2.4122761789476439E-2</v>
      </c>
      <c r="AT74">
        <v>0.32581921758828691</v>
      </c>
      <c r="AV74">
        <v>0.18294931059936059</v>
      </c>
    </row>
    <row r="75" spans="1:48" x14ac:dyDescent="0.3">
      <c r="A75">
        <v>5</v>
      </c>
      <c r="B75" t="s">
        <v>102</v>
      </c>
      <c r="C75" t="s">
        <v>103</v>
      </c>
      <c r="D75" t="s">
        <v>104</v>
      </c>
      <c r="E75" s="3">
        <v>0</v>
      </c>
      <c r="F75">
        <v>310206.8</v>
      </c>
      <c r="G75">
        <v>665691.4</v>
      </c>
      <c r="H75">
        <v>665760.19999999995</v>
      </c>
      <c r="I75">
        <v>204639.2</v>
      </c>
      <c r="J75">
        <v>511811</v>
      </c>
      <c r="K75">
        <v>222784.8</v>
      </c>
      <c r="L75">
        <v>473528.8</v>
      </c>
      <c r="M75">
        <v>179053.6</v>
      </c>
      <c r="N75">
        <v>399690.2</v>
      </c>
      <c r="O75">
        <v>3439355</v>
      </c>
      <c r="P75">
        <v>3405414</v>
      </c>
      <c r="Q75">
        <v>16989.400000000001</v>
      </c>
      <c r="R75">
        <v>652394.6</v>
      </c>
      <c r="T75">
        <v>0.51740515919518659</v>
      </c>
      <c r="U75">
        <v>1.1023574452439791</v>
      </c>
      <c r="V75">
        <v>1.086438302788884</v>
      </c>
      <c r="W75">
        <v>0.55586252140346915</v>
      </c>
      <c r="X75">
        <v>1.0462521182023921</v>
      </c>
      <c r="Y75">
        <v>0.98449251640122382</v>
      </c>
      <c r="Z75">
        <v>1.5441465489740951</v>
      </c>
      <c r="AA75">
        <v>1.058418688399251</v>
      </c>
      <c r="AB75">
        <v>0.95828312938683669</v>
      </c>
      <c r="AC75">
        <v>1.3767254118050909</v>
      </c>
      <c r="AD75">
        <v>2.1313628515985328</v>
      </c>
      <c r="AE75">
        <v>6.6720372193958571E-2</v>
      </c>
      <c r="AF75">
        <v>1.864769283798523</v>
      </c>
      <c r="AH75">
        <v>0.51740515919518659</v>
      </c>
      <c r="AI75">
        <v>0.51701252181665036</v>
      </c>
      <c r="AJ75">
        <v>0.50320120899123144</v>
      </c>
      <c r="AK75">
        <v>0.55586252140346915</v>
      </c>
      <c r="AL75">
        <v>0.54794824760756455</v>
      </c>
      <c r="AM75">
        <v>0.98449251640122382</v>
      </c>
      <c r="AN75">
        <v>0.624428569781594</v>
      </c>
      <c r="AO75">
        <v>1.058418688399251</v>
      </c>
      <c r="AP75">
        <v>0.65958941478747879</v>
      </c>
      <c r="AQ75">
        <v>0.728574064996792</v>
      </c>
      <c r="AR75">
        <v>0.50251585280639122</v>
      </c>
      <c r="AS75">
        <v>6.6720372193958571E-2</v>
      </c>
      <c r="AT75">
        <v>0.96782977000693793</v>
      </c>
      <c r="AV75">
        <v>0.37303688521496953</v>
      </c>
    </row>
    <row r="76" spans="1:48" x14ac:dyDescent="0.3">
      <c r="A76">
        <v>5</v>
      </c>
      <c r="B76" t="s">
        <v>105</v>
      </c>
      <c r="C76" t="s">
        <v>103</v>
      </c>
      <c r="D76" t="s">
        <v>104</v>
      </c>
      <c r="E76" s="3">
        <v>1</v>
      </c>
      <c r="F76">
        <v>5219065.2</v>
      </c>
      <c r="G76">
        <v>1756350</v>
      </c>
      <c r="H76">
        <v>1741649.4</v>
      </c>
      <c r="I76">
        <v>5982706</v>
      </c>
      <c r="J76">
        <v>1006931.4</v>
      </c>
      <c r="K76">
        <v>10681996</v>
      </c>
      <c r="L76">
        <v>908163</v>
      </c>
      <c r="M76">
        <v>22170304</v>
      </c>
      <c r="N76">
        <v>1313428.3999999999</v>
      </c>
      <c r="O76">
        <v>6610615.2000000002</v>
      </c>
      <c r="P76">
        <v>4324567.5999999996</v>
      </c>
      <c r="Q76">
        <v>19085195</v>
      </c>
      <c r="R76">
        <v>1570147</v>
      </c>
      <c r="T76">
        <v>4.1773393460083756</v>
      </c>
      <c r="U76">
        <v>1.778739665192552</v>
      </c>
      <c r="V76">
        <v>1.754018157842802</v>
      </c>
      <c r="W76">
        <v>4.9090451654104994</v>
      </c>
      <c r="X76">
        <v>1.466132417402696</v>
      </c>
      <c r="Y76">
        <v>7.7924363364058076</v>
      </c>
      <c r="Z76">
        <v>1.9064832486154051</v>
      </c>
      <c r="AA76">
        <v>13.13293132100371</v>
      </c>
      <c r="AB76">
        <v>1.70322887460934</v>
      </c>
      <c r="AC76">
        <v>3.7169614568061662</v>
      </c>
      <c r="AD76">
        <v>2.7767686720937488</v>
      </c>
      <c r="AE76">
        <v>7.0459695982164714</v>
      </c>
      <c r="AF76">
        <v>2.8771713355905382</v>
      </c>
      <c r="AH76">
        <v>4.1773393460083756</v>
      </c>
      <c r="AI76">
        <v>0.72094933059997857</v>
      </c>
      <c r="AJ76">
        <v>0.70608743060147394</v>
      </c>
      <c r="AK76">
        <v>4.9090451654104994</v>
      </c>
      <c r="AL76">
        <v>0.71108972862130027</v>
      </c>
      <c r="AM76">
        <v>7.7924363364058076</v>
      </c>
      <c r="AN76">
        <v>0.79887338659609664</v>
      </c>
      <c r="AO76">
        <v>13.13293132100371</v>
      </c>
      <c r="AP76">
        <v>0.89633151221205476</v>
      </c>
      <c r="AQ76">
        <v>2.0557274210092151</v>
      </c>
      <c r="AR76">
        <v>0.58910833316040223</v>
      </c>
      <c r="AS76">
        <v>7.0459695982164714</v>
      </c>
      <c r="AT76">
        <v>1.490146214194829</v>
      </c>
      <c r="AV76">
        <v>0.35353740959544661</v>
      </c>
    </row>
    <row r="77" spans="1:48" x14ac:dyDescent="0.3">
      <c r="A77">
        <v>5</v>
      </c>
      <c r="B77" t="s">
        <v>106</v>
      </c>
      <c r="C77" t="s">
        <v>103</v>
      </c>
      <c r="D77" t="s">
        <v>104</v>
      </c>
      <c r="E77" s="3">
        <v>0</v>
      </c>
      <c r="F77">
        <v>3423988</v>
      </c>
      <c r="G77">
        <v>1459365.4</v>
      </c>
      <c r="H77">
        <v>1467914.4</v>
      </c>
      <c r="I77">
        <v>6844367.7999999998</v>
      </c>
      <c r="J77">
        <v>628902.40000000002</v>
      </c>
      <c r="K77">
        <v>6460123.2000000002</v>
      </c>
      <c r="L77">
        <v>596422.6</v>
      </c>
      <c r="M77">
        <v>13263103.199999999</v>
      </c>
      <c r="N77">
        <v>817961.6</v>
      </c>
      <c r="O77">
        <v>6486954.5999999996</v>
      </c>
      <c r="P77">
        <v>4232828.8</v>
      </c>
      <c r="Q77">
        <v>15211821.4</v>
      </c>
      <c r="R77">
        <v>1059210.6000000001</v>
      </c>
      <c r="T77">
        <v>2.882812879804987</v>
      </c>
      <c r="U77">
        <v>1.576388821197906</v>
      </c>
      <c r="V77">
        <v>1.569630800402956</v>
      </c>
      <c r="W77">
        <v>4.0883989005931651</v>
      </c>
      <c r="X77">
        <v>1.236843015369959</v>
      </c>
      <c r="Y77">
        <v>3.5804912586056159</v>
      </c>
      <c r="Z77">
        <v>1.728981162182754</v>
      </c>
      <c r="AA77">
        <v>8.8438857586006634</v>
      </c>
      <c r="AB77">
        <v>1.3096386588062161</v>
      </c>
      <c r="AC77">
        <v>3.6474260026065171</v>
      </c>
      <c r="AD77">
        <v>2.694284139038063</v>
      </c>
      <c r="AE77">
        <v>5.9721579636097886</v>
      </c>
      <c r="AF77">
        <v>2.5388130566047038</v>
      </c>
      <c r="AH77">
        <v>2.882812879804987</v>
      </c>
      <c r="AI77">
        <v>0.66677253300440498</v>
      </c>
      <c r="AJ77">
        <v>0.66540022182161918</v>
      </c>
      <c r="AK77">
        <v>4.0883989005931651</v>
      </c>
      <c r="AL77">
        <v>0.59195263698347844</v>
      </c>
      <c r="AM77">
        <v>3.5804912586056159</v>
      </c>
      <c r="AN77">
        <v>0.65558592680608851</v>
      </c>
      <c r="AO77">
        <v>8.8438857586006634</v>
      </c>
      <c r="AP77">
        <v>0.67250290480442343</v>
      </c>
      <c r="AQ77">
        <v>1.981001046008896</v>
      </c>
      <c r="AR77">
        <v>0.56927529378444885</v>
      </c>
      <c r="AS77">
        <v>5.9721579636097886</v>
      </c>
      <c r="AT77">
        <v>1.314356360392412</v>
      </c>
      <c r="AV77">
        <v>0.34565624100505382</v>
      </c>
    </row>
    <row r="78" spans="1:48" x14ac:dyDescent="0.3">
      <c r="A78">
        <v>5</v>
      </c>
      <c r="B78" t="s">
        <v>107</v>
      </c>
      <c r="C78" t="s">
        <v>103</v>
      </c>
      <c r="D78" t="s">
        <v>104</v>
      </c>
      <c r="E78" s="3">
        <v>0</v>
      </c>
      <c r="F78">
        <v>2836113.2</v>
      </c>
      <c r="G78">
        <v>1279289.6000000001</v>
      </c>
      <c r="H78">
        <v>1279174.8</v>
      </c>
      <c r="I78">
        <v>2158619.2000000002</v>
      </c>
      <c r="J78">
        <v>577170.80000000005</v>
      </c>
      <c r="K78">
        <v>1629475</v>
      </c>
      <c r="L78">
        <v>614814.4</v>
      </c>
      <c r="M78">
        <v>2321572.4</v>
      </c>
      <c r="N78">
        <v>686496.8</v>
      </c>
      <c r="O78">
        <v>3481139.6</v>
      </c>
      <c r="P78">
        <v>3448960</v>
      </c>
      <c r="Q78">
        <v>2111224.4</v>
      </c>
      <c r="R78">
        <v>1017936.2</v>
      </c>
      <c r="T78">
        <v>2.535086904803757</v>
      </c>
      <c r="U78">
        <v>1.56873879818595</v>
      </c>
      <c r="V78">
        <v>1.54772052107146</v>
      </c>
      <c r="W78">
        <v>2.457875841390341</v>
      </c>
      <c r="X78">
        <v>1.2495959676336501</v>
      </c>
      <c r="Y78">
        <v>2.1846244072017731</v>
      </c>
      <c r="Z78">
        <v>1.826733991212677</v>
      </c>
      <c r="AA78">
        <v>3.034383777203038</v>
      </c>
      <c r="AB78">
        <v>1.2761921558238101</v>
      </c>
      <c r="AC78">
        <v>1.3969037248054521</v>
      </c>
      <c r="AD78">
        <v>2.1646538960514592</v>
      </c>
      <c r="AE78">
        <v>3.3882134353974829</v>
      </c>
      <c r="AF78">
        <v>2.5045874786097562</v>
      </c>
      <c r="AH78">
        <v>2.535086904803757</v>
      </c>
      <c r="AI78">
        <v>0.66712543139001357</v>
      </c>
      <c r="AJ78">
        <v>0.64930358122219334</v>
      </c>
      <c r="AK78">
        <v>2.457875841390341</v>
      </c>
      <c r="AL78">
        <v>0.59632038419949818</v>
      </c>
      <c r="AM78">
        <v>2.1846244072017731</v>
      </c>
      <c r="AN78">
        <v>0.75082955421530639</v>
      </c>
      <c r="AO78">
        <v>3.034383777203038</v>
      </c>
      <c r="AP78">
        <v>0.71394375859526915</v>
      </c>
      <c r="AQ78">
        <v>0.70908420720370491</v>
      </c>
      <c r="AR78">
        <v>0.51763822358334433</v>
      </c>
      <c r="AS78">
        <v>3.3882134353974829</v>
      </c>
      <c r="AT78">
        <v>1.2140291303978299</v>
      </c>
      <c r="AV78">
        <v>0.37767488539102478</v>
      </c>
    </row>
    <row r="79" spans="1:48" x14ac:dyDescent="0.3">
      <c r="A79">
        <v>5</v>
      </c>
      <c r="B79" t="s">
        <v>108</v>
      </c>
      <c r="C79" t="s">
        <v>103</v>
      </c>
      <c r="D79" t="s">
        <v>104</v>
      </c>
      <c r="E79" s="3">
        <v>0</v>
      </c>
      <c r="F79">
        <v>1460671.8</v>
      </c>
      <c r="G79">
        <v>1274850.6000000001</v>
      </c>
      <c r="H79">
        <v>1283704.8</v>
      </c>
      <c r="I79">
        <v>13296880.6</v>
      </c>
      <c r="J79">
        <v>673570.8</v>
      </c>
      <c r="K79">
        <v>14273379</v>
      </c>
      <c r="L79">
        <v>707947.8</v>
      </c>
      <c r="M79">
        <v>1673494.8</v>
      </c>
      <c r="N79">
        <v>840450.6</v>
      </c>
      <c r="O79">
        <v>3440942.2</v>
      </c>
      <c r="P79">
        <v>3422539.6</v>
      </c>
      <c r="Q79">
        <v>14522821.4</v>
      </c>
      <c r="R79">
        <v>1148367.3999999999</v>
      </c>
      <c r="T79">
        <v>1.514187655597925</v>
      </c>
      <c r="U79">
        <v>1.458060863020364</v>
      </c>
      <c r="V79">
        <v>1.4468972398026381</v>
      </c>
      <c r="W79">
        <v>13.04901804519468</v>
      </c>
      <c r="X79">
        <v>1.334338852594374</v>
      </c>
      <c r="Y79">
        <v>14.777235507802111</v>
      </c>
      <c r="Z79">
        <v>1.830335965973791</v>
      </c>
      <c r="AA79">
        <v>2.1899933103995859</v>
      </c>
      <c r="AB79">
        <v>1.3834413244097961</v>
      </c>
      <c r="AC79">
        <v>1.3168648551974911</v>
      </c>
      <c r="AD79">
        <v>2.1075051190156961</v>
      </c>
      <c r="AE79">
        <v>7.6876439388026494</v>
      </c>
      <c r="AF79">
        <v>2.304350132023683</v>
      </c>
      <c r="AH79">
        <v>1.514187655597925</v>
      </c>
      <c r="AI79">
        <v>0.56514002201729452</v>
      </c>
      <c r="AJ79">
        <v>0.56681199820013717</v>
      </c>
      <c r="AK79">
        <v>13.04901804519468</v>
      </c>
      <c r="AL79">
        <v>0.66818274540710265</v>
      </c>
      <c r="AM79">
        <v>14.777235507802111</v>
      </c>
      <c r="AN79">
        <v>0.73702954159234646</v>
      </c>
      <c r="AO79">
        <v>2.1899933103995859</v>
      </c>
      <c r="AP79">
        <v>0.73350958260125476</v>
      </c>
      <c r="AQ79">
        <v>0.70728859259397725</v>
      </c>
      <c r="AR79">
        <v>0.51347902321140282</v>
      </c>
      <c r="AS79">
        <v>7.6876439388026494</v>
      </c>
      <c r="AT79">
        <v>1.138245439622551</v>
      </c>
      <c r="AV79">
        <v>0.32229298860765992</v>
      </c>
    </row>
    <row r="80" spans="1:48" x14ac:dyDescent="0.3">
      <c r="A80">
        <v>5</v>
      </c>
      <c r="B80" t="s">
        <v>109</v>
      </c>
      <c r="C80" t="s">
        <v>103</v>
      </c>
      <c r="D80" t="s">
        <v>104</v>
      </c>
      <c r="E80" s="3">
        <v>0</v>
      </c>
      <c r="F80">
        <v>5841890.5999999996</v>
      </c>
      <c r="G80">
        <v>1812824.2</v>
      </c>
      <c r="H80">
        <v>1807582.8</v>
      </c>
      <c r="I80">
        <v>3257650</v>
      </c>
      <c r="J80">
        <v>733592.6</v>
      </c>
      <c r="K80">
        <v>5066841.8</v>
      </c>
      <c r="L80">
        <v>770162.4</v>
      </c>
      <c r="M80">
        <v>14360336.800000001</v>
      </c>
      <c r="N80">
        <v>1272594.2</v>
      </c>
      <c r="O80">
        <v>6616594.4000000004</v>
      </c>
      <c r="P80">
        <v>4331254.8</v>
      </c>
      <c r="Q80">
        <v>21360085</v>
      </c>
      <c r="R80">
        <v>1034937</v>
      </c>
      <c r="T80">
        <v>4.2643314405926507</v>
      </c>
      <c r="U80">
        <v>1.732222835213179</v>
      </c>
      <c r="V80">
        <v>1.724683420383371</v>
      </c>
      <c r="W80">
        <v>3.2424543550005178</v>
      </c>
      <c r="X80">
        <v>1.252505646785721</v>
      </c>
      <c r="Y80">
        <v>4.1966790147998836</v>
      </c>
      <c r="Z80">
        <v>1.676055873598671</v>
      </c>
      <c r="AA80">
        <v>7.6753627144033088</v>
      </c>
      <c r="AB80">
        <v>1.653021651587915</v>
      </c>
      <c r="AC80">
        <v>3.6994852250209078</v>
      </c>
      <c r="AD80">
        <v>2.7786193543521218</v>
      </c>
      <c r="AE80">
        <v>7.3042239879956474</v>
      </c>
      <c r="AF80">
        <v>2.5886098308197689</v>
      </c>
      <c r="AH80">
        <v>4.2643314405926507</v>
      </c>
      <c r="AI80">
        <v>0.69924737219116651</v>
      </c>
      <c r="AJ80">
        <v>0.69343545119627381</v>
      </c>
      <c r="AK80">
        <v>3.2424543550005178</v>
      </c>
      <c r="AL80">
        <v>0.55623292860109363</v>
      </c>
      <c r="AM80">
        <v>4.1966790147998836</v>
      </c>
      <c r="AN80">
        <v>0.63139078879612498</v>
      </c>
      <c r="AO80">
        <v>7.6753627144033088</v>
      </c>
      <c r="AP80">
        <v>0.79064731380203734</v>
      </c>
      <c r="AQ80">
        <v>2.0453183396137322</v>
      </c>
      <c r="AR80">
        <v>0.59107972875935955</v>
      </c>
      <c r="AS80">
        <v>7.3042239879956474</v>
      </c>
      <c r="AT80">
        <v>1.3021978116012181</v>
      </c>
      <c r="AV80">
        <v>0.32335138340131381</v>
      </c>
    </row>
    <row r="81" spans="1:48" x14ac:dyDescent="0.3">
      <c r="A81">
        <v>5</v>
      </c>
      <c r="B81" t="s">
        <v>110</v>
      </c>
      <c r="C81" t="s">
        <v>103</v>
      </c>
      <c r="D81" t="s">
        <v>104</v>
      </c>
      <c r="E81" s="3">
        <v>1</v>
      </c>
      <c r="F81">
        <v>4759304.8</v>
      </c>
      <c r="G81">
        <v>1550191.8</v>
      </c>
      <c r="H81">
        <v>1532614.2</v>
      </c>
      <c r="I81">
        <v>10473944.4</v>
      </c>
      <c r="J81">
        <v>791151.2</v>
      </c>
      <c r="K81">
        <v>5966856.4000000004</v>
      </c>
      <c r="L81">
        <v>820329</v>
      </c>
      <c r="M81">
        <v>13645416</v>
      </c>
      <c r="N81">
        <v>897929.8</v>
      </c>
      <c r="O81">
        <v>6484050.7999999998</v>
      </c>
      <c r="P81">
        <v>4243661.8</v>
      </c>
      <c r="Q81">
        <v>27706218.399999999</v>
      </c>
      <c r="R81">
        <v>1313169.2</v>
      </c>
      <c r="T81">
        <v>3.833895400603069</v>
      </c>
      <c r="U81">
        <v>1.591377220215509</v>
      </c>
      <c r="V81">
        <v>1.572919202776393</v>
      </c>
      <c r="W81">
        <v>7.5978920578083491</v>
      </c>
      <c r="X81">
        <v>1.3755639499868271</v>
      </c>
      <c r="Y81">
        <v>4.7525606664014051</v>
      </c>
      <c r="Z81">
        <v>1.8083664045960179</v>
      </c>
      <c r="AA81">
        <v>9.9224803249991957</v>
      </c>
      <c r="AB81">
        <v>1.4784528415941169</v>
      </c>
      <c r="AC81">
        <v>3.592996635206509</v>
      </c>
      <c r="AD81">
        <v>2.667473755805986</v>
      </c>
      <c r="AE81">
        <v>9.0963334065978412</v>
      </c>
      <c r="AF81">
        <v>2.671690669778036</v>
      </c>
      <c r="AH81">
        <v>3.833895400603069</v>
      </c>
      <c r="AI81">
        <v>0.699260200210847</v>
      </c>
      <c r="AJ81">
        <v>0.6851568085781764</v>
      </c>
      <c r="AK81">
        <v>7.5978920578083491</v>
      </c>
      <c r="AL81">
        <v>0.64528714958578348</v>
      </c>
      <c r="AM81">
        <v>4.7525606664014051</v>
      </c>
      <c r="AN81">
        <v>0.71371892860042863</v>
      </c>
      <c r="AO81">
        <v>9.9224803249991957</v>
      </c>
      <c r="AP81">
        <v>0.67814028240973134</v>
      </c>
      <c r="AQ81">
        <v>1.9631730310036799</v>
      </c>
      <c r="AR81">
        <v>0.56203684739884918</v>
      </c>
      <c r="AS81">
        <v>9.0963334065978412</v>
      </c>
      <c r="AT81">
        <v>1.3890126981947111</v>
      </c>
      <c r="AV81">
        <v>0.33487216340145087</v>
      </c>
    </row>
    <row r="82" spans="1:48" x14ac:dyDescent="0.3">
      <c r="A82">
        <v>5</v>
      </c>
      <c r="B82" t="s">
        <v>111</v>
      </c>
      <c r="C82" t="s">
        <v>103</v>
      </c>
      <c r="D82" t="s">
        <v>104</v>
      </c>
      <c r="E82" s="3">
        <v>0</v>
      </c>
      <c r="F82">
        <v>210607.4</v>
      </c>
      <c r="G82">
        <v>730071.8</v>
      </c>
      <c r="H82">
        <v>731461.8</v>
      </c>
      <c r="I82">
        <v>201023.6</v>
      </c>
      <c r="J82">
        <v>325678.8</v>
      </c>
      <c r="K82">
        <v>202590.6</v>
      </c>
      <c r="L82">
        <v>342789.4</v>
      </c>
      <c r="M82">
        <v>4669.2</v>
      </c>
      <c r="N82">
        <v>347178.6</v>
      </c>
      <c r="O82">
        <v>3477472</v>
      </c>
      <c r="P82">
        <v>3420729.8</v>
      </c>
      <c r="Q82">
        <v>6097.4</v>
      </c>
      <c r="R82">
        <v>323604.40000000002</v>
      </c>
      <c r="T82">
        <v>0.36618491219705901</v>
      </c>
      <c r="U82">
        <v>1.0807567116105929</v>
      </c>
      <c r="V82">
        <v>1.100979546800954</v>
      </c>
      <c r="W82">
        <v>0.40527530219987967</v>
      </c>
      <c r="X82">
        <v>0.94380305598606351</v>
      </c>
      <c r="Y82">
        <v>0.93992878120625389</v>
      </c>
      <c r="Z82">
        <v>1.4427392629790119</v>
      </c>
      <c r="AA82">
        <v>9.9619253404671287E-2</v>
      </c>
      <c r="AB82">
        <v>1.0180271733959669</v>
      </c>
      <c r="AC82">
        <v>1.3617287744069471</v>
      </c>
      <c r="AD82">
        <v>2.1081599483266471</v>
      </c>
      <c r="AE82">
        <v>3.6432256596162858E-2</v>
      </c>
      <c r="AF82">
        <v>1.5367171070014589</v>
      </c>
      <c r="AH82">
        <v>0.36618491219705901</v>
      </c>
      <c r="AI82">
        <v>0.49234549959073781</v>
      </c>
      <c r="AJ82">
        <v>0.51352285080356519</v>
      </c>
      <c r="AK82">
        <v>0.40527530219987967</v>
      </c>
      <c r="AL82">
        <v>0.46940585698466752</v>
      </c>
      <c r="AM82">
        <v>0.93992878120625389</v>
      </c>
      <c r="AN82">
        <v>0.56019742660573679</v>
      </c>
      <c r="AO82">
        <v>9.9619253404671287E-2</v>
      </c>
      <c r="AP82">
        <v>0.54634457179927265</v>
      </c>
      <c r="AQ82">
        <v>0.68508653420140031</v>
      </c>
      <c r="AR82">
        <v>0.49674557561520488</v>
      </c>
      <c r="AS82">
        <v>3.6432256596162858E-2</v>
      </c>
      <c r="AT82">
        <v>0.8578976123942994</v>
      </c>
      <c r="AV82">
        <v>0.33234346479875959</v>
      </c>
    </row>
    <row r="83" spans="1:48" x14ac:dyDescent="0.3">
      <c r="A83">
        <v>5</v>
      </c>
      <c r="B83" t="s">
        <v>112</v>
      </c>
      <c r="C83" t="s">
        <v>113</v>
      </c>
      <c r="D83" t="s">
        <v>114</v>
      </c>
      <c r="E83" s="3">
        <v>0</v>
      </c>
      <c r="F83">
        <v>319086.2</v>
      </c>
      <c r="G83">
        <v>658013.6</v>
      </c>
      <c r="H83">
        <v>659838.80000000005</v>
      </c>
      <c r="I83">
        <v>239957</v>
      </c>
      <c r="J83">
        <v>346802</v>
      </c>
      <c r="K83">
        <v>238861</v>
      </c>
      <c r="L83">
        <v>366871.8</v>
      </c>
      <c r="M83">
        <v>125583.6</v>
      </c>
      <c r="N83">
        <v>340414.4</v>
      </c>
      <c r="O83">
        <v>4306558</v>
      </c>
      <c r="P83">
        <v>3825281.8</v>
      </c>
      <c r="Q83">
        <v>228518.39999999999</v>
      </c>
      <c r="R83">
        <v>984457.2</v>
      </c>
      <c r="T83">
        <v>0.54120148759684528</v>
      </c>
      <c r="U83">
        <v>0.91569909940008076</v>
      </c>
      <c r="V83">
        <v>0.90628696419880728</v>
      </c>
      <c r="W83">
        <v>0.57839583319728261</v>
      </c>
      <c r="X83">
        <v>0.80820251499535511</v>
      </c>
      <c r="Y83">
        <v>0.96236094439518638</v>
      </c>
      <c r="Z83">
        <v>1.30053813282284</v>
      </c>
      <c r="AA83">
        <v>0.53129559539956972</v>
      </c>
      <c r="AB83">
        <v>0.85610140942153523</v>
      </c>
      <c r="AC83">
        <v>2.0682531234109769</v>
      </c>
      <c r="AD83">
        <v>2.2384633587731519</v>
      </c>
      <c r="AE83">
        <v>1.025946878397372</v>
      </c>
      <c r="AF83">
        <v>1.878140692773741</v>
      </c>
      <c r="AH83">
        <v>0.54120148759684528</v>
      </c>
      <c r="AI83">
        <v>0.42763894660165541</v>
      </c>
      <c r="AJ83">
        <v>0.41846329159452578</v>
      </c>
      <c r="AK83">
        <v>0.57839583319728261</v>
      </c>
      <c r="AL83">
        <v>0.40735210780403569</v>
      </c>
      <c r="AM83">
        <v>0.96236094439518638</v>
      </c>
      <c r="AN83">
        <v>0.54861750340787696</v>
      </c>
      <c r="AO83">
        <v>0.53129559539956972</v>
      </c>
      <c r="AP83">
        <v>0.4176572860102169</v>
      </c>
      <c r="AQ83">
        <v>1.2155428592057429</v>
      </c>
      <c r="AR83">
        <v>0.58024613137240522</v>
      </c>
      <c r="AS83">
        <v>1.025946878397372</v>
      </c>
      <c r="AT83">
        <v>0.85786363678635102</v>
      </c>
      <c r="AV83">
        <v>0.21050373460748231</v>
      </c>
    </row>
    <row r="84" spans="1:48" x14ac:dyDescent="0.3">
      <c r="A84">
        <v>5</v>
      </c>
      <c r="B84" t="s">
        <v>115</v>
      </c>
      <c r="C84" t="s">
        <v>113</v>
      </c>
      <c r="D84" t="s">
        <v>114</v>
      </c>
      <c r="E84" s="3">
        <v>1</v>
      </c>
      <c r="F84">
        <v>2687806.2</v>
      </c>
      <c r="G84">
        <v>1364622.4</v>
      </c>
      <c r="H84">
        <v>1373481.4</v>
      </c>
      <c r="I84">
        <v>4663570.4000000004</v>
      </c>
      <c r="J84">
        <v>1391126.6</v>
      </c>
      <c r="K84">
        <v>5127631</v>
      </c>
      <c r="L84">
        <v>1484052</v>
      </c>
      <c r="M84">
        <v>4324974.2</v>
      </c>
      <c r="N84">
        <v>1350243.8</v>
      </c>
      <c r="O84">
        <v>3928340</v>
      </c>
      <c r="P84">
        <v>3357442.4</v>
      </c>
      <c r="Q84">
        <v>4677741</v>
      </c>
      <c r="R84">
        <v>1526319</v>
      </c>
      <c r="T84">
        <v>2.2981533759972081</v>
      </c>
      <c r="U84">
        <v>1.431880874827038</v>
      </c>
      <c r="V84">
        <v>1.424118245998397</v>
      </c>
      <c r="W84">
        <v>3.9200282070029062</v>
      </c>
      <c r="X84">
        <v>1.6544310946075711</v>
      </c>
      <c r="Y84">
        <v>4.3955100694030991</v>
      </c>
      <c r="Z84">
        <v>2.119594548380701</v>
      </c>
      <c r="AA84">
        <v>3.5488580426084808</v>
      </c>
      <c r="AB84">
        <v>1.5896915536082821</v>
      </c>
      <c r="AC84">
        <v>1.76082683679997</v>
      </c>
      <c r="AD84">
        <v>1.865169786993647</v>
      </c>
      <c r="AE84">
        <v>4.0127676771895491</v>
      </c>
      <c r="AF84">
        <v>2.472979443776421</v>
      </c>
      <c r="AH84">
        <v>2.2981533759972081</v>
      </c>
      <c r="AI84">
        <v>0.82764022880000976</v>
      </c>
      <c r="AJ84">
        <v>0.82435711399884881</v>
      </c>
      <c r="AK84">
        <v>3.9200282070029062</v>
      </c>
      <c r="AL84">
        <v>1.1608280037995431</v>
      </c>
      <c r="AM84">
        <v>4.3955100694030991</v>
      </c>
      <c r="AN84">
        <v>1.298126389988465</v>
      </c>
      <c r="AO84">
        <v>3.5488580426084808</v>
      </c>
      <c r="AP84">
        <v>1.1624968396092299</v>
      </c>
      <c r="AQ84">
        <v>0.97270196960307653</v>
      </c>
      <c r="AR84">
        <v>0.49987835460342472</v>
      </c>
      <c r="AS84">
        <v>4.0127676771895491</v>
      </c>
      <c r="AT84">
        <v>1.4834775379858911</v>
      </c>
      <c r="AV84">
        <v>0.20549564199754969</v>
      </c>
    </row>
    <row r="85" spans="1:48" x14ac:dyDescent="0.3">
      <c r="A85">
        <v>5</v>
      </c>
      <c r="B85" t="s">
        <v>116</v>
      </c>
      <c r="C85" t="s">
        <v>113</v>
      </c>
      <c r="D85" t="s">
        <v>114</v>
      </c>
      <c r="E85" s="3">
        <v>0</v>
      </c>
      <c r="F85">
        <v>781166.8</v>
      </c>
      <c r="G85">
        <v>808056.4</v>
      </c>
      <c r="H85">
        <v>810196</v>
      </c>
      <c r="I85">
        <v>1547781.6</v>
      </c>
      <c r="J85">
        <v>614001.6</v>
      </c>
      <c r="K85">
        <v>1285156.2</v>
      </c>
      <c r="L85">
        <v>549459.6</v>
      </c>
      <c r="M85">
        <v>1990193</v>
      </c>
      <c r="N85">
        <v>834222.2</v>
      </c>
      <c r="O85">
        <v>3853685</v>
      </c>
      <c r="P85">
        <v>3271568.2</v>
      </c>
      <c r="Q85">
        <v>3464936</v>
      </c>
      <c r="R85">
        <v>1549296.6</v>
      </c>
      <c r="T85">
        <v>0.77303273940342476</v>
      </c>
      <c r="U85">
        <v>0.99809590321383435</v>
      </c>
      <c r="V85">
        <v>0.97824052261421457</v>
      </c>
      <c r="W85">
        <v>0.90556368600809944</v>
      </c>
      <c r="X85">
        <v>0.81269819960580203</v>
      </c>
      <c r="Y85">
        <v>1.3295940480020361</v>
      </c>
      <c r="Z85">
        <v>1.314067072380567</v>
      </c>
      <c r="AA85">
        <v>1.6293403442017731</v>
      </c>
      <c r="AB85">
        <v>1.1008540258044379</v>
      </c>
      <c r="AC85">
        <v>1.7129473306064029</v>
      </c>
      <c r="AD85">
        <v>1.799624401738402</v>
      </c>
      <c r="AE85">
        <v>3.64768294080277</v>
      </c>
      <c r="AF85">
        <v>2.2080802983895409</v>
      </c>
      <c r="AH85">
        <v>0.77303273940342476</v>
      </c>
      <c r="AI85">
        <v>0.49514757140423171</v>
      </c>
      <c r="AJ85">
        <v>0.47830325780087152</v>
      </c>
      <c r="AK85">
        <v>0.90556368600809944</v>
      </c>
      <c r="AL85">
        <v>0.46682999141630721</v>
      </c>
      <c r="AM85">
        <v>1.3295940480020361</v>
      </c>
      <c r="AN85">
        <v>0.6043003253871575</v>
      </c>
      <c r="AO85">
        <v>1.6293403442017731</v>
      </c>
      <c r="AP85">
        <v>0.68406895838561466</v>
      </c>
      <c r="AQ85">
        <v>0.96207083320477982</v>
      </c>
      <c r="AR85">
        <v>0.49033378097810781</v>
      </c>
      <c r="AS85">
        <v>3.64768294080277</v>
      </c>
      <c r="AT85">
        <v>1.337422454799525</v>
      </c>
      <c r="AV85">
        <v>0.2144981768040452</v>
      </c>
    </row>
    <row r="86" spans="1:48" x14ac:dyDescent="0.3">
      <c r="A86">
        <v>5</v>
      </c>
      <c r="B86" t="s">
        <v>117</v>
      </c>
      <c r="C86" t="s">
        <v>113</v>
      </c>
      <c r="D86" t="s">
        <v>114</v>
      </c>
      <c r="E86" s="3">
        <v>0</v>
      </c>
      <c r="F86">
        <v>4408749</v>
      </c>
      <c r="G86">
        <v>2206498.7999999998</v>
      </c>
      <c r="H86">
        <v>2218114.7999999998</v>
      </c>
      <c r="I86">
        <v>2025758.4</v>
      </c>
      <c r="J86">
        <v>839855.2</v>
      </c>
      <c r="K86">
        <v>2855646.2</v>
      </c>
      <c r="L86">
        <v>1005446.2</v>
      </c>
      <c r="M86">
        <v>9883125.4000000004</v>
      </c>
      <c r="N86">
        <v>3095842.8</v>
      </c>
      <c r="O86">
        <v>4039682.4</v>
      </c>
      <c r="P86">
        <v>3611945.8</v>
      </c>
      <c r="Q86">
        <v>11459876.6</v>
      </c>
      <c r="R86">
        <v>3509706.6</v>
      </c>
      <c r="T86">
        <v>3.7638478770037178</v>
      </c>
      <c r="U86">
        <v>2.0716034792072611</v>
      </c>
      <c r="V86">
        <v>2.053478938591434</v>
      </c>
      <c r="W86">
        <v>2.4028561104030808</v>
      </c>
      <c r="X86">
        <v>1.3669691996008619</v>
      </c>
      <c r="Y86">
        <v>2.7483988337917249</v>
      </c>
      <c r="Z86">
        <v>1.7693674172158349</v>
      </c>
      <c r="AA86">
        <v>8.5711716846039057</v>
      </c>
      <c r="AB86">
        <v>3.2201126190135261</v>
      </c>
      <c r="AC86">
        <v>1.8388794066151599</v>
      </c>
      <c r="AD86">
        <v>2.0509817040001508</v>
      </c>
      <c r="AE86">
        <v>6.662985581002431</v>
      </c>
      <c r="AF86">
        <v>3.3894447607744951</v>
      </c>
      <c r="AH86">
        <v>3.7638478770037178</v>
      </c>
      <c r="AI86">
        <v>1.240959817206021</v>
      </c>
      <c r="AJ86">
        <v>1.236692137405043</v>
      </c>
      <c r="AK86">
        <v>2.4028561104030808</v>
      </c>
      <c r="AL86">
        <v>0.85929289679042997</v>
      </c>
      <c r="AM86">
        <v>2.7483988337917249</v>
      </c>
      <c r="AN86">
        <v>0.94920713360770603</v>
      </c>
      <c r="AO86">
        <v>8.5711716846039057</v>
      </c>
      <c r="AP86">
        <v>2.2271102724072991</v>
      </c>
      <c r="AQ86">
        <v>1.0653224608220631</v>
      </c>
      <c r="AR86">
        <v>0.53357326861587351</v>
      </c>
      <c r="AS86">
        <v>6.662985581002431</v>
      </c>
      <c r="AT86">
        <v>2.1553057625947991</v>
      </c>
      <c r="AV86">
        <v>0.2048894422070589</v>
      </c>
    </row>
    <row r="87" spans="1:48" x14ac:dyDescent="0.3">
      <c r="A87">
        <v>5</v>
      </c>
      <c r="B87" t="s">
        <v>118</v>
      </c>
      <c r="C87" t="s">
        <v>113</v>
      </c>
      <c r="D87" t="s">
        <v>114</v>
      </c>
      <c r="E87" s="3">
        <v>0</v>
      </c>
      <c r="F87">
        <v>5315485</v>
      </c>
      <c r="G87">
        <v>2730815.8</v>
      </c>
      <c r="H87">
        <v>2739932.2</v>
      </c>
      <c r="I87">
        <v>15647339</v>
      </c>
      <c r="J87">
        <v>4239849.5999999996</v>
      </c>
      <c r="K87">
        <v>17495021.800000001</v>
      </c>
      <c r="L87">
        <v>4687056.5999999996</v>
      </c>
      <c r="M87">
        <v>12464840.6</v>
      </c>
      <c r="N87">
        <v>3886398.6</v>
      </c>
      <c r="O87">
        <v>4336350.8</v>
      </c>
      <c r="P87">
        <v>3884907.4</v>
      </c>
      <c r="Q87">
        <v>15843471.800000001</v>
      </c>
      <c r="R87">
        <v>5513080.7999999998</v>
      </c>
      <c r="T87">
        <v>4.810390462796204</v>
      </c>
      <c r="U87">
        <v>2.5230289567902222</v>
      </c>
      <c r="V87">
        <v>2.5005888826039149</v>
      </c>
      <c r="W87">
        <v>15.78801671120454</v>
      </c>
      <c r="X87">
        <v>4.5858676328440193</v>
      </c>
      <c r="Y87">
        <v>17.812895196990571</v>
      </c>
      <c r="Z87">
        <v>5.4299570165982001</v>
      </c>
      <c r="AA87">
        <v>10.26170618739561</v>
      </c>
      <c r="AB87">
        <v>3.6315105748304628</v>
      </c>
      <c r="AC87">
        <v>2.081392450211569</v>
      </c>
      <c r="AD87">
        <v>2.2753423421934711</v>
      </c>
      <c r="AE87">
        <v>8.3546284331998315</v>
      </c>
      <c r="AF87">
        <v>4.314450413209852</v>
      </c>
      <c r="AH87">
        <v>4.810390462796204</v>
      </c>
      <c r="AI87">
        <v>1.475660177803366</v>
      </c>
      <c r="AJ87">
        <v>1.46833502020454</v>
      </c>
      <c r="AK87">
        <v>15.78801671120454</v>
      </c>
      <c r="AL87">
        <v>3.7302831528126261</v>
      </c>
      <c r="AM87">
        <v>17.812895196990571</v>
      </c>
      <c r="AN87">
        <v>4.2603075528109908</v>
      </c>
      <c r="AO87">
        <v>10.26170618739561</v>
      </c>
      <c r="AP87">
        <v>2.6340986726048872</v>
      </c>
      <c r="AQ87">
        <v>1.2224776686111001</v>
      </c>
      <c r="AR87">
        <v>0.58907416700385506</v>
      </c>
      <c r="AS87">
        <v>8.3546284331998315</v>
      </c>
      <c r="AT87">
        <v>2.8067755804047918</v>
      </c>
      <c r="AV87">
        <v>0.2064632674038876</v>
      </c>
    </row>
    <row r="88" spans="1:48" x14ac:dyDescent="0.3">
      <c r="A88">
        <v>5</v>
      </c>
      <c r="B88" t="s">
        <v>119</v>
      </c>
      <c r="C88" t="s">
        <v>113</v>
      </c>
      <c r="D88" t="s">
        <v>114</v>
      </c>
      <c r="E88" s="3">
        <v>0</v>
      </c>
      <c r="F88">
        <v>1032997.2</v>
      </c>
      <c r="G88">
        <v>862212</v>
      </c>
      <c r="H88">
        <v>865459.8</v>
      </c>
      <c r="I88">
        <v>569045.4</v>
      </c>
      <c r="J88">
        <v>539701</v>
      </c>
      <c r="K88">
        <v>880596.2</v>
      </c>
      <c r="L88">
        <v>548521.6</v>
      </c>
      <c r="M88">
        <v>3558555.6</v>
      </c>
      <c r="N88">
        <v>1207360.2</v>
      </c>
      <c r="O88">
        <v>3929436.4</v>
      </c>
      <c r="P88">
        <v>3353541.4</v>
      </c>
      <c r="Q88">
        <v>3126287.2</v>
      </c>
      <c r="R88">
        <v>1452763.8</v>
      </c>
      <c r="T88">
        <v>1.1124300703930201</v>
      </c>
      <c r="U88">
        <v>1.087438352988102</v>
      </c>
      <c r="V88">
        <v>1.07617081021308</v>
      </c>
      <c r="W88">
        <v>1.012500263797119</v>
      </c>
      <c r="X88">
        <v>1.0035663407878019</v>
      </c>
      <c r="Y88">
        <v>1.447675258398522</v>
      </c>
      <c r="Z88">
        <v>1.4488428586162629</v>
      </c>
      <c r="AA88">
        <v>2.408944896195317</v>
      </c>
      <c r="AB88">
        <v>1.3350411513936711</v>
      </c>
      <c r="AC88">
        <v>1.7631313033925839</v>
      </c>
      <c r="AD88">
        <v>1.8568942702317139</v>
      </c>
      <c r="AE88">
        <v>3.682675688999006</v>
      </c>
      <c r="AF88">
        <v>2.3599282450100869</v>
      </c>
      <c r="AH88">
        <v>1.1124300703930201</v>
      </c>
      <c r="AI88">
        <v>0.53826845938456247</v>
      </c>
      <c r="AJ88">
        <v>0.53121645579230969</v>
      </c>
      <c r="AK88">
        <v>1.012500263797119</v>
      </c>
      <c r="AL88">
        <v>0.57252093800343573</v>
      </c>
      <c r="AM88">
        <v>1.447675258398522</v>
      </c>
      <c r="AN88">
        <v>0.68296688940026795</v>
      </c>
      <c r="AO88">
        <v>2.408944896195317</v>
      </c>
      <c r="AP88">
        <v>0.8476169707952067</v>
      </c>
      <c r="AQ88">
        <v>0.9684894705947954</v>
      </c>
      <c r="AR88">
        <v>0.49933529961854223</v>
      </c>
      <c r="AS88">
        <v>3.682675688999006</v>
      </c>
      <c r="AT88">
        <v>1.370130704191979</v>
      </c>
      <c r="AV88">
        <v>0.20621157359564679</v>
      </c>
    </row>
    <row r="89" spans="1:48" x14ac:dyDescent="0.3">
      <c r="A89">
        <v>5</v>
      </c>
      <c r="B89" t="s">
        <v>120</v>
      </c>
      <c r="C89" t="s">
        <v>113</v>
      </c>
      <c r="D89" t="s">
        <v>114</v>
      </c>
      <c r="E89" s="3">
        <v>1</v>
      </c>
      <c r="F89">
        <v>2367261</v>
      </c>
      <c r="G89">
        <v>827002.6</v>
      </c>
      <c r="H89">
        <v>826792.2</v>
      </c>
      <c r="I89">
        <v>2397875.6</v>
      </c>
      <c r="J89">
        <v>742465.2</v>
      </c>
      <c r="K89">
        <v>929558.2</v>
      </c>
      <c r="L89">
        <v>432533</v>
      </c>
      <c r="M89">
        <v>5850146.2000000002</v>
      </c>
      <c r="N89">
        <v>1284856.3999999999</v>
      </c>
      <c r="O89">
        <v>3855495.2</v>
      </c>
      <c r="P89">
        <v>3269396.2</v>
      </c>
      <c r="Q89">
        <v>3518969</v>
      </c>
      <c r="R89">
        <v>1104745.2</v>
      </c>
      <c r="T89">
        <v>1.874811782600591</v>
      </c>
      <c r="U89">
        <v>1.0126668451877781</v>
      </c>
      <c r="V89">
        <v>1.0011182454298251</v>
      </c>
      <c r="W89">
        <v>2.1618672512006021</v>
      </c>
      <c r="X89">
        <v>1.03417624841095</v>
      </c>
      <c r="Y89">
        <v>1.4550488363951439</v>
      </c>
      <c r="Z89">
        <v>1.331630227790447</v>
      </c>
      <c r="AA89">
        <v>4.8491699251986571</v>
      </c>
      <c r="AB89">
        <v>1.6299603580031541</v>
      </c>
      <c r="AC89">
        <v>1.707445270393509</v>
      </c>
      <c r="AD89">
        <v>1.792505291179987</v>
      </c>
      <c r="AE89">
        <v>3.6456764888018371</v>
      </c>
      <c r="AF89">
        <v>1.885437263408676</v>
      </c>
      <c r="AH89">
        <v>1.874811782600591</v>
      </c>
      <c r="AI89">
        <v>0.56792845779564227</v>
      </c>
      <c r="AJ89">
        <v>0.55549407799844619</v>
      </c>
      <c r="AK89">
        <v>2.1618672512006021</v>
      </c>
      <c r="AL89">
        <v>0.69530876199714842</v>
      </c>
      <c r="AM89">
        <v>1.4550488363951439</v>
      </c>
      <c r="AN89">
        <v>0.60953021160094067</v>
      </c>
      <c r="AO89">
        <v>4.8491699251986571</v>
      </c>
      <c r="AP89">
        <v>1.206683760194573</v>
      </c>
      <c r="AQ89">
        <v>0.96204377899412064</v>
      </c>
      <c r="AR89">
        <v>0.49302103442605583</v>
      </c>
      <c r="AS89">
        <v>3.6456764888018371</v>
      </c>
      <c r="AT89">
        <v>1.247175441816216</v>
      </c>
      <c r="AV89">
        <v>0.20855406579794361</v>
      </c>
    </row>
    <row r="90" spans="1:48" x14ac:dyDescent="0.3">
      <c r="A90">
        <v>5</v>
      </c>
      <c r="B90" t="s">
        <v>121</v>
      </c>
      <c r="C90" t="s">
        <v>113</v>
      </c>
      <c r="D90" t="s">
        <v>114</v>
      </c>
      <c r="E90" s="3">
        <v>0</v>
      </c>
      <c r="F90">
        <v>208470.2</v>
      </c>
      <c r="G90">
        <v>516786.4</v>
      </c>
      <c r="H90">
        <v>516957.8</v>
      </c>
      <c r="I90">
        <v>202026.4</v>
      </c>
      <c r="J90">
        <v>244875.8</v>
      </c>
      <c r="K90">
        <v>202822</v>
      </c>
      <c r="L90">
        <v>259298.8</v>
      </c>
      <c r="M90">
        <v>1063.5999999999999</v>
      </c>
      <c r="N90">
        <v>189314.6</v>
      </c>
      <c r="O90">
        <v>4030484.4</v>
      </c>
      <c r="P90">
        <v>3580566.4</v>
      </c>
      <c r="Q90">
        <v>4608.6000000000004</v>
      </c>
      <c r="R90">
        <v>269478.8</v>
      </c>
      <c r="T90">
        <v>0.34684308959404009</v>
      </c>
      <c r="U90">
        <v>0.74618107600836081</v>
      </c>
      <c r="V90">
        <v>0.73567338200518861</v>
      </c>
      <c r="W90">
        <v>0.382740345201455</v>
      </c>
      <c r="X90">
        <v>0.62871799501590431</v>
      </c>
      <c r="Y90">
        <v>0.93770506839500745</v>
      </c>
      <c r="Z90">
        <v>1.197174196800916</v>
      </c>
      <c r="AA90">
        <v>8.3378270594403128E-2</v>
      </c>
      <c r="AB90">
        <v>0.58378560661221857</v>
      </c>
      <c r="AC90">
        <v>1.8171390700154011</v>
      </c>
      <c r="AD90">
        <v>2.0119416600500699</v>
      </c>
      <c r="AE90">
        <v>2.2873766592238061E-2</v>
      </c>
      <c r="AF90">
        <v>0.86229611421586017</v>
      </c>
      <c r="AH90">
        <v>0.34684308959404009</v>
      </c>
      <c r="AI90">
        <v>0.38453185440739618</v>
      </c>
      <c r="AJ90">
        <v>0.37624802798382001</v>
      </c>
      <c r="AK90">
        <v>0.382740345201455</v>
      </c>
      <c r="AL90">
        <v>0.33168896920396951</v>
      </c>
      <c r="AM90">
        <v>0.93770506839500745</v>
      </c>
      <c r="AN90">
        <v>0.51312446658848787</v>
      </c>
      <c r="AO90">
        <v>8.3378270594403128E-2</v>
      </c>
      <c r="AP90">
        <v>0.34339668040629479</v>
      </c>
      <c r="AQ90">
        <v>1.0633267872035499</v>
      </c>
      <c r="AR90">
        <v>0.53085975497961047</v>
      </c>
      <c r="AS90">
        <v>2.2873766592238061E-2</v>
      </c>
      <c r="AT90">
        <v>0.46021365320775659</v>
      </c>
      <c r="AV90">
        <v>0.2013790234050247</v>
      </c>
    </row>
    <row r="91" spans="1:48" x14ac:dyDescent="0.3">
      <c r="A91">
        <v>6</v>
      </c>
      <c r="B91" t="s">
        <v>122</v>
      </c>
      <c r="C91" t="s">
        <v>123</v>
      </c>
      <c r="D91" t="s">
        <v>124</v>
      </c>
      <c r="E91" s="3">
        <v>0</v>
      </c>
      <c r="F91">
        <v>623122.6</v>
      </c>
      <c r="G91">
        <v>623122.6</v>
      </c>
      <c r="H91">
        <v>623122.6</v>
      </c>
      <c r="I91">
        <v>444173</v>
      </c>
      <c r="J91">
        <v>444173</v>
      </c>
      <c r="K91">
        <v>436331</v>
      </c>
      <c r="L91">
        <v>436331</v>
      </c>
      <c r="M91">
        <v>477290.2</v>
      </c>
      <c r="N91">
        <v>477290.2</v>
      </c>
      <c r="O91">
        <v>3001506.4</v>
      </c>
      <c r="P91">
        <v>3001506.4</v>
      </c>
      <c r="Q91">
        <v>1187507</v>
      </c>
      <c r="R91">
        <v>1187507</v>
      </c>
      <c r="T91">
        <v>0.86401075800531546</v>
      </c>
      <c r="U91">
        <v>0.86401075800531546</v>
      </c>
      <c r="V91">
        <v>0.86401075800531546</v>
      </c>
      <c r="W91">
        <v>0.88052520380588251</v>
      </c>
      <c r="X91">
        <v>0.88052520380588251</v>
      </c>
      <c r="Y91">
        <v>1.1250869914016219</v>
      </c>
      <c r="Z91">
        <v>1.1250869914016219</v>
      </c>
      <c r="AA91">
        <v>1.587562787206843</v>
      </c>
      <c r="AB91">
        <v>1.587562787206843</v>
      </c>
      <c r="AC91">
        <v>0.45815454019466417</v>
      </c>
      <c r="AD91">
        <v>0.45815454019466417</v>
      </c>
      <c r="AE91">
        <v>3.028369102207944</v>
      </c>
      <c r="AF91">
        <v>3.028369102207944</v>
      </c>
      <c r="AH91">
        <v>0.86401075800531546</v>
      </c>
      <c r="AI91">
        <v>0.86401075800531546</v>
      </c>
      <c r="AJ91">
        <v>0.86401075800531546</v>
      </c>
      <c r="AK91">
        <v>0.88052520380588251</v>
      </c>
      <c r="AL91">
        <v>0.88052520380588251</v>
      </c>
      <c r="AM91">
        <v>1.1250869914016219</v>
      </c>
      <c r="AN91">
        <v>1.1250869914016219</v>
      </c>
      <c r="AO91">
        <v>1.587562787206843</v>
      </c>
      <c r="AP91">
        <v>1.587562787206843</v>
      </c>
      <c r="AQ91">
        <v>0.3522595692018512</v>
      </c>
      <c r="AR91">
        <v>0.3522595692018512</v>
      </c>
      <c r="AS91">
        <v>3.028369102207944</v>
      </c>
      <c r="AT91">
        <v>3.028369102207944</v>
      </c>
      <c r="AV91">
        <v>0</v>
      </c>
    </row>
    <row r="92" spans="1:48" x14ac:dyDescent="0.3">
      <c r="A92">
        <v>6</v>
      </c>
      <c r="B92" t="s">
        <v>125</v>
      </c>
      <c r="C92" t="s">
        <v>123</v>
      </c>
      <c r="D92" t="s">
        <v>124</v>
      </c>
      <c r="E92" s="3">
        <v>0</v>
      </c>
      <c r="F92">
        <v>391828.4</v>
      </c>
      <c r="G92">
        <v>391828.4</v>
      </c>
      <c r="H92">
        <v>391828.4</v>
      </c>
      <c r="I92">
        <v>236045</v>
      </c>
      <c r="J92">
        <v>236045</v>
      </c>
      <c r="K92">
        <v>314030.8</v>
      </c>
      <c r="L92">
        <v>314030.8</v>
      </c>
      <c r="M92">
        <v>195592.4</v>
      </c>
      <c r="N92">
        <v>195592.4</v>
      </c>
      <c r="O92">
        <v>2999604.4</v>
      </c>
      <c r="P92">
        <v>2999604.4</v>
      </c>
      <c r="Q92">
        <v>72201.600000000006</v>
      </c>
      <c r="R92">
        <v>72201.600000000006</v>
      </c>
      <c r="T92">
        <v>0.4772558784112334</v>
      </c>
      <c r="U92">
        <v>0.4772558784112334</v>
      </c>
      <c r="V92">
        <v>0.4772558784112334</v>
      </c>
      <c r="W92">
        <v>0.44540453980444</v>
      </c>
      <c r="X92">
        <v>0.44540453980444</v>
      </c>
      <c r="Y92">
        <v>1.0467274560010991</v>
      </c>
      <c r="Z92">
        <v>1.0467274560010991</v>
      </c>
      <c r="AA92">
        <v>1.0317144784086849</v>
      </c>
      <c r="AB92">
        <v>1.0317144784086849</v>
      </c>
      <c r="AC92">
        <v>0.45510460601071828</v>
      </c>
      <c r="AD92">
        <v>0.45510460601071828</v>
      </c>
      <c r="AE92">
        <v>0.13019482619129119</v>
      </c>
      <c r="AF92">
        <v>0.13019482619129119</v>
      </c>
      <c r="AH92">
        <v>0.4772558784112334</v>
      </c>
      <c r="AI92">
        <v>0.4772558784112334</v>
      </c>
      <c r="AJ92">
        <v>0.4772558784112334</v>
      </c>
      <c r="AK92">
        <v>0.44540453980444</v>
      </c>
      <c r="AL92">
        <v>0.44540453980444</v>
      </c>
      <c r="AM92">
        <v>1.0467274560010991</v>
      </c>
      <c r="AN92">
        <v>1.0467274560010991</v>
      </c>
      <c r="AO92">
        <v>1.0317144784086849</v>
      </c>
      <c r="AP92">
        <v>1.0317144784086849</v>
      </c>
      <c r="AQ92">
        <v>0.34732214940595441</v>
      </c>
      <c r="AR92">
        <v>0.34732214940595441</v>
      </c>
      <c r="AS92">
        <v>0.13019482619129119</v>
      </c>
      <c r="AT92">
        <v>0.13019482619129119</v>
      </c>
      <c r="AV92">
        <v>0</v>
      </c>
    </row>
    <row r="93" spans="1:48" x14ac:dyDescent="0.3">
      <c r="A93">
        <v>6</v>
      </c>
      <c r="B93" t="s">
        <v>126</v>
      </c>
      <c r="C93" t="s">
        <v>123</v>
      </c>
      <c r="D93" t="s">
        <v>124</v>
      </c>
      <c r="E93" s="3">
        <v>0</v>
      </c>
      <c r="F93">
        <v>367392.4</v>
      </c>
      <c r="G93">
        <v>367392.4</v>
      </c>
      <c r="H93">
        <v>367392.4</v>
      </c>
      <c r="I93">
        <v>433332.4</v>
      </c>
      <c r="J93">
        <v>433332.4</v>
      </c>
      <c r="K93">
        <v>330350</v>
      </c>
      <c r="L93">
        <v>330350</v>
      </c>
      <c r="M93">
        <v>289901.59999999998</v>
      </c>
      <c r="N93">
        <v>289901.59999999998</v>
      </c>
      <c r="O93">
        <v>2965491.8</v>
      </c>
      <c r="P93">
        <v>2965491.8</v>
      </c>
      <c r="Q93">
        <v>21360</v>
      </c>
      <c r="R93">
        <v>21360</v>
      </c>
      <c r="T93">
        <v>0.43395250879693781</v>
      </c>
      <c r="U93">
        <v>0.43395250879693781</v>
      </c>
      <c r="V93">
        <v>0.43395250879693781</v>
      </c>
      <c r="W93">
        <v>0.53175737839774229</v>
      </c>
      <c r="X93">
        <v>0.53175737839774229</v>
      </c>
      <c r="Y93">
        <v>1.018622558208881</v>
      </c>
      <c r="Z93">
        <v>1.018622558208881</v>
      </c>
      <c r="AA93">
        <v>1.1119589695998</v>
      </c>
      <c r="AB93">
        <v>1.1119589695998</v>
      </c>
      <c r="AC93">
        <v>0.40979272840195341</v>
      </c>
      <c r="AD93">
        <v>0.40979272840195341</v>
      </c>
      <c r="AE93">
        <v>7.8611730196280385E-2</v>
      </c>
      <c r="AF93">
        <v>7.8611730196280385E-2</v>
      </c>
      <c r="AH93">
        <v>0.43395250879693781</v>
      </c>
      <c r="AI93">
        <v>0.43395250879693781</v>
      </c>
      <c r="AJ93">
        <v>0.43395250879693781</v>
      </c>
      <c r="AK93">
        <v>0.53175737839774229</v>
      </c>
      <c r="AL93">
        <v>0.53175737839774229</v>
      </c>
      <c r="AM93">
        <v>1.018622558208881</v>
      </c>
      <c r="AN93">
        <v>1.018622558208881</v>
      </c>
      <c r="AO93">
        <v>1.1119589695998</v>
      </c>
      <c r="AP93">
        <v>1.1119589695998</v>
      </c>
      <c r="AQ93">
        <v>0.34060287260799671</v>
      </c>
      <c r="AR93">
        <v>0.34060287260799671</v>
      </c>
      <c r="AS93">
        <v>7.8611730196280385E-2</v>
      </c>
      <c r="AT93">
        <v>7.8611730196280385E-2</v>
      </c>
      <c r="AV93">
        <v>0</v>
      </c>
    </row>
    <row r="94" spans="1:48" x14ac:dyDescent="0.3">
      <c r="A94">
        <v>6</v>
      </c>
      <c r="B94" t="s">
        <v>127</v>
      </c>
      <c r="C94" t="s">
        <v>123</v>
      </c>
      <c r="D94" t="s">
        <v>124</v>
      </c>
      <c r="E94" s="3">
        <v>1</v>
      </c>
      <c r="F94">
        <v>355374.2</v>
      </c>
      <c r="G94">
        <v>355374.2</v>
      </c>
      <c r="H94">
        <v>355374.2</v>
      </c>
      <c r="I94">
        <v>234725.8</v>
      </c>
      <c r="J94">
        <v>234725.8</v>
      </c>
      <c r="K94">
        <v>330312</v>
      </c>
      <c r="L94">
        <v>330312</v>
      </c>
      <c r="M94">
        <v>217926.39999999999</v>
      </c>
      <c r="N94">
        <v>217926.39999999999</v>
      </c>
      <c r="O94">
        <v>2964979.6</v>
      </c>
      <c r="P94">
        <v>2964979.6</v>
      </c>
      <c r="Q94">
        <v>527.4</v>
      </c>
      <c r="R94">
        <v>527.4</v>
      </c>
      <c r="T94">
        <v>0.39447633840609342</v>
      </c>
      <c r="U94">
        <v>0.39447633840609342</v>
      </c>
      <c r="V94">
        <v>0.39447633840609342</v>
      </c>
      <c r="W94">
        <v>0.35834390780655673</v>
      </c>
      <c r="X94">
        <v>0.35834390780655673</v>
      </c>
      <c r="Y94">
        <v>1.0531681113992819</v>
      </c>
      <c r="Z94">
        <v>1.0531681113992819</v>
      </c>
      <c r="AA94">
        <v>1.0527237007976511</v>
      </c>
      <c r="AB94">
        <v>1.0527237007976511</v>
      </c>
      <c r="AC94">
        <v>0.41423764621140441</v>
      </c>
      <c r="AD94">
        <v>0.41423764621140441</v>
      </c>
      <c r="AE94">
        <v>6.56856580753806E-3</v>
      </c>
      <c r="AF94">
        <v>6.56856580753806E-3</v>
      </c>
      <c r="AH94">
        <v>0.39447633840609342</v>
      </c>
      <c r="AI94">
        <v>0.39447633840609342</v>
      </c>
      <c r="AJ94">
        <v>0.39447633840609342</v>
      </c>
      <c r="AK94">
        <v>0.35834390780655673</v>
      </c>
      <c r="AL94">
        <v>0.35834390780655673</v>
      </c>
      <c r="AM94">
        <v>1.0531681113992819</v>
      </c>
      <c r="AN94">
        <v>1.0531681113992819</v>
      </c>
      <c r="AO94">
        <v>1.0527237007976511</v>
      </c>
      <c r="AP94">
        <v>1.0527237007976511</v>
      </c>
      <c r="AQ94">
        <v>0.34217368300887763</v>
      </c>
      <c r="AR94">
        <v>0.34217368300887763</v>
      </c>
      <c r="AS94">
        <v>6.56856580753806E-3</v>
      </c>
      <c r="AT94">
        <v>6.56856580753806E-3</v>
      </c>
      <c r="AV94">
        <v>0</v>
      </c>
    </row>
    <row r="95" spans="1:48" x14ac:dyDescent="0.3">
      <c r="A95">
        <v>6</v>
      </c>
      <c r="B95" t="s">
        <v>128</v>
      </c>
      <c r="C95" t="s">
        <v>123</v>
      </c>
      <c r="D95" t="s">
        <v>124</v>
      </c>
      <c r="E95" s="3">
        <v>1</v>
      </c>
      <c r="F95">
        <v>1103736</v>
      </c>
      <c r="G95">
        <v>1103736</v>
      </c>
      <c r="H95">
        <v>1103736</v>
      </c>
      <c r="I95">
        <v>869599.8</v>
      </c>
      <c r="J95">
        <v>869599.8</v>
      </c>
      <c r="K95">
        <v>949391.6</v>
      </c>
      <c r="L95">
        <v>949391.6</v>
      </c>
      <c r="M95">
        <v>1407443.4</v>
      </c>
      <c r="N95">
        <v>1407443.4</v>
      </c>
      <c r="O95">
        <v>3038410.8</v>
      </c>
      <c r="P95">
        <v>3038410.8</v>
      </c>
      <c r="Q95">
        <v>2238261</v>
      </c>
      <c r="R95">
        <v>2238261</v>
      </c>
      <c r="T95">
        <v>1.254203734401381</v>
      </c>
      <c r="U95">
        <v>1.254203734401381</v>
      </c>
      <c r="V95">
        <v>1.254203734401381</v>
      </c>
      <c r="W95">
        <v>1.231941699195886</v>
      </c>
      <c r="X95">
        <v>1.231941699195886</v>
      </c>
      <c r="Y95">
        <v>1.403791948803701</v>
      </c>
      <c r="Z95">
        <v>1.403791948803701</v>
      </c>
      <c r="AA95">
        <v>2.2041444427974062</v>
      </c>
      <c r="AB95">
        <v>2.2041444427974062</v>
      </c>
      <c r="AC95">
        <v>0.48007181998109438</v>
      </c>
      <c r="AD95">
        <v>0.48007181998109438</v>
      </c>
      <c r="AE95">
        <v>3.166935799998464</v>
      </c>
      <c r="AF95">
        <v>3.166935799998464</v>
      </c>
      <c r="AH95">
        <v>1.254203734401381</v>
      </c>
      <c r="AI95">
        <v>1.254203734401381</v>
      </c>
      <c r="AJ95">
        <v>1.254203734401381</v>
      </c>
      <c r="AK95">
        <v>1.231941699195886</v>
      </c>
      <c r="AL95">
        <v>1.231941699195886</v>
      </c>
      <c r="AM95">
        <v>1.403791948803701</v>
      </c>
      <c r="AN95">
        <v>1.403791948803701</v>
      </c>
      <c r="AO95">
        <v>2.2041444427974062</v>
      </c>
      <c r="AP95">
        <v>2.2041444427974062</v>
      </c>
      <c r="AQ95">
        <v>0.36878435418475419</v>
      </c>
      <c r="AR95">
        <v>0.36878435418475419</v>
      </c>
      <c r="AS95">
        <v>3.166935799998464</v>
      </c>
      <c r="AT95">
        <v>3.166935799998464</v>
      </c>
      <c r="AV95">
        <v>0</v>
      </c>
    </row>
    <row r="96" spans="1:48" x14ac:dyDescent="0.3">
      <c r="A96">
        <v>6</v>
      </c>
      <c r="B96" t="s">
        <v>129</v>
      </c>
      <c r="C96" t="s">
        <v>123</v>
      </c>
      <c r="D96" t="s">
        <v>124</v>
      </c>
      <c r="E96" s="3">
        <v>0</v>
      </c>
      <c r="F96">
        <v>570411.80000000005</v>
      </c>
      <c r="G96">
        <v>570411.80000000005</v>
      </c>
      <c r="H96">
        <v>570411.80000000005</v>
      </c>
      <c r="I96">
        <v>286209.59999999998</v>
      </c>
      <c r="J96">
        <v>286209.59999999998</v>
      </c>
      <c r="K96">
        <v>376852.4</v>
      </c>
      <c r="L96">
        <v>376852.4</v>
      </c>
      <c r="M96">
        <v>228253.6</v>
      </c>
      <c r="N96">
        <v>228253.6</v>
      </c>
      <c r="O96">
        <v>3037943.2</v>
      </c>
      <c r="P96">
        <v>3037943.2</v>
      </c>
      <c r="Q96">
        <v>543614</v>
      </c>
      <c r="R96">
        <v>543614</v>
      </c>
      <c r="T96">
        <v>0.57435183559427971</v>
      </c>
      <c r="U96">
        <v>0.57435183559427971</v>
      </c>
      <c r="V96">
        <v>0.57435183559427971</v>
      </c>
      <c r="W96">
        <v>0.45888298559584662</v>
      </c>
      <c r="X96">
        <v>0.45888298559584662</v>
      </c>
      <c r="Y96">
        <v>1.0381461233948359</v>
      </c>
      <c r="Z96">
        <v>1.0381461233948359</v>
      </c>
      <c r="AA96">
        <v>1.0438421375991309</v>
      </c>
      <c r="AB96">
        <v>1.0438421375991309</v>
      </c>
      <c r="AC96">
        <v>0.47094631158979611</v>
      </c>
      <c r="AD96">
        <v>0.47094631158979611</v>
      </c>
      <c r="AE96">
        <v>1.0149782927997879</v>
      </c>
      <c r="AF96">
        <v>1.0149782927997879</v>
      </c>
      <c r="AH96">
        <v>0.57435183559427971</v>
      </c>
      <c r="AI96">
        <v>0.57435183559427971</v>
      </c>
      <c r="AJ96">
        <v>0.57435183559427971</v>
      </c>
      <c r="AK96">
        <v>0.45888298559584662</v>
      </c>
      <c r="AL96">
        <v>0.45888298559584662</v>
      </c>
      <c r="AM96">
        <v>1.0381461233948359</v>
      </c>
      <c r="AN96">
        <v>1.0381461233948359</v>
      </c>
      <c r="AO96">
        <v>1.0438421375991309</v>
      </c>
      <c r="AP96">
        <v>1.0438421375991309</v>
      </c>
      <c r="AQ96">
        <v>0.35744919199496511</v>
      </c>
      <c r="AR96">
        <v>0.35744919199496511</v>
      </c>
      <c r="AS96">
        <v>1.0149782927997879</v>
      </c>
      <c r="AT96">
        <v>1.0149782927997879</v>
      </c>
      <c r="AV96">
        <v>0</v>
      </c>
    </row>
    <row r="97" spans="1:48" x14ac:dyDescent="0.3">
      <c r="A97">
        <v>6</v>
      </c>
      <c r="B97" t="s">
        <v>130</v>
      </c>
      <c r="C97" t="s">
        <v>123</v>
      </c>
      <c r="D97" t="s">
        <v>124</v>
      </c>
      <c r="E97" s="3">
        <v>0</v>
      </c>
      <c r="F97">
        <v>659628.4</v>
      </c>
      <c r="G97">
        <v>659628.4</v>
      </c>
      <c r="H97">
        <v>659628.4</v>
      </c>
      <c r="I97">
        <v>736767.4</v>
      </c>
      <c r="J97">
        <v>736767.4</v>
      </c>
      <c r="K97">
        <v>630383</v>
      </c>
      <c r="L97">
        <v>630383</v>
      </c>
      <c r="M97">
        <v>484121.4</v>
      </c>
      <c r="N97">
        <v>484121.4</v>
      </c>
      <c r="O97">
        <v>2971883.6</v>
      </c>
      <c r="P97">
        <v>2971883.6</v>
      </c>
      <c r="Q97">
        <v>470268.2</v>
      </c>
      <c r="R97">
        <v>470268.2</v>
      </c>
      <c r="T97">
        <v>0.64055167720653117</v>
      </c>
      <c r="U97">
        <v>0.64055167720653117</v>
      </c>
      <c r="V97">
        <v>0.64055167720653117</v>
      </c>
      <c r="W97">
        <v>0.64611078319139781</v>
      </c>
      <c r="X97">
        <v>0.64611078319139781</v>
      </c>
      <c r="Y97">
        <v>1.12228467099485</v>
      </c>
      <c r="Z97">
        <v>1.12228467099485</v>
      </c>
      <c r="AA97">
        <v>1.2148466103884861</v>
      </c>
      <c r="AB97">
        <v>1.2148466103884861</v>
      </c>
      <c r="AC97">
        <v>0.40735513817635371</v>
      </c>
      <c r="AD97">
        <v>0.40735513817635371</v>
      </c>
      <c r="AE97">
        <v>0.70143360359943474</v>
      </c>
      <c r="AF97">
        <v>0.70143360359943474</v>
      </c>
      <c r="AH97">
        <v>0.64055167720653117</v>
      </c>
      <c r="AI97">
        <v>0.64055167720653117</v>
      </c>
      <c r="AJ97">
        <v>0.64055167720653117</v>
      </c>
      <c r="AK97">
        <v>0.64611078319139781</v>
      </c>
      <c r="AL97">
        <v>0.64611078319139781</v>
      </c>
      <c r="AM97">
        <v>1.12228467099485</v>
      </c>
      <c r="AN97">
        <v>1.12228467099485</v>
      </c>
      <c r="AO97">
        <v>1.2148466103884861</v>
      </c>
      <c r="AP97">
        <v>1.2148466103884861</v>
      </c>
      <c r="AQ97">
        <v>0.33930580757441919</v>
      </c>
      <c r="AR97">
        <v>0.33930580757441919</v>
      </c>
      <c r="AS97">
        <v>0.70143360359943474</v>
      </c>
      <c r="AT97">
        <v>0.70143360359943474</v>
      </c>
      <c r="AV97">
        <v>0</v>
      </c>
    </row>
    <row r="98" spans="1:48" x14ac:dyDescent="0.3">
      <c r="A98">
        <v>6</v>
      </c>
      <c r="B98" t="s">
        <v>131</v>
      </c>
      <c r="C98" t="s">
        <v>123</v>
      </c>
      <c r="D98" t="s">
        <v>124</v>
      </c>
      <c r="E98" s="3">
        <v>0</v>
      </c>
      <c r="F98">
        <v>233765.6</v>
      </c>
      <c r="G98">
        <v>233765.6</v>
      </c>
      <c r="H98">
        <v>233765.6</v>
      </c>
      <c r="I98">
        <v>251124.6</v>
      </c>
      <c r="J98">
        <v>251124.6</v>
      </c>
      <c r="K98">
        <v>249170.4</v>
      </c>
      <c r="L98">
        <v>249170.4</v>
      </c>
      <c r="M98">
        <v>199467.4</v>
      </c>
      <c r="N98">
        <v>199467.4</v>
      </c>
      <c r="O98">
        <v>2971089.2</v>
      </c>
      <c r="P98">
        <v>2971089.2</v>
      </c>
      <c r="Q98">
        <v>1120.2</v>
      </c>
      <c r="R98">
        <v>1120.2</v>
      </c>
      <c r="T98">
        <v>0.33007377280737271</v>
      </c>
      <c r="U98">
        <v>0.33007377280737271</v>
      </c>
      <c r="V98">
        <v>0.33007377280737271</v>
      </c>
      <c r="W98">
        <v>0.37116766340332108</v>
      </c>
      <c r="X98">
        <v>0.37116766340332108</v>
      </c>
      <c r="Y98">
        <v>1.0029285945987789</v>
      </c>
      <c r="Z98">
        <v>1.0029285945987789</v>
      </c>
      <c r="AA98">
        <v>1.088745501398807</v>
      </c>
      <c r="AB98">
        <v>1.088745501398807</v>
      </c>
      <c r="AC98">
        <v>0.41554598780348889</v>
      </c>
      <c r="AD98">
        <v>0.41554598780348889</v>
      </c>
      <c r="AE98">
        <v>9.68066820059898E-3</v>
      </c>
      <c r="AF98">
        <v>9.68066820059898E-3</v>
      </c>
      <c r="AH98">
        <v>0.33007377280737271</v>
      </c>
      <c r="AI98">
        <v>0.33007377280737271</v>
      </c>
      <c r="AJ98">
        <v>0.33007377280737271</v>
      </c>
      <c r="AK98">
        <v>0.37116766340332108</v>
      </c>
      <c r="AL98">
        <v>0.37116766340332108</v>
      </c>
      <c r="AM98">
        <v>1.0029285945987789</v>
      </c>
      <c r="AN98">
        <v>1.0029285945987789</v>
      </c>
      <c r="AO98">
        <v>1.088745501398807</v>
      </c>
      <c r="AP98">
        <v>1.088745501398807</v>
      </c>
      <c r="AQ98">
        <v>0.34281466840766373</v>
      </c>
      <c r="AR98">
        <v>0.34281466840766373</v>
      </c>
      <c r="AS98">
        <v>9.68066820059898E-3</v>
      </c>
      <c r="AT98">
        <v>9.68066820059898E-3</v>
      </c>
      <c r="AV98">
        <v>0</v>
      </c>
    </row>
    <row r="99" spans="1:48" x14ac:dyDescent="0.3">
      <c r="A99">
        <v>7</v>
      </c>
      <c r="B99" t="s">
        <v>132</v>
      </c>
      <c r="C99" t="s">
        <v>133</v>
      </c>
      <c r="D99" t="s">
        <v>134</v>
      </c>
      <c r="E99" s="3">
        <v>0</v>
      </c>
      <c r="F99">
        <v>1193355</v>
      </c>
      <c r="G99">
        <v>1459339.2</v>
      </c>
      <c r="H99">
        <v>1474140.4</v>
      </c>
      <c r="I99">
        <v>1014775</v>
      </c>
      <c r="J99">
        <v>803811.4</v>
      </c>
      <c r="K99">
        <v>1123177</v>
      </c>
      <c r="L99">
        <v>935521.2</v>
      </c>
      <c r="M99">
        <v>972987.4</v>
      </c>
      <c r="N99">
        <v>933322.8</v>
      </c>
      <c r="O99">
        <v>4884451.4000000004</v>
      </c>
      <c r="P99">
        <v>4247587.5999999996</v>
      </c>
      <c r="Q99">
        <v>855986.4</v>
      </c>
      <c r="R99">
        <v>1265139.8</v>
      </c>
      <c r="T99">
        <v>1.4227875878044871</v>
      </c>
      <c r="U99">
        <v>1.521916484838584</v>
      </c>
      <c r="V99">
        <v>1.5160701360146049</v>
      </c>
      <c r="W99">
        <v>1.3865971440100111</v>
      </c>
      <c r="X99">
        <v>1.238609800196719</v>
      </c>
      <c r="Y99">
        <v>1.3381953703996261</v>
      </c>
      <c r="Z99">
        <v>1.6852256389858671</v>
      </c>
      <c r="AA99">
        <v>0.971854131994769</v>
      </c>
      <c r="AB99">
        <v>1.3686687597888521</v>
      </c>
      <c r="AC99">
        <v>2.4368463212158531</v>
      </c>
      <c r="AD99">
        <v>2.6343859676329879</v>
      </c>
      <c r="AE99">
        <v>3.198775162594393</v>
      </c>
      <c r="AF99">
        <v>2.8046972463955169</v>
      </c>
      <c r="AH99">
        <v>1.4227875878044871</v>
      </c>
      <c r="AI99">
        <v>0.59506132781389165</v>
      </c>
      <c r="AJ99">
        <v>0.59752959920442661</v>
      </c>
      <c r="AK99">
        <v>1.3865971440100111</v>
      </c>
      <c r="AL99">
        <v>0.50633750739507377</v>
      </c>
      <c r="AM99">
        <v>1.3381953703996261</v>
      </c>
      <c r="AN99">
        <v>0.60711582740186709</v>
      </c>
      <c r="AO99">
        <v>0.971854131994769</v>
      </c>
      <c r="AP99">
        <v>0.64722513959859496</v>
      </c>
      <c r="AQ99">
        <v>1.276066184212687</v>
      </c>
      <c r="AR99">
        <v>0.55191238960833289</v>
      </c>
      <c r="AS99">
        <v>3.198775162594393</v>
      </c>
      <c r="AT99">
        <v>1.462507179001113</v>
      </c>
      <c r="AV99">
        <v>0.26398647400783382</v>
      </c>
    </row>
    <row r="100" spans="1:48" x14ac:dyDescent="0.3">
      <c r="A100">
        <v>7</v>
      </c>
      <c r="B100" t="s">
        <v>135</v>
      </c>
      <c r="C100" t="s">
        <v>133</v>
      </c>
      <c r="D100" t="s">
        <v>134</v>
      </c>
      <c r="E100" s="3">
        <v>0</v>
      </c>
      <c r="F100">
        <v>3089676</v>
      </c>
      <c r="G100">
        <v>2485228.6</v>
      </c>
      <c r="H100">
        <v>2500287.2000000002</v>
      </c>
      <c r="I100">
        <v>4290516.2</v>
      </c>
      <c r="J100">
        <v>1640864.6</v>
      </c>
      <c r="K100">
        <v>5560491.2000000002</v>
      </c>
      <c r="L100">
        <v>1936054.8</v>
      </c>
      <c r="M100">
        <v>3206274.8</v>
      </c>
      <c r="N100">
        <v>1806487.6</v>
      </c>
      <c r="O100">
        <v>4895271.2</v>
      </c>
      <c r="P100">
        <v>4258132</v>
      </c>
      <c r="Q100">
        <v>7112350.4000000004</v>
      </c>
      <c r="R100">
        <v>2943836.6</v>
      </c>
      <c r="T100">
        <v>3.0529396895959509</v>
      </c>
      <c r="U100">
        <v>2.2085797530016862</v>
      </c>
      <c r="V100">
        <v>2.2040043322136631</v>
      </c>
      <c r="W100">
        <v>4.0480286378005994</v>
      </c>
      <c r="X100">
        <v>1.799448038008995</v>
      </c>
      <c r="Y100">
        <v>4.5906616701977327</v>
      </c>
      <c r="Z100">
        <v>2.361456119152717</v>
      </c>
      <c r="AA100">
        <v>2.5934037352039012</v>
      </c>
      <c r="AB100">
        <v>2.0406133812328329</v>
      </c>
      <c r="AC100">
        <v>2.4548255660047289</v>
      </c>
      <c r="AD100">
        <v>2.6508935497724448</v>
      </c>
      <c r="AE100">
        <v>5.2788692878035359</v>
      </c>
      <c r="AF100">
        <v>3.8194723555876409</v>
      </c>
      <c r="AH100">
        <v>3.0529396895959509</v>
      </c>
      <c r="AI100">
        <v>0.85893574600922873</v>
      </c>
      <c r="AJ100">
        <v>0.860397040809039</v>
      </c>
      <c r="AK100">
        <v>4.0480286378005994</v>
      </c>
      <c r="AL100">
        <v>0.72250051500159318</v>
      </c>
      <c r="AM100">
        <v>4.5906616701977327</v>
      </c>
      <c r="AN100">
        <v>0.83781401980668302</v>
      </c>
      <c r="AO100">
        <v>2.5934037352039012</v>
      </c>
      <c r="AP100">
        <v>0.76993151641800073</v>
      </c>
      <c r="AQ100">
        <v>1.282267091801623</v>
      </c>
      <c r="AR100">
        <v>0.55263661043136381</v>
      </c>
      <c r="AS100">
        <v>5.2788692878035359</v>
      </c>
      <c r="AT100">
        <v>2.0989170213870239</v>
      </c>
      <c r="AV100">
        <v>0.26814921280019921</v>
      </c>
    </row>
    <row r="101" spans="1:48" x14ac:dyDescent="0.3">
      <c r="A101">
        <v>7</v>
      </c>
      <c r="B101" t="s">
        <v>136</v>
      </c>
      <c r="C101" t="s">
        <v>133</v>
      </c>
      <c r="D101" t="s">
        <v>134</v>
      </c>
      <c r="E101" s="3">
        <v>0</v>
      </c>
      <c r="F101">
        <v>869148.2</v>
      </c>
      <c r="G101">
        <v>804888.8</v>
      </c>
      <c r="H101">
        <v>804960.6</v>
      </c>
      <c r="I101">
        <v>326637</v>
      </c>
      <c r="J101">
        <v>313964.40000000002</v>
      </c>
      <c r="K101">
        <v>294662.59999999998</v>
      </c>
      <c r="L101">
        <v>326520.40000000002</v>
      </c>
      <c r="M101">
        <v>207457.4</v>
      </c>
      <c r="N101">
        <v>192649.8</v>
      </c>
      <c r="O101">
        <v>3452162.6</v>
      </c>
      <c r="P101">
        <v>2894627.2</v>
      </c>
      <c r="Q101">
        <v>751336.8</v>
      </c>
      <c r="R101">
        <v>401064.8</v>
      </c>
      <c r="T101">
        <v>0.91142016339581455</v>
      </c>
      <c r="U101">
        <v>0.99424971397966144</v>
      </c>
      <c r="V101">
        <v>0.98277615960105325</v>
      </c>
      <c r="W101">
        <v>0.7015205751988105</v>
      </c>
      <c r="X101">
        <v>0.76412070819642397</v>
      </c>
      <c r="Y101">
        <v>1.024014277604874</v>
      </c>
      <c r="Z101">
        <v>1.337386331008747</v>
      </c>
      <c r="AA101">
        <v>0.79035747920279387</v>
      </c>
      <c r="AB101">
        <v>0.97707645901828077</v>
      </c>
      <c r="AC101">
        <v>1.2344767644070089</v>
      </c>
      <c r="AD101">
        <v>1.491986539668869</v>
      </c>
      <c r="AE101">
        <v>2.6148048527946228</v>
      </c>
      <c r="AF101">
        <v>1.2157463352079501</v>
      </c>
      <c r="AH101">
        <v>0.91142016339581455</v>
      </c>
      <c r="AI101">
        <v>0.44827540559926998</v>
      </c>
      <c r="AJ101">
        <v>0.44030684101162482</v>
      </c>
      <c r="AK101">
        <v>0.7015205751988105</v>
      </c>
      <c r="AL101">
        <v>0.38160152799682689</v>
      </c>
      <c r="AM101">
        <v>1.024014277604874</v>
      </c>
      <c r="AN101">
        <v>0.47673902921960692</v>
      </c>
      <c r="AO101">
        <v>0.79035747920279387</v>
      </c>
      <c r="AP101">
        <v>0.46995899379835471</v>
      </c>
      <c r="AQ101">
        <v>0.67809139460441659</v>
      </c>
      <c r="AR101">
        <v>0.3933900018280837</v>
      </c>
      <c r="AS101">
        <v>2.6148048527946228</v>
      </c>
      <c r="AT101">
        <v>0.66335614460404035</v>
      </c>
      <c r="AV101">
        <v>0.26611439439002432</v>
      </c>
    </row>
    <row r="102" spans="1:48" x14ac:dyDescent="0.3">
      <c r="A102">
        <v>7</v>
      </c>
      <c r="B102" t="s">
        <v>137</v>
      </c>
      <c r="C102" t="s">
        <v>133</v>
      </c>
      <c r="D102" t="s">
        <v>134</v>
      </c>
      <c r="E102" s="3">
        <v>1</v>
      </c>
      <c r="F102">
        <v>843113.4</v>
      </c>
      <c r="G102">
        <v>844493</v>
      </c>
      <c r="H102">
        <v>844011.6</v>
      </c>
      <c r="I102">
        <v>1086458.3999999999</v>
      </c>
      <c r="J102">
        <v>294429.59999999998</v>
      </c>
      <c r="K102">
        <v>1014682.4</v>
      </c>
      <c r="L102">
        <v>309171</v>
      </c>
      <c r="M102">
        <v>521542.6</v>
      </c>
      <c r="N102">
        <v>162715.6</v>
      </c>
      <c r="O102">
        <v>3447800.2</v>
      </c>
      <c r="P102">
        <v>2894172.8</v>
      </c>
      <c r="Q102">
        <v>1751115.2</v>
      </c>
      <c r="R102">
        <v>617475.4</v>
      </c>
      <c r="T102">
        <v>0.89942980700288899</v>
      </c>
      <c r="U102">
        <v>1.031837378797354</v>
      </c>
      <c r="V102">
        <v>1.017006213625427</v>
      </c>
      <c r="W102">
        <v>1.3627537223976109</v>
      </c>
      <c r="X102">
        <v>0.75245249279541893</v>
      </c>
      <c r="Y102">
        <v>1.71119473699946</v>
      </c>
      <c r="Z102">
        <v>1.3208268450049221</v>
      </c>
      <c r="AA102">
        <v>1.2249657542037311</v>
      </c>
      <c r="AB102">
        <v>0.93724209358915689</v>
      </c>
      <c r="AC102">
        <v>1.239913096604869</v>
      </c>
      <c r="AD102">
        <v>1.498869986017235</v>
      </c>
      <c r="AE102">
        <v>3.38067444700282</v>
      </c>
      <c r="AF102">
        <v>1.5291003578051461</v>
      </c>
      <c r="AH102">
        <v>0.89942980700288899</v>
      </c>
      <c r="AI102">
        <v>0.44215749319992032</v>
      </c>
      <c r="AJ102">
        <v>0.43385798121453262</v>
      </c>
      <c r="AK102">
        <v>1.3627537223976109</v>
      </c>
      <c r="AL102">
        <v>0.36764606458018528</v>
      </c>
      <c r="AM102">
        <v>1.71119473699946</v>
      </c>
      <c r="AN102">
        <v>0.47962473800289451</v>
      </c>
      <c r="AO102">
        <v>1.2249657542037311</v>
      </c>
      <c r="AP102">
        <v>0.46473930120118889</v>
      </c>
      <c r="AQ102">
        <v>0.68474661280633886</v>
      </c>
      <c r="AR102">
        <v>0.38779065599665052</v>
      </c>
      <c r="AS102">
        <v>3.38067444700282</v>
      </c>
      <c r="AT102">
        <v>0.69123054000083362</v>
      </c>
      <c r="AV102">
        <v>0.26672434260253802</v>
      </c>
    </row>
    <row r="103" spans="1:48" x14ac:dyDescent="0.3">
      <c r="A103">
        <v>7</v>
      </c>
      <c r="B103" t="s">
        <v>138</v>
      </c>
      <c r="C103" t="s">
        <v>133</v>
      </c>
      <c r="D103" t="s">
        <v>134</v>
      </c>
      <c r="E103" s="3">
        <v>1</v>
      </c>
      <c r="F103">
        <v>2145594.7999999998</v>
      </c>
      <c r="G103">
        <v>846261</v>
      </c>
      <c r="H103">
        <v>850784.2</v>
      </c>
      <c r="I103">
        <v>347999.6</v>
      </c>
      <c r="J103">
        <v>488084.6</v>
      </c>
      <c r="K103">
        <v>377561.8</v>
      </c>
      <c r="L103">
        <v>541119.80000000005</v>
      </c>
      <c r="M103">
        <v>181533.6</v>
      </c>
      <c r="N103">
        <v>218250.6</v>
      </c>
      <c r="O103">
        <v>3664953.4</v>
      </c>
      <c r="P103">
        <v>3071363.8</v>
      </c>
      <c r="Q103">
        <v>272164</v>
      </c>
      <c r="R103">
        <v>471831</v>
      </c>
      <c r="T103">
        <v>1.6837403443932999</v>
      </c>
      <c r="U103">
        <v>1.039090501808096</v>
      </c>
      <c r="V103">
        <v>1.010834742413135</v>
      </c>
      <c r="W103">
        <v>0.76122340339934458</v>
      </c>
      <c r="X103">
        <v>0.82622254681773488</v>
      </c>
      <c r="Y103">
        <v>1.0668396749999369</v>
      </c>
      <c r="Z103">
        <v>1.419236123200972</v>
      </c>
      <c r="AA103">
        <v>0.76576262839953413</v>
      </c>
      <c r="AB103">
        <v>0.98607015042216517</v>
      </c>
      <c r="AC103">
        <v>1.482779175590258</v>
      </c>
      <c r="AD103">
        <v>1.709002323448658</v>
      </c>
      <c r="AE103">
        <v>2.0623520262015518</v>
      </c>
      <c r="AF103">
        <v>1.2156467593973499</v>
      </c>
      <c r="AH103">
        <v>1.6837403443932999</v>
      </c>
      <c r="AI103">
        <v>0.43977683020057162</v>
      </c>
      <c r="AJ103">
        <v>0.41902324161492288</v>
      </c>
      <c r="AK103">
        <v>0.76122340339934458</v>
      </c>
      <c r="AL103">
        <v>0.3995355033897795</v>
      </c>
      <c r="AM103">
        <v>1.0668396749999369</v>
      </c>
      <c r="AN103">
        <v>0.48731097939889878</v>
      </c>
      <c r="AO103">
        <v>0.76576262839953413</v>
      </c>
      <c r="AP103">
        <v>0.43951312641147522</v>
      </c>
      <c r="AQ103">
        <v>0.8374589415965602</v>
      </c>
      <c r="AR103">
        <v>0.42343542462331241</v>
      </c>
      <c r="AS103">
        <v>2.0623520262015518</v>
      </c>
      <c r="AT103">
        <v>0.70089763159048746</v>
      </c>
      <c r="AV103">
        <v>0.28417252879589788</v>
      </c>
    </row>
    <row r="104" spans="1:48" x14ac:dyDescent="0.3">
      <c r="A104">
        <v>7</v>
      </c>
      <c r="B104" t="s">
        <v>139</v>
      </c>
      <c r="C104" t="s">
        <v>133</v>
      </c>
      <c r="D104" t="s">
        <v>134</v>
      </c>
      <c r="E104" s="3">
        <v>0</v>
      </c>
      <c r="F104">
        <v>760768.8</v>
      </c>
      <c r="G104">
        <v>991699.6</v>
      </c>
      <c r="H104">
        <v>992052.6</v>
      </c>
      <c r="I104">
        <v>482415.4</v>
      </c>
      <c r="J104">
        <v>424348</v>
      </c>
      <c r="K104">
        <v>710052.6</v>
      </c>
      <c r="L104">
        <v>456614.2</v>
      </c>
      <c r="M104">
        <v>132356.4</v>
      </c>
      <c r="N104">
        <v>210877.8</v>
      </c>
      <c r="O104">
        <v>3657574.2</v>
      </c>
      <c r="P104">
        <v>3060736</v>
      </c>
      <c r="Q104">
        <v>207770.4</v>
      </c>
      <c r="R104">
        <v>586790.19999999995</v>
      </c>
      <c r="T104">
        <v>0.77451224820688369</v>
      </c>
      <c r="U104">
        <v>1.1329688602185339</v>
      </c>
      <c r="V104">
        <v>1.1195346675929609</v>
      </c>
      <c r="W104">
        <v>0.61589110319619067</v>
      </c>
      <c r="X104">
        <v>0.83545457783038723</v>
      </c>
      <c r="Y104">
        <v>1.1368330680066721</v>
      </c>
      <c r="Z104">
        <v>1.418615694629261</v>
      </c>
      <c r="AA104">
        <v>0.69533468839945267</v>
      </c>
      <c r="AB104">
        <v>1.027351853996515</v>
      </c>
      <c r="AC104">
        <v>1.477153056586394</v>
      </c>
      <c r="AD104">
        <v>1.7034672935842541</v>
      </c>
      <c r="AE104">
        <v>2.223533304594457</v>
      </c>
      <c r="AF104">
        <v>1.6896403725899289</v>
      </c>
      <c r="AH104">
        <v>0.77451224820688369</v>
      </c>
      <c r="AI104">
        <v>0.48767976180533879</v>
      </c>
      <c r="AJ104">
        <v>0.47511548280599519</v>
      </c>
      <c r="AK104">
        <v>0.61589110319619067</v>
      </c>
      <c r="AL104">
        <v>0.37872521139797749</v>
      </c>
      <c r="AM104">
        <v>1.1368330680066721</v>
      </c>
      <c r="AN104">
        <v>0.49423765180981721</v>
      </c>
      <c r="AO104">
        <v>0.69533468839945267</v>
      </c>
      <c r="AP104">
        <v>0.42582899760454901</v>
      </c>
      <c r="AQ104">
        <v>0.83288032198906881</v>
      </c>
      <c r="AR104">
        <v>0.41907197577529592</v>
      </c>
      <c r="AS104">
        <v>2.223533304594457</v>
      </c>
      <c r="AT104">
        <v>0.74987488340702835</v>
      </c>
      <c r="AV104">
        <v>0.26947423720266672</v>
      </c>
    </row>
    <row r="105" spans="1:48" x14ac:dyDescent="0.3">
      <c r="A105">
        <v>7</v>
      </c>
      <c r="B105" t="s">
        <v>140</v>
      </c>
      <c r="C105" t="s">
        <v>133</v>
      </c>
      <c r="D105" t="s">
        <v>134</v>
      </c>
      <c r="E105" s="3">
        <v>0</v>
      </c>
      <c r="F105">
        <v>2682862.4</v>
      </c>
      <c r="G105">
        <v>1523172.4</v>
      </c>
      <c r="H105">
        <v>1523115.4</v>
      </c>
      <c r="I105">
        <v>246323.20000000001</v>
      </c>
      <c r="J105">
        <v>382355</v>
      </c>
      <c r="K105">
        <v>234561.2</v>
      </c>
      <c r="L105">
        <v>434763</v>
      </c>
      <c r="M105">
        <v>200260.6</v>
      </c>
      <c r="N105">
        <v>260909.2</v>
      </c>
      <c r="O105">
        <v>3638570</v>
      </c>
      <c r="P105">
        <v>3288313</v>
      </c>
      <c r="Q105">
        <v>37841.800000000003</v>
      </c>
      <c r="R105">
        <v>233218.8</v>
      </c>
      <c r="T105">
        <v>1.7153736438020131</v>
      </c>
      <c r="U105">
        <v>1.387743487011176</v>
      </c>
      <c r="V105">
        <v>1.375506889994722</v>
      </c>
      <c r="W105">
        <v>0.44661802580230869</v>
      </c>
      <c r="X105">
        <v>0.78317201880854559</v>
      </c>
      <c r="Y105">
        <v>0.96219063440221364</v>
      </c>
      <c r="Z105">
        <v>1.3861849223845639</v>
      </c>
      <c r="AA105">
        <v>0.94700984219671225</v>
      </c>
      <c r="AB105">
        <v>1.166567580617266</v>
      </c>
      <c r="AC105">
        <v>1.317744561383734</v>
      </c>
      <c r="AD105">
        <v>1.7477949201711449</v>
      </c>
      <c r="AE105">
        <v>0.25490729099255982</v>
      </c>
      <c r="AF105">
        <v>1.159958875813754</v>
      </c>
      <c r="AH105">
        <v>1.7153736438020131</v>
      </c>
      <c r="AI105">
        <v>0.53236392019316559</v>
      </c>
      <c r="AJ105">
        <v>0.52346520240535033</v>
      </c>
      <c r="AK105">
        <v>0.44661802580230869</v>
      </c>
      <c r="AL105">
        <v>0.37158341280883178</v>
      </c>
      <c r="AM105">
        <v>0.96219063440221364</v>
      </c>
      <c r="AN105">
        <v>0.48553248359239659</v>
      </c>
      <c r="AO105">
        <v>0.94700984219671225</v>
      </c>
      <c r="AP105">
        <v>0.45580367158981971</v>
      </c>
      <c r="AQ105">
        <v>0.75964369958383027</v>
      </c>
      <c r="AR105">
        <v>0.44709867802448572</v>
      </c>
      <c r="AS105">
        <v>0.25490729099255982</v>
      </c>
      <c r="AT105">
        <v>0.65731977720279244</v>
      </c>
      <c r="AV105">
        <v>0.27015909639885649</v>
      </c>
    </row>
    <row r="106" spans="1:48" x14ac:dyDescent="0.3">
      <c r="A106">
        <v>7</v>
      </c>
      <c r="B106" t="s">
        <v>141</v>
      </c>
      <c r="C106" t="s">
        <v>133</v>
      </c>
      <c r="D106" t="s">
        <v>134</v>
      </c>
      <c r="E106" s="3">
        <v>0</v>
      </c>
      <c r="F106">
        <v>4059104.4</v>
      </c>
      <c r="G106">
        <v>1115871.3999999999</v>
      </c>
      <c r="H106">
        <v>1113645.8</v>
      </c>
      <c r="I106">
        <v>220160.4</v>
      </c>
      <c r="J106">
        <v>300899.59999999998</v>
      </c>
      <c r="K106">
        <v>233025.6</v>
      </c>
      <c r="L106">
        <v>327309.59999999998</v>
      </c>
      <c r="M106">
        <v>192620.2</v>
      </c>
      <c r="N106">
        <v>215458</v>
      </c>
      <c r="O106">
        <v>3639713.4</v>
      </c>
      <c r="P106">
        <v>3288696</v>
      </c>
      <c r="Q106">
        <v>127144.4</v>
      </c>
      <c r="R106">
        <v>164122.6</v>
      </c>
      <c r="T106">
        <v>2.7118027527991222</v>
      </c>
      <c r="U106">
        <v>1.127708997600712</v>
      </c>
      <c r="V106">
        <v>1.1155366857943589</v>
      </c>
      <c r="W106">
        <v>0.50203100198414174</v>
      </c>
      <c r="X106">
        <v>0.69878961259964856</v>
      </c>
      <c r="Y106">
        <v>0.96239665419561793</v>
      </c>
      <c r="Z106">
        <v>1.3167358098085971</v>
      </c>
      <c r="AA106">
        <v>1.0051287986047099</v>
      </c>
      <c r="AB106">
        <v>1.085027067782357</v>
      </c>
      <c r="AC106">
        <v>1.3250727105943949</v>
      </c>
      <c r="AD106">
        <v>1.759323709615273</v>
      </c>
      <c r="AE106">
        <v>1.239929510012735</v>
      </c>
      <c r="AF106">
        <v>0.91182082002051179</v>
      </c>
      <c r="AH106">
        <v>2.7118027527991222</v>
      </c>
      <c r="AI106">
        <v>0.48184174320776951</v>
      </c>
      <c r="AJ106">
        <v>0.47478548399521969</v>
      </c>
      <c r="AK106">
        <v>0.50203100198414174</v>
      </c>
      <c r="AL106">
        <v>0.35389810539199967</v>
      </c>
      <c r="AM106">
        <v>0.96239665419561793</v>
      </c>
      <c r="AN106">
        <v>0.4768626502074767</v>
      </c>
      <c r="AO106">
        <v>1.0051287986047099</v>
      </c>
      <c r="AP106">
        <v>0.46583851479226718</v>
      </c>
      <c r="AQ106">
        <v>0.75696947539690884</v>
      </c>
      <c r="AR106">
        <v>0.45143799521028988</v>
      </c>
      <c r="AS106">
        <v>1.239929510012735</v>
      </c>
      <c r="AT106">
        <v>0.61822450000327078</v>
      </c>
      <c r="AV106">
        <v>0.26422486080555241</v>
      </c>
    </row>
    <row r="107" spans="1:48" x14ac:dyDescent="0.3">
      <c r="A107">
        <v>7</v>
      </c>
      <c r="B107" t="s">
        <v>142</v>
      </c>
      <c r="C107" t="s">
        <v>143</v>
      </c>
      <c r="D107" t="s">
        <v>144</v>
      </c>
      <c r="E107" s="3">
        <v>0</v>
      </c>
      <c r="F107">
        <v>1828962.8</v>
      </c>
      <c r="G107">
        <v>1639873.4</v>
      </c>
      <c r="H107">
        <v>1681172</v>
      </c>
      <c r="I107">
        <v>2367710.2000000002</v>
      </c>
      <c r="J107">
        <v>773279.8</v>
      </c>
      <c r="K107">
        <v>2878928.6</v>
      </c>
      <c r="L107">
        <v>877156.4</v>
      </c>
      <c r="M107">
        <v>1918490.2</v>
      </c>
      <c r="N107">
        <v>1199249</v>
      </c>
      <c r="O107">
        <v>4494862</v>
      </c>
      <c r="P107">
        <v>3550442.2</v>
      </c>
      <c r="Q107">
        <v>2724994.2</v>
      </c>
      <c r="R107">
        <v>1434356</v>
      </c>
      <c r="T107">
        <v>2.0949083228071692</v>
      </c>
      <c r="U107">
        <v>1.711851684784051</v>
      </c>
      <c r="V107">
        <v>1.7328769326093609</v>
      </c>
      <c r="W107">
        <v>2.46771603859961</v>
      </c>
      <c r="X107">
        <v>1.4357226221996831</v>
      </c>
      <c r="Y107">
        <v>2.3244565460074229</v>
      </c>
      <c r="Z107">
        <v>1.768627017596736</v>
      </c>
      <c r="AA107">
        <v>1.5331041796016509</v>
      </c>
      <c r="AB107">
        <v>1.4523336276004559</v>
      </c>
      <c r="AC107">
        <v>2.0122625984076881</v>
      </c>
      <c r="AD107">
        <v>1.9683722211746499</v>
      </c>
      <c r="AE107">
        <v>3.695995899202535</v>
      </c>
      <c r="AF107">
        <v>3.4225170693767719</v>
      </c>
      <c r="AH107">
        <v>2.0949083228071692</v>
      </c>
      <c r="AI107">
        <v>0.70941556720063093</v>
      </c>
      <c r="AJ107">
        <v>0.73300766322063282</v>
      </c>
      <c r="AK107">
        <v>2.46771603859961</v>
      </c>
      <c r="AL107">
        <v>0.60800477020675314</v>
      </c>
      <c r="AM107">
        <v>2.3244565460074229</v>
      </c>
      <c r="AN107">
        <v>0.67453432180918749</v>
      </c>
      <c r="AO107">
        <v>1.5331041796016509</v>
      </c>
      <c r="AP107">
        <v>0.66111817678320217</v>
      </c>
      <c r="AQ107">
        <v>1.2802999522129539</v>
      </c>
      <c r="AR107">
        <v>0.50849050059332512</v>
      </c>
      <c r="AS107">
        <v>3.695995899202535</v>
      </c>
      <c r="AT107">
        <v>2.2054230765847018</v>
      </c>
      <c r="AV107">
        <v>0.25760604620445521</v>
      </c>
    </row>
    <row r="108" spans="1:48" x14ac:dyDescent="0.3">
      <c r="A108">
        <v>7</v>
      </c>
      <c r="B108" t="s">
        <v>145</v>
      </c>
      <c r="C108" t="s">
        <v>143</v>
      </c>
      <c r="D108" t="s">
        <v>144</v>
      </c>
      <c r="E108" s="3">
        <v>0</v>
      </c>
      <c r="F108">
        <v>2173039.4</v>
      </c>
      <c r="G108">
        <v>1766600.4</v>
      </c>
      <c r="H108">
        <v>1800941.8</v>
      </c>
      <c r="I108">
        <v>5105499.2</v>
      </c>
      <c r="J108">
        <v>690940.4</v>
      </c>
      <c r="K108">
        <v>4562549.4000000004</v>
      </c>
      <c r="L108">
        <v>769133</v>
      </c>
      <c r="M108">
        <v>1304607.3999999999</v>
      </c>
      <c r="N108">
        <v>1363119.2</v>
      </c>
      <c r="O108">
        <v>4489197</v>
      </c>
      <c r="P108">
        <v>3552682.4</v>
      </c>
      <c r="Q108">
        <v>2425089.7999999998</v>
      </c>
      <c r="R108">
        <v>1251695.2</v>
      </c>
      <c r="T108">
        <v>1.898554319399409</v>
      </c>
      <c r="U108">
        <v>1.7245870810176711</v>
      </c>
      <c r="V108">
        <v>1.7198845594015439</v>
      </c>
      <c r="W108">
        <v>4.9998307650035709</v>
      </c>
      <c r="X108">
        <v>1.3057425845821851</v>
      </c>
      <c r="Y108">
        <v>4.7535669538017826</v>
      </c>
      <c r="Z108">
        <v>1.734328877390362</v>
      </c>
      <c r="AA108">
        <v>1.882636390608968</v>
      </c>
      <c r="AB108">
        <v>1.8042886760085819</v>
      </c>
      <c r="AC108">
        <v>2.0168987776036369</v>
      </c>
      <c r="AD108">
        <v>1.966686817258597</v>
      </c>
      <c r="AE108">
        <v>3.9188315661973321</v>
      </c>
      <c r="AF108">
        <v>2.778096376382746</v>
      </c>
      <c r="AH108">
        <v>1.898554319399409</v>
      </c>
      <c r="AI108">
        <v>0.69824652460520154</v>
      </c>
      <c r="AJ108">
        <v>0.70501584400772122</v>
      </c>
      <c r="AK108">
        <v>4.9998307650035709</v>
      </c>
      <c r="AL108">
        <v>0.56167144638602617</v>
      </c>
      <c r="AM108">
        <v>4.7535669538017826</v>
      </c>
      <c r="AN108">
        <v>0.64811846259981398</v>
      </c>
      <c r="AO108">
        <v>1.882636390608968</v>
      </c>
      <c r="AP108">
        <v>0.76448860699310894</v>
      </c>
      <c r="AQ108">
        <v>1.286438488005661</v>
      </c>
      <c r="AR108">
        <v>0.50775562581256961</v>
      </c>
      <c r="AS108">
        <v>3.9188315661973321</v>
      </c>
      <c r="AT108">
        <v>1.690279339795234</v>
      </c>
      <c r="AV108">
        <v>0.26856085740728303</v>
      </c>
    </row>
    <row r="109" spans="1:48" x14ac:dyDescent="0.3">
      <c r="A109">
        <v>7</v>
      </c>
      <c r="B109" t="s">
        <v>146</v>
      </c>
      <c r="C109" t="s">
        <v>143</v>
      </c>
      <c r="D109" t="s">
        <v>144</v>
      </c>
      <c r="E109" s="3">
        <v>1</v>
      </c>
      <c r="F109">
        <v>613658.6</v>
      </c>
      <c r="G109">
        <v>1539194</v>
      </c>
      <c r="H109">
        <v>1544411.8</v>
      </c>
      <c r="I109">
        <v>744153.2</v>
      </c>
      <c r="J109">
        <v>648927</v>
      </c>
      <c r="K109">
        <v>684073.4</v>
      </c>
      <c r="L109">
        <v>714674.8</v>
      </c>
      <c r="M109">
        <v>443271</v>
      </c>
      <c r="N109">
        <v>1140489.8</v>
      </c>
      <c r="O109">
        <v>3433139.4</v>
      </c>
      <c r="P109">
        <v>3204820.2</v>
      </c>
      <c r="Q109">
        <v>1904336.6</v>
      </c>
      <c r="R109">
        <v>1227749.8</v>
      </c>
      <c r="T109">
        <v>0.72975984879885802</v>
      </c>
      <c r="U109">
        <v>1.5613185334077571</v>
      </c>
      <c r="V109">
        <v>1.53618274939945</v>
      </c>
      <c r="W109">
        <v>0.7130178506020457</v>
      </c>
      <c r="X109">
        <v>1.1974571323662531</v>
      </c>
      <c r="Y109">
        <v>1.131461759994272</v>
      </c>
      <c r="Z109">
        <v>1.6661775958200451</v>
      </c>
      <c r="AA109">
        <v>0.91811340900603677</v>
      </c>
      <c r="AB109">
        <v>1.671239640994463</v>
      </c>
      <c r="AC109">
        <v>1.131092685001204</v>
      </c>
      <c r="AD109">
        <v>1.671241570776328</v>
      </c>
      <c r="AE109">
        <v>3.2976005516073199</v>
      </c>
      <c r="AF109">
        <v>2.686651368782623</v>
      </c>
      <c r="AH109">
        <v>0.72975984879885802</v>
      </c>
      <c r="AI109">
        <v>0.60382616959395818</v>
      </c>
      <c r="AJ109">
        <v>0.59171936779748646</v>
      </c>
      <c r="AK109">
        <v>0.7130178506020457</v>
      </c>
      <c r="AL109">
        <v>0.47854043640545568</v>
      </c>
      <c r="AM109">
        <v>1.131461759994272</v>
      </c>
      <c r="AN109">
        <v>0.60393110920558679</v>
      </c>
      <c r="AO109">
        <v>0.91811340900603677</v>
      </c>
      <c r="AP109">
        <v>0.62085358518525025</v>
      </c>
      <c r="AQ109">
        <v>0.66158504940685814</v>
      </c>
      <c r="AR109">
        <v>0.43410311040934169</v>
      </c>
      <c r="AS109">
        <v>3.2976005516073199</v>
      </c>
      <c r="AT109">
        <v>1.5842826635926031</v>
      </c>
      <c r="AV109">
        <v>0.26706210580305201</v>
      </c>
    </row>
    <row r="110" spans="1:48" x14ac:dyDescent="0.3">
      <c r="A110">
        <v>7</v>
      </c>
      <c r="B110" t="s">
        <v>147</v>
      </c>
      <c r="C110" t="s">
        <v>143</v>
      </c>
      <c r="D110" t="s">
        <v>144</v>
      </c>
      <c r="E110" s="3">
        <v>0</v>
      </c>
      <c r="F110">
        <v>380685.6</v>
      </c>
      <c r="G110">
        <v>1370015.6</v>
      </c>
      <c r="H110">
        <v>1376543.6</v>
      </c>
      <c r="I110">
        <v>286664</v>
      </c>
      <c r="J110">
        <v>559877.4</v>
      </c>
      <c r="K110">
        <v>278080.8</v>
      </c>
      <c r="L110">
        <v>623056.6</v>
      </c>
      <c r="M110">
        <v>171907.4</v>
      </c>
      <c r="N110">
        <v>964630.2</v>
      </c>
      <c r="O110">
        <v>3430780.6</v>
      </c>
      <c r="P110">
        <v>3210353.8</v>
      </c>
      <c r="Q110">
        <v>2180.1999999999998</v>
      </c>
      <c r="R110">
        <v>879140.8</v>
      </c>
      <c r="T110">
        <v>0.41091307199676519</v>
      </c>
      <c r="U110">
        <v>1.418754545378033</v>
      </c>
      <c r="V110">
        <v>1.4081390457984531</v>
      </c>
      <c r="W110">
        <v>0.41822254459257241</v>
      </c>
      <c r="X110">
        <v>1.1081840268161609</v>
      </c>
      <c r="Y110">
        <v>1.0119902405946051</v>
      </c>
      <c r="Z110">
        <v>1.618852257187245</v>
      </c>
      <c r="AA110">
        <v>0.56358187239966351</v>
      </c>
      <c r="AB110">
        <v>1.457806018763222</v>
      </c>
      <c r="AC110">
        <v>1.107735876220977</v>
      </c>
      <c r="AD110">
        <v>1.65849236814538</v>
      </c>
      <c r="AE110">
        <v>1.0541274998104141E-2</v>
      </c>
      <c r="AF110">
        <v>1.970243756397394</v>
      </c>
      <c r="AH110">
        <v>0.41091307199676519</v>
      </c>
      <c r="AI110">
        <v>0.60021622779895556</v>
      </c>
      <c r="AJ110">
        <v>0.5927577605878469</v>
      </c>
      <c r="AK110">
        <v>0.41822254459257241</v>
      </c>
      <c r="AL110">
        <v>0.52243292620987636</v>
      </c>
      <c r="AM110">
        <v>1.0119902405946051</v>
      </c>
      <c r="AN110">
        <v>0.60340229179128069</v>
      </c>
      <c r="AO110">
        <v>0.56358187239966351</v>
      </c>
      <c r="AP110">
        <v>0.5903540955972858</v>
      </c>
      <c r="AQ110">
        <v>0.65196668282151227</v>
      </c>
      <c r="AR110">
        <v>0.43299831197364258</v>
      </c>
      <c r="AS110">
        <v>1.0541274998104141E-2</v>
      </c>
      <c r="AT110">
        <v>1.2400270603946411</v>
      </c>
      <c r="AV110">
        <v>0.26670786500908428</v>
      </c>
    </row>
    <row r="111" spans="1:48" x14ac:dyDescent="0.3">
      <c r="A111">
        <v>7</v>
      </c>
      <c r="B111" t="s">
        <v>148</v>
      </c>
      <c r="C111" t="s">
        <v>143</v>
      </c>
      <c r="D111" t="s">
        <v>144</v>
      </c>
      <c r="E111" s="3">
        <v>0</v>
      </c>
      <c r="F111">
        <v>936608.6</v>
      </c>
      <c r="G111">
        <v>1196118</v>
      </c>
      <c r="H111">
        <v>1213486.2</v>
      </c>
      <c r="I111">
        <v>337782.4</v>
      </c>
      <c r="J111">
        <v>670712.80000000005</v>
      </c>
      <c r="K111">
        <v>386525.6</v>
      </c>
      <c r="L111">
        <v>747890.6</v>
      </c>
      <c r="M111">
        <v>228596.2</v>
      </c>
      <c r="N111">
        <v>399844.8</v>
      </c>
      <c r="O111">
        <v>3588745.6</v>
      </c>
      <c r="P111">
        <v>3108054.8</v>
      </c>
      <c r="Q111">
        <v>442924.2</v>
      </c>
      <c r="R111">
        <v>1246563.3999999999</v>
      </c>
      <c r="T111">
        <v>1.031276518589584</v>
      </c>
      <c r="U111">
        <v>1.3366700845945161</v>
      </c>
      <c r="V111">
        <v>1.3408263689838349</v>
      </c>
      <c r="W111">
        <v>0.79221400460228319</v>
      </c>
      <c r="X111">
        <v>1.143222535582026</v>
      </c>
      <c r="Y111">
        <v>1.0818273951997981</v>
      </c>
      <c r="Z111">
        <v>1.6335008921858389</v>
      </c>
      <c r="AA111">
        <v>1.029195903806249</v>
      </c>
      <c r="AB111">
        <v>1.257636042393278</v>
      </c>
      <c r="AC111">
        <v>1.2897988534066831</v>
      </c>
      <c r="AD111">
        <v>1.5838170372589959</v>
      </c>
      <c r="AE111">
        <v>2.6254468054044988</v>
      </c>
      <c r="AF111">
        <v>2.2313153198163489</v>
      </c>
      <c r="AH111">
        <v>1.031276518589584</v>
      </c>
      <c r="AI111">
        <v>0.55827160340268167</v>
      </c>
      <c r="AJ111">
        <v>0.56555528959142976</v>
      </c>
      <c r="AK111">
        <v>0.79221400460228319</v>
      </c>
      <c r="AL111">
        <v>0.56209572621155535</v>
      </c>
      <c r="AM111">
        <v>1.0818273951997981</v>
      </c>
      <c r="AN111">
        <v>0.66566870559472591</v>
      </c>
      <c r="AO111">
        <v>1.029195903806249</v>
      </c>
      <c r="AP111">
        <v>0.55896262440946887</v>
      </c>
      <c r="AQ111">
        <v>0.75117059240583328</v>
      </c>
      <c r="AR111">
        <v>0.43920644918689511</v>
      </c>
      <c r="AS111">
        <v>2.6254468054044988</v>
      </c>
      <c r="AT111">
        <v>1.262128094595391</v>
      </c>
      <c r="AV111">
        <v>0.26786550619872279</v>
      </c>
    </row>
    <row r="112" spans="1:48" x14ac:dyDescent="0.3">
      <c r="A112">
        <v>7</v>
      </c>
      <c r="B112" t="s">
        <v>149</v>
      </c>
      <c r="C112" t="s">
        <v>143</v>
      </c>
      <c r="D112" t="s">
        <v>144</v>
      </c>
      <c r="E112" s="3">
        <v>1</v>
      </c>
      <c r="F112">
        <v>2871047.6</v>
      </c>
      <c r="G112">
        <v>1124521.8</v>
      </c>
      <c r="H112">
        <v>1136641.6000000001</v>
      </c>
      <c r="I112">
        <v>801108.4</v>
      </c>
      <c r="J112">
        <v>643042.6</v>
      </c>
      <c r="K112">
        <v>909919.4</v>
      </c>
      <c r="L112">
        <v>689504</v>
      </c>
      <c r="M112">
        <v>417479.4</v>
      </c>
      <c r="N112">
        <v>433782.2</v>
      </c>
      <c r="O112">
        <v>3588444.8</v>
      </c>
      <c r="P112">
        <v>3097195.8</v>
      </c>
      <c r="Q112">
        <v>1857730</v>
      </c>
      <c r="R112">
        <v>1155888.6000000001</v>
      </c>
      <c r="T112">
        <v>2.0369858328020198</v>
      </c>
      <c r="U112">
        <v>1.268319135572529</v>
      </c>
      <c r="V112">
        <v>1.2622110695578159</v>
      </c>
      <c r="W112">
        <v>0.93263902520411646</v>
      </c>
      <c r="X112">
        <v>1.0888724182150331</v>
      </c>
      <c r="Y112">
        <v>1.512559872795828</v>
      </c>
      <c r="Z112">
        <v>1.636866268393351</v>
      </c>
      <c r="AA112">
        <v>1.0565392018004791</v>
      </c>
      <c r="AB112">
        <v>1.316282680630684</v>
      </c>
      <c r="AC112">
        <v>1.2985869206022469</v>
      </c>
      <c r="AD112">
        <v>1.5824113650363869</v>
      </c>
      <c r="AE112">
        <v>2.6042507297999689</v>
      </c>
      <c r="AF112">
        <v>1.813667429808993</v>
      </c>
      <c r="AH112">
        <v>2.0369858328020198</v>
      </c>
      <c r="AI112">
        <v>0.59844031239626927</v>
      </c>
      <c r="AJ112">
        <v>0.59400654318160373</v>
      </c>
      <c r="AK112">
        <v>0.93263902520411646</v>
      </c>
      <c r="AL112">
        <v>0.53890604419866572</v>
      </c>
      <c r="AM112">
        <v>1.512559872795828</v>
      </c>
      <c r="AN112">
        <v>0.62090200680540875</v>
      </c>
      <c r="AO112">
        <v>1.0565392018004791</v>
      </c>
      <c r="AP112">
        <v>0.57563412380404766</v>
      </c>
      <c r="AQ112">
        <v>0.76201851340592841</v>
      </c>
      <c r="AR112">
        <v>0.43501323643722573</v>
      </c>
      <c r="AS112">
        <v>2.6042507297999689</v>
      </c>
      <c r="AT112">
        <v>1.0954793360258921</v>
      </c>
      <c r="AV112">
        <v>0.27118549239239648</v>
      </c>
    </row>
    <row r="113" spans="1:48" x14ac:dyDescent="0.3">
      <c r="A113">
        <v>7</v>
      </c>
      <c r="B113" t="s">
        <v>150</v>
      </c>
      <c r="C113" t="s">
        <v>143</v>
      </c>
      <c r="D113" t="s">
        <v>144</v>
      </c>
      <c r="E113" s="3">
        <v>0</v>
      </c>
      <c r="F113">
        <v>804427.6</v>
      </c>
      <c r="G113">
        <v>1292701</v>
      </c>
      <c r="H113">
        <v>1297575.3999999999</v>
      </c>
      <c r="I113">
        <v>215606.2</v>
      </c>
      <c r="J113">
        <v>603630.19999999995</v>
      </c>
      <c r="K113">
        <v>233743.4</v>
      </c>
      <c r="L113">
        <v>676734.2</v>
      </c>
      <c r="M113">
        <v>187974.39999999999</v>
      </c>
      <c r="N113">
        <v>442747.2</v>
      </c>
      <c r="O113">
        <v>3963477.2</v>
      </c>
      <c r="P113">
        <v>3008911.6</v>
      </c>
      <c r="Q113">
        <v>48474.400000000001</v>
      </c>
      <c r="R113">
        <v>813239.4</v>
      </c>
      <c r="T113">
        <v>0.66180040159961206</v>
      </c>
      <c r="U113">
        <v>1.3375013357843271</v>
      </c>
      <c r="V113">
        <v>1.333758876193315</v>
      </c>
      <c r="W113">
        <v>0.39193974700174289</v>
      </c>
      <c r="X113">
        <v>1.0459739657468159</v>
      </c>
      <c r="Y113">
        <v>0.96707674100180152</v>
      </c>
      <c r="Z113">
        <v>1.597493017028319</v>
      </c>
      <c r="AA113">
        <v>0.94016910919453944</v>
      </c>
      <c r="AB113">
        <v>1.3351111088297329</v>
      </c>
      <c r="AC113">
        <v>1.4533543512050531</v>
      </c>
      <c r="AD113">
        <v>1.4361905402038251</v>
      </c>
      <c r="AE113">
        <v>0.41774477700237178</v>
      </c>
      <c r="AF113">
        <v>1.730882090405794</v>
      </c>
      <c r="AH113">
        <v>0.66180040159961206</v>
      </c>
      <c r="AI113">
        <v>0.53091704640537496</v>
      </c>
      <c r="AJ113">
        <v>0.52979970019659961</v>
      </c>
      <c r="AK113">
        <v>0.39193974700174289</v>
      </c>
      <c r="AL113">
        <v>0.48766346338670702</v>
      </c>
      <c r="AM113">
        <v>0.96707674100180152</v>
      </c>
      <c r="AN113">
        <v>0.62281095660291608</v>
      </c>
      <c r="AO113">
        <v>0.94016910919453944</v>
      </c>
      <c r="AP113">
        <v>0.53344368482939897</v>
      </c>
      <c r="AQ113">
        <v>1.025778945209459</v>
      </c>
      <c r="AR113">
        <v>0.3963154967816081</v>
      </c>
      <c r="AS113">
        <v>0.41774477700237178</v>
      </c>
      <c r="AT113">
        <v>0.98535967100760902</v>
      </c>
      <c r="AV113">
        <v>0.26268223859951828</v>
      </c>
    </row>
    <row r="114" spans="1:48" x14ac:dyDescent="0.3">
      <c r="A114">
        <v>7</v>
      </c>
      <c r="B114" t="s">
        <v>151</v>
      </c>
      <c r="C114" t="s">
        <v>143</v>
      </c>
      <c r="D114" t="s">
        <v>144</v>
      </c>
      <c r="E114" s="3">
        <v>0</v>
      </c>
      <c r="F114">
        <v>26181323.199999999</v>
      </c>
      <c r="G114">
        <v>26978014.399999999</v>
      </c>
      <c r="H114">
        <v>26980310.800000001</v>
      </c>
      <c r="I114">
        <v>13188082.199999999</v>
      </c>
      <c r="J114">
        <v>25359657.600000001</v>
      </c>
      <c r="K114">
        <v>13469711.6</v>
      </c>
      <c r="L114">
        <v>25593051.600000001</v>
      </c>
      <c r="M114">
        <v>13092143</v>
      </c>
      <c r="N114">
        <v>25161809.399999999</v>
      </c>
      <c r="O114">
        <v>3990877.2</v>
      </c>
      <c r="P114">
        <v>3044827.2</v>
      </c>
      <c r="Q114">
        <v>20097045</v>
      </c>
      <c r="R114">
        <v>27959266.399999999</v>
      </c>
      <c r="T114">
        <v>58.545423875399862</v>
      </c>
      <c r="U114">
        <v>40.742919432988863</v>
      </c>
      <c r="V114">
        <v>40.635542692383751</v>
      </c>
      <c r="W114">
        <v>89.873196604201809</v>
      </c>
      <c r="X114">
        <v>54.430555365997137</v>
      </c>
      <c r="Y114">
        <v>17.709019340202211</v>
      </c>
      <c r="Z114">
        <v>32.652686681208444</v>
      </c>
      <c r="AA114">
        <v>53.54410244000028</v>
      </c>
      <c r="AB114">
        <v>48.320963847014347</v>
      </c>
      <c r="AC114">
        <v>1.449321760208113</v>
      </c>
      <c r="AD114">
        <v>1.4209446728986219</v>
      </c>
      <c r="AE114">
        <v>12.111001741193469</v>
      </c>
      <c r="AF114">
        <v>34.670619955804433</v>
      </c>
      <c r="AH114">
        <v>58.545423875399862</v>
      </c>
      <c r="AI114">
        <v>39.60146036539809</v>
      </c>
      <c r="AJ114">
        <v>39.507007467601213</v>
      </c>
      <c r="AK114">
        <v>89.873196604201809</v>
      </c>
      <c r="AL114">
        <v>53.502243400592121</v>
      </c>
      <c r="AM114">
        <v>17.709019340202211</v>
      </c>
      <c r="AN114">
        <v>31.449959327204851</v>
      </c>
      <c r="AO114">
        <v>53.54410244000028</v>
      </c>
      <c r="AP114">
        <v>47.303263066592628</v>
      </c>
      <c r="AQ114">
        <v>1.029167587804841</v>
      </c>
      <c r="AR114">
        <v>0.40722768456907937</v>
      </c>
      <c r="AS114">
        <v>12.111001741193469</v>
      </c>
      <c r="AT114">
        <v>33.912082922388798</v>
      </c>
      <c r="AV114">
        <v>0.27561901320586912</v>
      </c>
    </row>
    <row r="115" spans="1:48" x14ac:dyDescent="0.3">
      <c r="A115">
        <v>8</v>
      </c>
      <c r="B115" t="s">
        <v>152</v>
      </c>
      <c r="C115" t="s">
        <v>153</v>
      </c>
      <c r="D115" t="s">
        <v>154</v>
      </c>
      <c r="E115" s="3">
        <v>0</v>
      </c>
      <c r="F115">
        <v>1503065.2</v>
      </c>
      <c r="G115">
        <v>1503065.2</v>
      </c>
      <c r="H115">
        <v>1503065.2</v>
      </c>
      <c r="I115">
        <v>3564945.4</v>
      </c>
      <c r="J115">
        <v>3564945.4</v>
      </c>
      <c r="K115">
        <v>3242886.2</v>
      </c>
      <c r="L115">
        <v>3242886.2</v>
      </c>
      <c r="M115">
        <v>2087235.8</v>
      </c>
      <c r="N115">
        <v>2087235.8</v>
      </c>
      <c r="O115">
        <v>3146374.2</v>
      </c>
      <c r="P115">
        <v>3146374.2</v>
      </c>
      <c r="Q115">
        <v>2710669.2</v>
      </c>
      <c r="R115">
        <v>2710669.2</v>
      </c>
      <c r="T115">
        <v>1.7381990124064031</v>
      </c>
      <c r="U115">
        <v>1.7381990124064031</v>
      </c>
      <c r="V115">
        <v>1.7381990124064031</v>
      </c>
      <c r="W115">
        <v>3.8421439055993689</v>
      </c>
      <c r="X115">
        <v>3.8421439055993689</v>
      </c>
      <c r="Y115">
        <v>3.4326382293947968</v>
      </c>
      <c r="Z115">
        <v>3.4326382293947968</v>
      </c>
      <c r="AA115">
        <v>2.5147213260002901</v>
      </c>
      <c r="AB115">
        <v>2.5147213260002901</v>
      </c>
      <c r="AC115">
        <v>0.89354925100924443</v>
      </c>
      <c r="AD115">
        <v>0.89354925100924443</v>
      </c>
      <c r="AE115">
        <v>3.3224026058043821</v>
      </c>
      <c r="AF115">
        <v>3.3224026058043821</v>
      </c>
      <c r="AH115">
        <v>1.7381990124064031</v>
      </c>
      <c r="AI115">
        <v>1.7381990124064031</v>
      </c>
      <c r="AJ115">
        <v>1.7381990124064031</v>
      </c>
      <c r="AK115">
        <v>3.8421439055993689</v>
      </c>
      <c r="AL115">
        <v>3.8421439055993689</v>
      </c>
      <c r="AM115">
        <v>3.4326382293947968</v>
      </c>
      <c r="AN115">
        <v>3.4326382293947968</v>
      </c>
      <c r="AO115">
        <v>2.5147213260002901</v>
      </c>
      <c r="AP115">
        <v>2.5147213260002901</v>
      </c>
      <c r="AQ115">
        <v>0.46521885120891959</v>
      </c>
      <c r="AR115">
        <v>0.46521885120891959</v>
      </c>
      <c r="AS115">
        <v>3.3224026058043821</v>
      </c>
      <c r="AT115">
        <v>3.3224026058043821</v>
      </c>
      <c r="AV115">
        <v>0</v>
      </c>
    </row>
    <row r="116" spans="1:48" x14ac:dyDescent="0.3">
      <c r="A116">
        <v>8</v>
      </c>
      <c r="B116" t="s">
        <v>155</v>
      </c>
      <c r="C116" t="s">
        <v>153</v>
      </c>
      <c r="D116" t="s">
        <v>154</v>
      </c>
      <c r="E116" s="3">
        <v>0</v>
      </c>
      <c r="F116">
        <v>671697</v>
      </c>
      <c r="G116">
        <v>671697</v>
      </c>
      <c r="H116">
        <v>671697</v>
      </c>
      <c r="I116">
        <v>1307813</v>
      </c>
      <c r="J116">
        <v>1307813</v>
      </c>
      <c r="K116">
        <v>1058241</v>
      </c>
      <c r="L116">
        <v>1058241</v>
      </c>
      <c r="M116">
        <v>969468.4</v>
      </c>
      <c r="N116">
        <v>969468.4</v>
      </c>
      <c r="O116">
        <v>2930421.6</v>
      </c>
      <c r="P116">
        <v>2930421.6</v>
      </c>
      <c r="Q116">
        <v>891210.8</v>
      </c>
      <c r="R116">
        <v>891210.8</v>
      </c>
      <c r="T116">
        <v>0.7287656735861674</v>
      </c>
      <c r="U116">
        <v>0.7287656735861674</v>
      </c>
      <c r="V116">
        <v>0.7287656735861674</v>
      </c>
      <c r="W116">
        <v>1.330144015396945</v>
      </c>
      <c r="X116">
        <v>1.330144015396945</v>
      </c>
      <c r="Y116">
        <v>1.6075916644011159</v>
      </c>
      <c r="Z116">
        <v>1.6075916644011159</v>
      </c>
      <c r="AA116">
        <v>1.7968236565939151</v>
      </c>
      <c r="AB116">
        <v>1.7968236565939151</v>
      </c>
      <c r="AC116">
        <v>0.62393623660900632</v>
      </c>
      <c r="AD116">
        <v>0.62393623660900632</v>
      </c>
      <c r="AE116">
        <v>2.6920500362000892</v>
      </c>
      <c r="AF116">
        <v>2.6920500362000892</v>
      </c>
      <c r="AH116">
        <v>0.7287656735861674</v>
      </c>
      <c r="AI116">
        <v>0.7287656735861674</v>
      </c>
      <c r="AJ116">
        <v>0.7287656735861674</v>
      </c>
      <c r="AK116">
        <v>1.330144015396945</v>
      </c>
      <c r="AL116">
        <v>1.330144015396945</v>
      </c>
      <c r="AM116">
        <v>1.6075916644011159</v>
      </c>
      <c r="AN116">
        <v>1.6075916644011159</v>
      </c>
      <c r="AO116">
        <v>1.7968236565939151</v>
      </c>
      <c r="AP116">
        <v>1.7968236565939151</v>
      </c>
      <c r="AQ116">
        <v>0.35821675421902899</v>
      </c>
      <c r="AR116">
        <v>0.35821675421902899</v>
      </c>
      <c r="AS116">
        <v>2.6920500362000892</v>
      </c>
      <c r="AT116">
        <v>2.6920500362000892</v>
      </c>
      <c r="AV116">
        <v>0</v>
      </c>
    </row>
    <row r="117" spans="1:48" x14ac:dyDescent="0.3">
      <c r="A117">
        <v>8</v>
      </c>
      <c r="B117" t="s">
        <v>156</v>
      </c>
      <c r="C117" t="s">
        <v>153</v>
      </c>
      <c r="D117" t="s">
        <v>154</v>
      </c>
      <c r="E117" s="3">
        <v>1</v>
      </c>
      <c r="F117">
        <v>478267.4</v>
      </c>
      <c r="G117">
        <v>478267.4</v>
      </c>
      <c r="H117">
        <v>478267.4</v>
      </c>
      <c r="I117">
        <v>211034.2</v>
      </c>
      <c r="J117">
        <v>211034.2</v>
      </c>
      <c r="K117">
        <v>220120.2</v>
      </c>
      <c r="L117">
        <v>220120.2</v>
      </c>
      <c r="M117">
        <v>203632.2</v>
      </c>
      <c r="N117">
        <v>203632.2</v>
      </c>
      <c r="O117">
        <v>3140626</v>
      </c>
      <c r="P117">
        <v>3140626</v>
      </c>
      <c r="Q117">
        <v>91534.6</v>
      </c>
      <c r="R117">
        <v>91534.6</v>
      </c>
      <c r="T117">
        <v>0.56136791859753432</v>
      </c>
      <c r="U117">
        <v>0.56136791859753432</v>
      </c>
      <c r="V117">
        <v>0.56136791859753432</v>
      </c>
      <c r="W117">
        <v>0.47406487680273129</v>
      </c>
      <c r="X117">
        <v>0.47406487680273129</v>
      </c>
      <c r="Y117">
        <v>0.96015696160029618</v>
      </c>
      <c r="Z117">
        <v>0.96015696160029618</v>
      </c>
      <c r="AA117">
        <v>1.1492037551943211</v>
      </c>
      <c r="AB117">
        <v>1.1492037551943211</v>
      </c>
      <c r="AC117">
        <v>0.90219853781163695</v>
      </c>
      <c r="AD117">
        <v>0.90219853781163695</v>
      </c>
      <c r="AE117">
        <v>0.34271933879936112</v>
      </c>
      <c r="AF117">
        <v>0.34271933879936112</v>
      </c>
      <c r="AH117">
        <v>0.56136791859753432</v>
      </c>
      <c r="AI117">
        <v>0.56136791859753432</v>
      </c>
      <c r="AJ117">
        <v>0.56136791859753432</v>
      </c>
      <c r="AK117">
        <v>0.47406487680273129</v>
      </c>
      <c r="AL117">
        <v>0.47406487680273129</v>
      </c>
      <c r="AM117">
        <v>0.96015696160029618</v>
      </c>
      <c r="AN117">
        <v>0.96015696160029618</v>
      </c>
      <c r="AO117">
        <v>1.1492037551943211</v>
      </c>
      <c r="AP117">
        <v>1.1492037551943211</v>
      </c>
      <c r="AQ117">
        <v>0.46451919581159018</v>
      </c>
      <c r="AR117">
        <v>0.46451919581159018</v>
      </c>
      <c r="AS117">
        <v>0.34271933879936112</v>
      </c>
      <c r="AT117">
        <v>0.34271933879936112</v>
      </c>
      <c r="AV117">
        <v>0</v>
      </c>
    </row>
    <row r="118" spans="1:48" x14ac:dyDescent="0.3">
      <c r="A118">
        <v>8</v>
      </c>
      <c r="B118" t="s">
        <v>157</v>
      </c>
      <c r="C118" t="s">
        <v>153</v>
      </c>
      <c r="D118" t="s">
        <v>154</v>
      </c>
      <c r="E118" s="3">
        <v>0</v>
      </c>
      <c r="F118">
        <v>467016.4</v>
      </c>
      <c r="G118">
        <v>467016.4</v>
      </c>
      <c r="H118">
        <v>467016.4</v>
      </c>
      <c r="I118">
        <v>297050</v>
      </c>
      <c r="J118">
        <v>297050</v>
      </c>
      <c r="K118">
        <v>313306.40000000002</v>
      </c>
      <c r="L118">
        <v>313306.40000000002</v>
      </c>
      <c r="M118">
        <v>223017.2</v>
      </c>
      <c r="N118">
        <v>223017.2</v>
      </c>
      <c r="O118">
        <v>2927316.4</v>
      </c>
      <c r="P118">
        <v>2927316.4</v>
      </c>
      <c r="Q118">
        <v>5865.2</v>
      </c>
      <c r="R118">
        <v>5865.2</v>
      </c>
      <c r="T118">
        <v>0.46827749360236343</v>
      </c>
      <c r="U118">
        <v>0.46827749360236343</v>
      </c>
      <c r="V118">
        <v>0.46827749360236343</v>
      </c>
      <c r="W118">
        <v>0.42528828420327047</v>
      </c>
      <c r="X118">
        <v>0.42528828420327047</v>
      </c>
      <c r="Y118">
        <v>1.0370150803937579</v>
      </c>
      <c r="Z118">
        <v>1.0370150803937579</v>
      </c>
      <c r="AA118">
        <v>0.93135445039952169</v>
      </c>
      <c r="AB118">
        <v>0.93135445039952169</v>
      </c>
      <c r="AC118">
        <v>0.64250258319079878</v>
      </c>
      <c r="AD118">
        <v>0.64250258319079878</v>
      </c>
      <c r="AE118">
        <v>2.3253454401856239E-2</v>
      </c>
      <c r="AF118">
        <v>2.3253454401856239E-2</v>
      </c>
      <c r="AH118">
        <v>0.46827749360236343</v>
      </c>
      <c r="AI118">
        <v>0.46827749360236343</v>
      </c>
      <c r="AJ118">
        <v>0.46827749360236343</v>
      </c>
      <c r="AK118">
        <v>0.42528828420327047</v>
      </c>
      <c r="AL118">
        <v>0.42528828420327047</v>
      </c>
      <c r="AM118">
        <v>1.0370150803937579</v>
      </c>
      <c r="AN118">
        <v>1.0370150803937579</v>
      </c>
      <c r="AO118">
        <v>0.93135445039952169</v>
      </c>
      <c r="AP118">
        <v>0.93135445039952169</v>
      </c>
      <c r="AQ118">
        <v>0.36337789839599283</v>
      </c>
      <c r="AR118">
        <v>0.36337789839599283</v>
      </c>
      <c r="AS118">
        <v>2.3253454401856239E-2</v>
      </c>
      <c r="AT118">
        <v>2.3253454401856239E-2</v>
      </c>
      <c r="AV118">
        <v>0</v>
      </c>
    </row>
    <row r="119" spans="1:48" x14ac:dyDescent="0.3">
      <c r="A119">
        <v>8</v>
      </c>
      <c r="B119" t="s">
        <v>158</v>
      </c>
      <c r="C119" t="s">
        <v>153</v>
      </c>
      <c r="D119" t="s">
        <v>154</v>
      </c>
      <c r="E119" s="3">
        <v>0</v>
      </c>
      <c r="F119">
        <v>795350.4</v>
      </c>
      <c r="G119">
        <v>795350.4</v>
      </c>
      <c r="H119">
        <v>795350.4</v>
      </c>
      <c r="I119">
        <v>1605108.4</v>
      </c>
      <c r="J119">
        <v>1605108.4</v>
      </c>
      <c r="K119">
        <v>1238007.6000000001</v>
      </c>
      <c r="L119">
        <v>1238007.6000000001</v>
      </c>
      <c r="M119">
        <v>1105939.6000000001</v>
      </c>
      <c r="N119">
        <v>1105939.6000000001</v>
      </c>
      <c r="O119">
        <v>3211572.8</v>
      </c>
      <c r="P119">
        <v>3211572.8</v>
      </c>
      <c r="Q119">
        <v>914901.2</v>
      </c>
      <c r="R119">
        <v>914901.2</v>
      </c>
      <c r="T119">
        <v>0.83624891340150498</v>
      </c>
      <c r="U119">
        <v>0.83624891340150498</v>
      </c>
      <c r="V119">
        <v>0.83624891340150498</v>
      </c>
      <c r="W119">
        <v>1.536886486597359</v>
      </c>
      <c r="X119">
        <v>1.536886486597359</v>
      </c>
      <c r="Y119">
        <v>1.657889246405102</v>
      </c>
      <c r="Z119">
        <v>1.657889246405102</v>
      </c>
      <c r="AA119">
        <v>1.9409114559995939</v>
      </c>
      <c r="AB119">
        <v>1.9409114559995939</v>
      </c>
      <c r="AC119">
        <v>0.94977425860124642</v>
      </c>
      <c r="AD119">
        <v>0.94977425860124642</v>
      </c>
      <c r="AE119">
        <v>2.8187573859991968</v>
      </c>
      <c r="AF119">
        <v>2.8187573859991968</v>
      </c>
      <c r="AH119">
        <v>0.83624891340150498</v>
      </c>
      <c r="AI119">
        <v>0.83624891340150498</v>
      </c>
      <c r="AJ119">
        <v>0.83624891340150498</v>
      </c>
      <c r="AK119">
        <v>1.536886486597359</v>
      </c>
      <c r="AL119">
        <v>1.536886486597359</v>
      </c>
      <c r="AM119">
        <v>1.657889246405102</v>
      </c>
      <c r="AN119">
        <v>1.657889246405102</v>
      </c>
      <c r="AO119">
        <v>1.9409114559995939</v>
      </c>
      <c r="AP119">
        <v>1.9409114559995939</v>
      </c>
      <c r="AQ119">
        <v>0.68524120979709546</v>
      </c>
      <c r="AR119">
        <v>0.68524120979709546</v>
      </c>
      <c r="AS119">
        <v>2.8187573859991968</v>
      </c>
      <c r="AT119">
        <v>2.8187573859991968</v>
      </c>
      <c r="AV119">
        <v>0</v>
      </c>
    </row>
    <row r="120" spans="1:48" x14ac:dyDescent="0.3">
      <c r="A120">
        <v>8</v>
      </c>
      <c r="B120" t="s">
        <v>159</v>
      </c>
      <c r="C120" t="s">
        <v>153</v>
      </c>
      <c r="D120" t="s">
        <v>154</v>
      </c>
      <c r="E120" s="3">
        <v>1</v>
      </c>
      <c r="F120">
        <v>380523.4</v>
      </c>
      <c r="G120">
        <v>380523.4</v>
      </c>
      <c r="H120">
        <v>380523.4</v>
      </c>
      <c r="I120">
        <v>298349</v>
      </c>
      <c r="J120">
        <v>298349</v>
      </c>
      <c r="K120">
        <v>353270</v>
      </c>
      <c r="L120">
        <v>353270</v>
      </c>
      <c r="M120">
        <v>257198</v>
      </c>
      <c r="N120">
        <v>257198</v>
      </c>
      <c r="O120">
        <v>3925914.4</v>
      </c>
      <c r="P120">
        <v>3925914.4</v>
      </c>
      <c r="Q120">
        <v>811</v>
      </c>
      <c r="R120">
        <v>811</v>
      </c>
      <c r="T120">
        <v>0.41795237159822141</v>
      </c>
      <c r="U120">
        <v>0.41795237159822141</v>
      </c>
      <c r="V120">
        <v>0.41795237159822141</v>
      </c>
      <c r="W120">
        <v>0.38014104439644142</v>
      </c>
      <c r="X120">
        <v>0.38014104439644142</v>
      </c>
      <c r="Y120">
        <v>1.0209037202002951</v>
      </c>
      <c r="Z120">
        <v>1.0209037202002951</v>
      </c>
      <c r="AA120">
        <v>1.039117309002904</v>
      </c>
      <c r="AB120">
        <v>1.039117309002904</v>
      </c>
      <c r="AC120">
        <v>1.713449418981327</v>
      </c>
      <c r="AD120">
        <v>1.713449418981327</v>
      </c>
      <c r="AE120">
        <v>5.6192446034401197E-3</v>
      </c>
      <c r="AF120">
        <v>5.6192446034401197E-3</v>
      </c>
      <c r="AH120">
        <v>0.41795237159822141</v>
      </c>
      <c r="AI120">
        <v>0.41795237159822141</v>
      </c>
      <c r="AJ120">
        <v>0.41795237159822141</v>
      </c>
      <c r="AK120">
        <v>0.38014104439644142</v>
      </c>
      <c r="AL120">
        <v>0.38014104439644142</v>
      </c>
      <c r="AM120">
        <v>1.0209037202002951</v>
      </c>
      <c r="AN120">
        <v>1.0209037202002951</v>
      </c>
      <c r="AO120">
        <v>1.039117309002904</v>
      </c>
      <c r="AP120">
        <v>1.039117309002904</v>
      </c>
      <c r="AQ120">
        <v>1.213410259981174</v>
      </c>
      <c r="AR120">
        <v>1.213410259981174</v>
      </c>
      <c r="AS120">
        <v>5.6192446034401197E-3</v>
      </c>
      <c r="AT120">
        <v>5.6192446034401197E-3</v>
      </c>
      <c r="AV120">
        <v>0</v>
      </c>
    </row>
    <row r="121" spans="1:48" x14ac:dyDescent="0.3">
      <c r="A121">
        <v>8</v>
      </c>
      <c r="B121" t="s">
        <v>160</v>
      </c>
      <c r="C121" t="s">
        <v>153</v>
      </c>
      <c r="D121" t="s">
        <v>154</v>
      </c>
      <c r="E121" s="3">
        <v>0</v>
      </c>
      <c r="F121">
        <v>465002</v>
      </c>
      <c r="G121">
        <v>465002</v>
      </c>
      <c r="H121">
        <v>465002</v>
      </c>
      <c r="I121">
        <v>304031.2</v>
      </c>
      <c r="J121">
        <v>304031.2</v>
      </c>
      <c r="K121">
        <v>312023.40000000002</v>
      </c>
      <c r="L121">
        <v>312023.40000000002</v>
      </c>
      <c r="M121">
        <v>267810</v>
      </c>
      <c r="N121">
        <v>267810</v>
      </c>
      <c r="O121">
        <v>3210873.8</v>
      </c>
      <c r="P121">
        <v>3210873.8</v>
      </c>
      <c r="Q121">
        <v>2815.4</v>
      </c>
      <c r="R121">
        <v>2815.4</v>
      </c>
      <c r="T121">
        <v>0.46681307579856368</v>
      </c>
      <c r="U121">
        <v>0.46681307579856368</v>
      </c>
      <c r="V121">
        <v>0.46681307579856368</v>
      </c>
      <c r="W121">
        <v>0.38298130139592101</v>
      </c>
      <c r="X121">
        <v>0.38298130139592101</v>
      </c>
      <c r="Y121">
        <v>0.98737220780458301</v>
      </c>
      <c r="Z121">
        <v>0.98737220780458301</v>
      </c>
      <c r="AA121">
        <v>0.90551383438869382</v>
      </c>
      <c r="AB121">
        <v>0.90551383438869382</v>
      </c>
      <c r="AC121">
        <v>0.96395689501077864</v>
      </c>
      <c r="AD121">
        <v>0.96395689501077864</v>
      </c>
      <c r="AE121">
        <v>1.833686419995496E-2</v>
      </c>
      <c r="AF121">
        <v>1.833686419995496E-2</v>
      </c>
      <c r="AH121">
        <v>0.46681307579856368</v>
      </c>
      <c r="AI121">
        <v>0.46681307579856368</v>
      </c>
      <c r="AJ121">
        <v>0.46681307579856368</v>
      </c>
      <c r="AK121">
        <v>0.38298130139592101</v>
      </c>
      <c r="AL121">
        <v>0.38298130139592101</v>
      </c>
      <c r="AM121">
        <v>0.98737220780458301</v>
      </c>
      <c r="AN121">
        <v>0.98737220780458301</v>
      </c>
      <c r="AO121">
        <v>0.90551383438869382</v>
      </c>
      <c r="AP121">
        <v>0.90551383438869382</v>
      </c>
      <c r="AQ121">
        <v>0.69032478660228658</v>
      </c>
      <c r="AR121">
        <v>0.69032478660228658</v>
      </c>
      <c r="AS121">
        <v>1.833686419995496E-2</v>
      </c>
      <c r="AT121">
        <v>1.833686419995496E-2</v>
      </c>
      <c r="AV121">
        <v>0</v>
      </c>
    </row>
    <row r="122" spans="1:48" x14ac:dyDescent="0.3">
      <c r="A122">
        <v>8</v>
      </c>
      <c r="B122" t="s">
        <v>161</v>
      </c>
      <c r="C122" t="s">
        <v>153</v>
      </c>
      <c r="D122" t="s">
        <v>154</v>
      </c>
      <c r="E122" s="3">
        <v>0</v>
      </c>
      <c r="F122">
        <v>4784816</v>
      </c>
      <c r="G122">
        <v>4784816</v>
      </c>
      <c r="H122">
        <v>4784816</v>
      </c>
      <c r="I122">
        <v>2491198</v>
      </c>
      <c r="J122">
        <v>2491198</v>
      </c>
      <c r="K122">
        <v>2616253.2000000002</v>
      </c>
      <c r="L122">
        <v>2616253.2000000002</v>
      </c>
      <c r="M122">
        <v>2439856.4</v>
      </c>
      <c r="N122">
        <v>2439856.4</v>
      </c>
      <c r="O122">
        <v>3932292.6</v>
      </c>
      <c r="P122">
        <v>3932292.6</v>
      </c>
      <c r="Q122">
        <v>5218272.8</v>
      </c>
      <c r="R122">
        <v>5218272.8</v>
      </c>
      <c r="T122">
        <v>10.60265896559577</v>
      </c>
      <c r="U122">
        <v>10.60265896559577</v>
      </c>
      <c r="V122">
        <v>10.60265896559577</v>
      </c>
      <c r="W122">
        <v>14.199253200605741</v>
      </c>
      <c r="X122">
        <v>14.199253200605741</v>
      </c>
      <c r="Y122">
        <v>3.8512565385957709</v>
      </c>
      <c r="Z122">
        <v>3.8512565385957709</v>
      </c>
      <c r="AA122">
        <v>12.313626731192929</v>
      </c>
      <c r="AB122">
        <v>12.313626731192929</v>
      </c>
      <c r="AC122">
        <v>1.6971987154043751</v>
      </c>
      <c r="AD122">
        <v>1.6971987154043751</v>
      </c>
      <c r="AE122">
        <v>4.8125284585985364</v>
      </c>
      <c r="AF122">
        <v>4.8125284585985364</v>
      </c>
      <c r="AH122">
        <v>10.60265896559577</v>
      </c>
      <c r="AI122">
        <v>10.60265896559577</v>
      </c>
      <c r="AJ122">
        <v>10.60265896559577</v>
      </c>
      <c r="AK122">
        <v>14.199253200605741</v>
      </c>
      <c r="AL122">
        <v>14.199253200605741</v>
      </c>
      <c r="AM122">
        <v>3.8512565385957709</v>
      </c>
      <c r="AN122">
        <v>3.8512565385957709</v>
      </c>
      <c r="AO122">
        <v>12.313626731192929</v>
      </c>
      <c r="AP122">
        <v>12.313626731192929</v>
      </c>
      <c r="AQ122">
        <v>1.2010565385979139</v>
      </c>
      <c r="AR122">
        <v>1.2010565385979139</v>
      </c>
      <c r="AS122">
        <v>4.8125284585985364</v>
      </c>
      <c r="AT122">
        <v>4.8125284585985364</v>
      </c>
      <c r="AV122">
        <v>0</v>
      </c>
    </row>
    <row r="123" spans="1:48" x14ac:dyDescent="0.3">
      <c r="A123">
        <v>9</v>
      </c>
      <c r="B123" t="s">
        <v>162</v>
      </c>
      <c r="C123" t="s">
        <v>163</v>
      </c>
      <c r="D123" t="s">
        <v>164</v>
      </c>
      <c r="E123" s="3">
        <v>0</v>
      </c>
      <c r="F123">
        <v>994911.8</v>
      </c>
      <c r="G123">
        <v>994911.8</v>
      </c>
      <c r="H123">
        <v>994911.8</v>
      </c>
      <c r="I123">
        <v>2101040.6</v>
      </c>
      <c r="J123">
        <v>2101040.6</v>
      </c>
      <c r="K123">
        <v>1141973.3999999999</v>
      </c>
      <c r="L123">
        <v>1141973.3999999999</v>
      </c>
      <c r="M123">
        <v>1871168.4</v>
      </c>
      <c r="N123">
        <v>1871168.4</v>
      </c>
      <c r="O123">
        <v>4278519.8</v>
      </c>
      <c r="P123">
        <v>4278519.8</v>
      </c>
      <c r="Q123">
        <v>3490419</v>
      </c>
      <c r="R123">
        <v>3490419</v>
      </c>
      <c r="T123">
        <v>1.5000924157968261</v>
      </c>
      <c r="U123">
        <v>1.5000924157968261</v>
      </c>
      <c r="V123">
        <v>1.5000924157968261</v>
      </c>
      <c r="W123">
        <v>2.804958147392608</v>
      </c>
      <c r="X123">
        <v>2.804958147392608</v>
      </c>
      <c r="Y123">
        <v>1.7174714053981011</v>
      </c>
      <c r="Z123">
        <v>1.7174714053981011</v>
      </c>
      <c r="AA123">
        <v>1.5384762208035681</v>
      </c>
      <c r="AB123">
        <v>1.5384762208035681</v>
      </c>
      <c r="AC123">
        <v>1.9852555635734459</v>
      </c>
      <c r="AD123">
        <v>1.9852555635734459</v>
      </c>
      <c r="AE123">
        <v>3.4211627174052408</v>
      </c>
      <c r="AF123">
        <v>3.4211627174052408</v>
      </c>
      <c r="AH123">
        <v>1.5000924157968261</v>
      </c>
      <c r="AI123">
        <v>1.5000924157968261</v>
      </c>
      <c r="AJ123">
        <v>1.5000924157968261</v>
      </c>
      <c r="AK123">
        <v>2.804958147392608</v>
      </c>
      <c r="AL123">
        <v>2.804958147392608</v>
      </c>
      <c r="AM123">
        <v>1.7174714053981011</v>
      </c>
      <c r="AN123">
        <v>1.7174714053981011</v>
      </c>
      <c r="AO123">
        <v>1.5384762208035681</v>
      </c>
      <c r="AP123">
        <v>1.5384762208035681</v>
      </c>
      <c r="AQ123">
        <v>1.1474709273781629</v>
      </c>
      <c r="AR123">
        <v>1.1474709273781629</v>
      </c>
      <c r="AS123">
        <v>3.4211627174052408</v>
      </c>
      <c r="AT123">
        <v>3.4211627174052408</v>
      </c>
      <c r="AV123">
        <v>0</v>
      </c>
    </row>
    <row r="124" spans="1:48" x14ac:dyDescent="0.3">
      <c r="A124">
        <v>9</v>
      </c>
      <c r="B124" t="s">
        <v>165</v>
      </c>
      <c r="C124" t="s">
        <v>163</v>
      </c>
      <c r="D124" t="s">
        <v>164</v>
      </c>
      <c r="E124" s="3">
        <v>0</v>
      </c>
      <c r="F124">
        <v>969826.6</v>
      </c>
      <c r="G124">
        <v>969826.6</v>
      </c>
      <c r="H124">
        <v>969826.6</v>
      </c>
      <c r="I124">
        <v>726458.8</v>
      </c>
      <c r="J124">
        <v>726458.8</v>
      </c>
      <c r="K124">
        <v>676137.8</v>
      </c>
      <c r="L124">
        <v>676137.8</v>
      </c>
      <c r="M124">
        <v>2451285</v>
      </c>
      <c r="N124">
        <v>2451285</v>
      </c>
      <c r="O124">
        <v>4567194</v>
      </c>
      <c r="P124">
        <v>4567194</v>
      </c>
      <c r="Q124">
        <v>1027132.8</v>
      </c>
      <c r="R124">
        <v>1027132.8</v>
      </c>
      <c r="T124">
        <v>1.276284083595965</v>
      </c>
      <c r="U124">
        <v>1.276284083595965</v>
      </c>
      <c r="V124">
        <v>1.276284083595965</v>
      </c>
      <c r="W124">
        <v>1.4355606175900899</v>
      </c>
      <c r="X124">
        <v>1.4355606175900899</v>
      </c>
      <c r="Y124">
        <v>1.26887737159268</v>
      </c>
      <c r="Z124">
        <v>1.26887737159268</v>
      </c>
      <c r="AA124">
        <v>2.755876507010544</v>
      </c>
      <c r="AB124">
        <v>2.755876507010544</v>
      </c>
      <c r="AC124">
        <v>2.1780317900062069</v>
      </c>
      <c r="AD124">
        <v>2.1780317900062069</v>
      </c>
      <c r="AE124">
        <v>2.0141093821963301</v>
      </c>
      <c r="AF124">
        <v>2.0141093821963301</v>
      </c>
      <c r="AH124">
        <v>1.276284083595965</v>
      </c>
      <c r="AI124">
        <v>1.276284083595965</v>
      </c>
      <c r="AJ124">
        <v>1.276284083595965</v>
      </c>
      <c r="AK124">
        <v>1.4355606175900899</v>
      </c>
      <c r="AL124">
        <v>1.4355606175900899</v>
      </c>
      <c r="AM124">
        <v>1.26887737159268</v>
      </c>
      <c r="AN124">
        <v>1.26887737159268</v>
      </c>
      <c r="AO124">
        <v>2.755876507010544</v>
      </c>
      <c r="AP124">
        <v>2.755876507010544</v>
      </c>
      <c r="AQ124">
        <v>1.277769307600102</v>
      </c>
      <c r="AR124">
        <v>1.277769307600102</v>
      </c>
      <c r="AS124">
        <v>2.0141093821963301</v>
      </c>
      <c r="AT124">
        <v>2.0141093821963301</v>
      </c>
      <c r="AV124">
        <v>0</v>
      </c>
    </row>
    <row r="125" spans="1:48" x14ac:dyDescent="0.3">
      <c r="A125">
        <v>9</v>
      </c>
      <c r="B125" t="s">
        <v>166</v>
      </c>
      <c r="C125" t="s">
        <v>163</v>
      </c>
      <c r="D125" t="s">
        <v>164</v>
      </c>
      <c r="E125" s="3">
        <v>1</v>
      </c>
      <c r="F125">
        <v>1079442.2</v>
      </c>
      <c r="G125">
        <v>1079442.2</v>
      </c>
      <c r="H125">
        <v>1079442.2</v>
      </c>
      <c r="I125">
        <v>1927101</v>
      </c>
      <c r="J125">
        <v>1927101</v>
      </c>
      <c r="K125">
        <v>1987356</v>
      </c>
      <c r="L125">
        <v>1987356</v>
      </c>
      <c r="M125">
        <v>982454</v>
      </c>
      <c r="N125">
        <v>982454</v>
      </c>
      <c r="O125">
        <v>4277166.5999999996</v>
      </c>
      <c r="P125">
        <v>4277166.5999999996</v>
      </c>
      <c r="Q125">
        <v>3119203.4</v>
      </c>
      <c r="R125">
        <v>3119203.4</v>
      </c>
      <c r="T125">
        <v>1.4958274009928569</v>
      </c>
      <c r="U125">
        <v>1.4958274009928569</v>
      </c>
      <c r="V125">
        <v>1.4958274009928569</v>
      </c>
      <c r="W125">
        <v>2.630673525005113</v>
      </c>
      <c r="X125">
        <v>2.630673525005113</v>
      </c>
      <c r="Y125">
        <v>2.488980079203611</v>
      </c>
      <c r="Z125">
        <v>2.488980079203611</v>
      </c>
      <c r="AA125">
        <v>2.324873552192003</v>
      </c>
      <c r="AB125">
        <v>2.324873552192003</v>
      </c>
      <c r="AC125">
        <v>1.966580740007339</v>
      </c>
      <c r="AD125">
        <v>1.966580740007339</v>
      </c>
      <c r="AE125">
        <v>3.6306728317984378</v>
      </c>
      <c r="AF125">
        <v>3.6306728317984378</v>
      </c>
      <c r="AH125">
        <v>1.4958274009928569</v>
      </c>
      <c r="AI125">
        <v>1.4958274009928569</v>
      </c>
      <c r="AJ125">
        <v>1.4958274009928569</v>
      </c>
      <c r="AK125">
        <v>2.630673525005113</v>
      </c>
      <c r="AL125">
        <v>2.630673525005113</v>
      </c>
      <c r="AM125">
        <v>2.488980079203611</v>
      </c>
      <c r="AN125">
        <v>2.488980079203611</v>
      </c>
      <c r="AO125">
        <v>2.324873552192003</v>
      </c>
      <c r="AP125">
        <v>2.324873552192003</v>
      </c>
      <c r="AQ125">
        <v>1.1300688924035061</v>
      </c>
      <c r="AR125">
        <v>1.1300688924035061</v>
      </c>
      <c r="AS125">
        <v>3.6306728317984378</v>
      </c>
      <c r="AT125">
        <v>3.6306728317984378</v>
      </c>
      <c r="AV125">
        <v>0</v>
      </c>
    </row>
    <row r="126" spans="1:48" x14ac:dyDescent="0.3">
      <c r="A126">
        <v>9</v>
      </c>
      <c r="B126" t="s">
        <v>167</v>
      </c>
      <c r="C126" t="s">
        <v>163</v>
      </c>
      <c r="D126" t="s">
        <v>164</v>
      </c>
      <c r="E126" s="3">
        <v>0</v>
      </c>
      <c r="F126">
        <v>967783</v>
      </c>
      <c r="G126">
        <v>967783</v>
      </c>
      <c r="H126">
        <v>967783</v>
      </c>
      <c r="I126">
        <v>2181678</v>
      </c>
      <c r="J126">
        <v>2181678</v>
      </c>
      <c r="K126">
        <v>2298415.6</v>
      </c>
      <c r="L126">
        <v>2298415.6</v>
      </c>
      <c r="M126">
        <v>656776</v>
      </c>
      <c r="N126">
        <v>656776</v>
      </c>
      <c r="O126">
        <v>4553574.5999999996</v>
      </c>
      <c r="P126">
        <v>4553574.5999999996</v>
      </c>
      <c r="Q126">
        <v>2255078.3999999999</v>
      </c>
      <c r="R126">
        <v>2255078.3999999999</v>
      </c>
      <c r="T126">
        <v>1.2615575898031239</v>
      </c>
      <c r="U126">
        <v>1.2615575898031239</v>
      </c>
      <c r="V126">
        <v>1.2615575898031239</v>
      </c>
      <c r="W126">
        <v>2.4285983892041259</v>
      </c>
      <c r="X126">
        <v>2.4285983892041259</v>
      </c>
      <c r="Y126">
        <v>2.5460620568017469</v>
      </c>
      <c r="Z126">
        <v>2.5460620568017469</v>
      </c>
      <c r="AA126">
        <v>1.6097617282124701</v>
      </c>
      <c r="AB126">
        <v>1.6097617282124701</v>
      </c>
      <c r="AC126">
        <v>2.1648508496000431</v>
      </c>
      <c r="AD126">
        <v>2.1648508496000431</v>
      </c>
      <c r="AE126">
        <v>3.2206701829971278</v>
      </c>
      <c r="AF126">
        <v>3.2206701829971278</v>
      </c>
      <c r="AH126">
        <v>1.2615575898031239</v>
      </c>
      <c r="AI126">
        <v>1.2615575898031239</v>
      </c>
      <c r="AJ126">
        <v>1.2615575898031239</v>
      </c>
      <c r="AK126">
        <v>2.4285983892041259</v>
      </c>
      <c r="AL126">
        <v>2.4285983892041259</v>
      </c>
      <c r="AM126">
        <v>2.5460620568017469</v>
      </c>
      <c r="AN126">
        <v>2.5460620568017469</v>
      </c>
      <c r="AO126">
        <v>1.6097617282124701</v>
      </c>
      <c r="AP126">
        <v>1.6097617282124701</v>
      </c>
      <c r="AQ126">
        <v>1.2735585787973831</v>
      </c>
      <c r="AR126">
        <v>1.2735585787973831</v>
      </c>
      <c r="AS126">
        <v>3.2206701829971278</v>
      </c>
      <c r="AT126">
        <v>3.2206701829971278</v>
      </c>
      <c r="AV126">
        <v>0</v>
      </c>
    </row>
    <row r="127" spans="1:48" x14ac:dyDescent="0.3">
      <c r="A127">
        <v>9</v>
      </c>
      <c r="B127" t="s">
        <v>168</v>
      </c>
      <c r="C127" t="s">
        <v>163</v>
      </c>
      <c r="D127" t="s">
        <v>164</v>
      </c>
      <c r="E127" s="3">
        <v>0</v>
      </c>
      <c r="F127">
        <v>1253979.8</v>
      </c>
      <c r="G127">
        <v>1253979.8</v>
      </c>
      <c r="H127">
        <v>1253979.8</v>
      </c>
      <c r="I127">
        <v>2327824</v>
      </c>
      <c r="J127">
        <v>2327824</v>
      </c>
      <c r="K127">
        <v>1968221.2</v>
      </c>
      <c r="L127">
        <v>1968221.2</v>
      </c>
      <c r="M127">
        <v>3611426</v>
      </c>
      <c r="N127">
        <v>3611426</v>
      </c>
      <c r="O127">
        <v>4771918.4000000004</v>
      </c>
      <c r="P127">
        <v>4771918.4000000004</v>
      </c>
      <c r="Q127">
        <v>8293988.7999999998</v>
      </c>
      <c r="R127">
        <v>8293988.7999999998</v>
      </c>
      <c r="T127">
        <v>1.6560809840040751</v>
      </c>
      <c r="U127">
        <v>1.6560809840040751</v>
      </c>
      <c r="V127">
        <v>1.6560809840040751</v>
      </c>
      <c r="W127">
        <v>2.5239972458046389</v>
      </c>
      <c r="X127">
        <v>2.5239972458046389</v>
      </c>
      <c r="Y127">
        <v>1.918121686793165</v>
      </c>
      <c r="Z127">
        <v>1.918121686793165</v>
      </c>
      <c r="AA127">
        <v>4.2752816150023136</v>
      </c>
      <c r="AB127">
        <v>4.2752816150023136</v>
      </c>
      <c r="AC127">
        <v>2.3179178099962878</v>
      </c>
      <c r="AD127">
        <v>2.3179178099962878</v>
      </c>
      <c r="AE127">
        <v>4.8297411159961481</v>
      </c>
      <c r="AF127">
        <v>4.8297411159961481</v>
      </c>
      <c r="AH127">
        <v>1.6560809840040751</v>
      </c>
      <c r="AI127">
        <v>1.6560809840040751</v>
      </c>
      <c r="AJ127">
        <v>1.6560809840040751</v>
      </c>
      <c r="AK127">
        <v>2.5239972458046389</v>
      </c>
      <c r="AL127">
        <v>2.5239972458046389</v>
      </c>
      <c r="AM127">
        <v>1.918121686793165</v>
      </c>
      <c r="AN127">
        <v>1.918121686793165</v>
      </c>
      <c r="AO127">
        <v>4.2752816150023136</v>
      </c>
      <c r="AP127">
        <v>4.2752816150023136</v>
      </c>
      <c r="AQ127">
        <v>1.338032360590296</v>
      </c>
      <c r="AR127">
        <v>1.338032360590296</v>
      </c>
      <c r="AS127">
        <v>4.8297411159961481</v>
      </c>
      <c r="AT127">
        <v>4.8297411159961481</v>
      </c>
      <c r="AV127">
        <v>0</v>
      </c>
    </row>
    <row r="128" spans="1:48" x14ac:dyDescent="0.3">
      <c r="A128">
        <v>9</v>
      </c>
      <c r="B128" t="s">
        <v>169</v>
      </c>
      <c r="C128" t="s">
        <v>163</v>
      </c>
      <c r="D128" t="s">
        <v>164</v>
      </c>
      <c r="E128" s="3">
        <v>1</v>
      </c>
      <c r="F128">
        <v>1073904.2</v>
      </c>
      <c r="G128">
        <v>1073904.2</v>
      </c>
      <c r="H128">
        <v>1073904.2</v>
      </c>
      <c r="I128">
        <v>2675081</v>
      </c>
      <c r="J128">
        <v>2675081</v>
      </c>
      <c r="K128">
        <v>2636781.6</v>
      </c>
      <c r="L128">
        <v>2636781.6</v>
      </c>
      <c r="M128">
        <v>824215.8</v>
      </c>
      <c r="N128">
        <v>824215.8</v>
      </c>
      <c r="O128">
        <v>4159973</v>
      </c>
      <c r="P128">
        <v>4159973</v>
      </c>
      <c r="Q128">
        <v>1361303.4</v>
      </c>
      <c r="R128">
        <v>1361303.4</v>
      </c>
      <c r="T128">
        <v>1.383854780811816</v>
      </c>
      <c r="U128">
        <v>1.383854780811816</v>
      </c>
      <c r="V128">
        <v>1.383854780811816</v>
      </c>
      <c r="W128">
        <v>2.44953943239525</v>
      </c>
      <c r="X128">
        <v>2.44953943239525</v>
      </c>
      <c r="Y128">
        <v>2.2621113488043192</v>
      </c>
      <c r="Z128">
        <v>2.2621113488043192</v>
      </c>
      <c r="AA128">
        <v>1.610726666793926</v>
      </c>
      <c r="AB128">
        <v>1.610726666793926</v>
      </c>
      <c r="AC128">
        <v>1.902249125012895</v>
      </c>
      <c r="AD128">
        <v>1.902249125012895</v>
      </c>
      <c r="AE128">
        <v>3.0613186193979351</v>
      </c>
      <c r="AF128">
        <v>3.0613186193979351</v>
      </c>
      <c r="AH128">
        <v>1.383854780811816</v>
      </c>
      <c r="AI128">
        <v>1.383854780811816</v>
      </c>
      <c r="AJ128">
        <v>1.383854780811816</v>
      </c>
      <c r="AK128">
        <v>2.44953943239525</v>
      </c>
      <c r="AL128">
        <v>2.44953943239525</v>
      </c>
      <c r="AM128">
        <v>2.2621113488043192</v>
      </c>
      <c r="AN128">
        <v>2.2621113488043192</v>
      </c>
      <c r="AO128">
        <v>1.610726666793926</v>
      </c>
      <c r="AP128">
        <v>1.610726666793926</v>
      </c>
      <c r="AQ128">
        <v>1.1001409164106011</v>
      </c>
      <c r="AR128">
        <v>1.1001409164106011</v>
      </c>
      <c r="AS128">
        <v>3.0613186193979351</v>
      </c>
      <c r="AT128">
        <v>3.0613186193979351</v>
      </c>
      <c r="AV128">
        <v>0</v>
      </c>
    </row>
    <row r="129" spans="1:48" x14ac:dyDescent="0.3">
      <c r="A129">
        <v>9</v>
      </c>
      <c r="B129" t="s">
        <v>170</v>
      </c>
      <c r="C129" t="s">
        <v>163</v>
      </c>
      <c r="D129" t="s">
        <v>164</v>
      </c>
      <c r="E129" s="3">
        <v>0</v>
      </c>
      <c r="F129">
        <v>704739.8</v>
      </c>
      <c r="G129">
        <v>704739.8</v>
      </c>
      <c r="H129">
        <v>704739.8</v>
      </c>
      <c r="I129">
        <v>1898867</v>
      </c>
      <c r="J129">
        <v>1898867</v>
      </c>
      <c r="K129">
        <v>1974849</v>
      </c>
      <c r="L129">
        <v>1974849</v>
      </c>
      <c r="M129">
        <v>444628.2</v>
      </c>
      <c r="N129">
        <v>444628.2</v>
      </c>
      <c r="O129">
        <v>4781045.4000000004</v>
      </c>
      <c r="P129">
        <v>4781045.4000000004</v>
      </c>
      <c r="Q129">
        <v>2653563.6</v>
      </c>
      <c r="R129">
        <v>2653563.6</v>
      </c>
      <c r="T129">
        <v>0.92590430318959993</v>
      </c>
      <c r="U129">
        <v>0.92590430318959993</v>
      </c>
      <c r="V129">
        <v>0.92590430318959993</v>
      </c>
      <c r="W129">
        <v>1.4892128242063341</v>
      </c>
      <c r="X129">
        <v>1.4892128242063341</v>
      </c>
      <c r="Y129">
        <v>1.6922959801915569</v>
      </c>
      <c r="Z129">
        <v>1.6922959801915569</v>
      </c>
      <c r="AA129">
        <v>1.1052903752075509</v>
      </c>
      <c r="AB129">
        <v>1.1052903752075509</v>
      </c>
      <c r="AC129">
        <v>2.3525387189933098</v>
      </c>
      <c r="AD129">
        <v>2.3525387189933098</v>
      </c>
      <c r="AE129">
        <v>3.317654758400749</v>
      </c>
      <c r="AF129">
        <v>3.317654758400749</v>
      </c>
      <c r="AH129">
        <v>0.92590430318959993</v>
      </c>
      <c r="AI129">
        <v>0.92590430318959993</v>
      </c>
      <c r="AJ129">
        <v>0.92590430318959993</v>
      </c>
      <c r="AK129">
        <v>1.4892128242063341</v>
      </c>
      <c r="AL129">
        <v>1.4892128242063341</v>
      </c>
      <c r="AM129">
        <v>1.6922959801915569</v>
      </c>
      <c r="AN129">
        <v>1.6922959801915569</v>
      </c>
      <c r="AO129">
        <v>1.1052903752075509</v>
      </c>
      <c r="AP129">
        <v>1.1052903752075509</v>
      </c>
      <c r="AQ129">
        <v>1.353680848400109</v>
      </c>
      <c r="AR129">
        <v>1.353680848400109</v>
      </c>
      <c r="AS129">
        <v>3.317654758400749</v>
      </c>
      <c r="AT129">
        <v>3.317654758400749</v>
      </c>
      <c r="AV129">
        <v>0</v>
      </c>
    </row>
    <row r="130" spans="1:48" x14ac:dyDescent="0.3">
      <c r="A130">
        <v>9</v>
      </c>
      <c r="B130" t="s">
        <v>171</v>
      </c>
      <c r="C130" t="s">
        <v>163</v>
      </c>
      <c r="D130" t="s">
        <v>164</v>
      </c>
      <c r="E130" s="3">
        <v>0</v>
      </c>
      <c r="F130">
        <v>669079.19999999995</v>
      </c>
      <c r="G130">
        <v>669079.19999999995</v>
      </c>
      <c r="H130">
        <v>669079.19999999995</v>
      </c>
      <c r="I130">
        <v>215294.8</v>
      </c>
      <c r="J130">
        <v>215294.8</v>
      </c>
      <c r="K130">
        <v>229748.6</v>
      </c>
      <c r="L130">
        <v>229748.6</v>
      </c>
      <c r="M130">
        <v>50634.2</v>
      </c>
      <c r="N130">
        <v>50634.2</v>
      </c>
      <c r="O130">
        <v>4163650.2</v>
      </c>
      <c r="P130">
        <v>4163650.2</v>
      </c>
      <c r="Q130">
        <v>545489.80000000005</v>
      </c>
      <c r="R130">
        <v>545489.80000000005</v>
      </c>
      <c r="T130">
        <v>0.79493007660494186</v>
      </c>
      <c r="U130">
        <v>0.79493007660494186</v>
      </c>
      <c r="V130">
        <v>0.79493007660494186</v>
      </c>
      <c r="W130">
        <v>0.59824136119568716</v>
      </c>
      <c r="X130">
        <v>0.59824136119568716</v>
      </c>
      <c r="Y130">
        <v>0.97751589440740649</v>
      </c>
      <c r="Z130">
        <v>0.97751589440740649</v>
      </c>
      <c r="AA130">
        <v>0.15974123480264091</v>
      </c>
      <c r="AB130">
        <v>0.15974123480264091</v>
      </c>
      <c r="AC130">
        <v>1.949011933582369</v>
      </c>
      <c r="AD130">
        <v>1.949011933582369</v>
      </c>
      <c r="AE130">
        <v>1.159908423403976</v>
      </c>
      <c r="AF130">
        <v>1.159908423403976</v>
      </c>
      <c r="AH130">
        <v>0.79493007660494186</v>
      </c>
      <c r="AI130">
        <v>0.79493007660494186</v>
      </c>
      <c r="AJ130">
        <v>0.79493007660494186</v>
      </c>
      <c r="AK130">
        <v>0.59824136119568716</v>
      </c>
      <c r="AL130">
        <v>0.59824136119568716</v>
      </c>
      <c r="AM130">
        <v>0.97751589440740649</v>
      </c>
      <c r="AN130">
        <v>0.97751589440740649</v>
      </c>
      <c r="AO130">
        <v>0.15974123480264091</v>
      </c>
      <c r="AP130">
        <v>0.15974123480264091</v>
      </c>
      <c r="AQ130">
        <v>1.126789045979967</v>
      </c>
      <c r="AR130">
        <v>1.126789045979967</v>
      </c>
      <c r="AS130">
        <v>1.159908423403976</v>
      </c>
      <c r="AT130">
        <v>1.159908423403976</v>
      </c>
      <c r="AV130">
        <v>0</v>
      </c>
    </row>
    <row r="131" spans="1:48" x14ac:dyDescent="0.3">
      <c r="A131">
        <v>10</v>
      </c>
      <c r="B131" t="s">
        <v>172</v>
      </c>
      <c r="C131" t="s">
        <v>173</v>
      </c>
      <c r="D131" t="s">
        <v>174</v>
      </c>
      <c r="E131" s="3">
        <v>0</v>
      </c>
      <c r="F131">
        <v>692437.4</v>
      </c>
      <c r="G131">
        <v>692437.4</v>
      </c>
      <c r="H131">
        <v>692437.4</v>
      </c>
      <c r="I131">
        <v>889109</v>
      </c>
      <c r="J131">
        <v>889109</v>
      </c>
      <c r="K131">
        <v>943430.4</v>
      </c>
      <c r="L131">
        <v>943430.4</v>
      </c>
      <c r="M131">
        <v>660367</v>
      </c>
      <c r="N131">
        <v>660367</v>
      </c>
      <c r="O131">
        <v>3566002.8</v>
      </c>
      <c r="P131">
        <v>3566002.8</v>
      </c>
      <c r="Q131">
        <v>989511.8</v>
      </c>
      <c r="R131">
        <v>989511.8</v>
      </c>
      <c r="T131">
        <v>0.84168955819332036</v>
      </c>
      <c r="U131">
        <v>0.84168955819332036</v>
      </c>
      <c r="V131">
        <v>0.84168955819332036</v>
      </c>
      <c r="W131">
        <v>1.2424021653947419</v>
      </c>
      <c r="X131">
        <v>1.2424021653947419</v>
      </c>
      <c r="Y131">
        <v>1.664184643997578</v>
      </c>
      <c r="Z131">
        <v>1.664184643997578</v>
      </c>
      <c r="AA131">
        <v>1.127350608399138</v>
      </c>
      <c r="AB131">
        <v>1.127350608399138</v>
      </c>
      <c r="AC131">
        <v>1.467431968194433</v>
      </c>
      <c r="AD131">
        <v>1.467431968194433</v>
      </c>
      <c r="AE131">
        <v>3.3760651671909732</v>
      </c>
      <c r="AF131">
        <v>3.3760651671909732</v>
      </c>
      <c r="AH131">
        <v>0.84168955819332036</v>
      </c>
      <c r="AI131">
        <v>0.84168955819332036</v>
      </c>
      <c r="AJ131">
        <v>0.84168955819332036</v>
      </c>
      <c r="AK131">
        <v>1.2424021653947419</v>
      </c>
      <c r="AL131">
        <v>1.2424021653947419</v>
      </c>
      <c r="AM131">
        <v>1.664184643997578</v>
      </c>
      <c r="AN131">
        <v>1.664184643997578</v>
      </c>
      <c r="AO131">
        <v>1.127350608399138</v>
      </c>
      <c r="AP131">
        <v>1.127350608399138</v>
      </c>
      <c r="AQ131">
        <v>0.76095549099263737</v>
      </c>
      <c r="AR131">
        <v>0.76095549099263737</v>
      </c>
      <c r="AS131">
        <v>3.3760651671909732</v>
      </c>
      <c r="AT131">
        <v>3.3760651671909732</v>
      </c>
      <c r="AV131">
        <v>0</v>
      </c>
    </row>
    <row r="132" spans="1:48" x14ac:dyDescent="0.3">
      <c r="A132">
        <v>10</v>
      </c>
      <c r="B132" t="s">
        <v>175</v>
      </c>
      <c r="C132" t="s">
        <v>173</v>
      </c>
      <c r="D132" t="s">
        <v>174</v>
      </c>
      <c r="E132" s="3">
        <v>0</v>
      </c>
      <c r="F132">
        <v>379003.4</v>
      </c>
      <c r="G132">
        <v>379003.4</v>
      </c>
      <c r="H132">
        <v>379003.4</v>
      </c>
      <c r="I132">
        <v>307053</v>
      </c>
      <c r="J132">
        <v>307053</v>
      </c>
      <c r="K132">
        <v>308344.2</v>
      </c>
      <c r="L132">
        <v>308344.2</v>
      </c>
      <c r="M132">
        <v>76846</v>
      </c>
      <c r="N132">
        <v>76846</v>
      </c>
      <c r="O132">
        <v>3565654.6</v>
      </c>
      <c r="P132">
        <v>3565654.6</v>
      </c>
      <c r="Q132">
        <v>207456.8</v>
      </c>
      <c r="R132">
        <v>207456.8</v>
      </c>
      <c r="T132">
        <v>0.60347149540320966</v>
      </c>
      <c r="U132">
        <v>0.60347149540320966</v>
      </c>
      <c r="V132">
        <v>0.60347149540320966</v>
      </c>
      <c r="W132">
        <v>0.62114917279686777</v>
      </c>
      <c r="X132">
        <v>0.62114917279686777</v>
      </c>
      <c r="Y132">
        <v>1.014573476603255</v>
      </c>
      <c r="Z132">
        <v>1.014573476603255</v>
      </c>
      <c r="AA132">
        <v>0.20799044478917489</v>
      </c>
      <c r="AB132">
        <v>0.20799044478917489</v>
      </c>
      <c r="AC132">
        <v>1.494907049014</v>
      </c>
      <c r="AD132">
        <v>1.494907049014</v>
      </c>
      <c r="AE132">
        <v>1.1896688529930539</v>
      </c>
      <c r="AF132">
        <v>1.1896688529930539</v>
      </c>
      <c r="AH132">
        <v>0.60347149540320966</v>
      </c>
      <c r="AI132">
        <v>0.60347149540320966</v>
      </c>
      <c r="AJ132">
        <v>0.60347149540320966</v>
      </c>
      <c r="AK132">
        <v>0.62114917279686777</v>
      </c>
      <c r="AL132">
        <v>0.62114917279686777</v>
      </c>
      <c r="AM132">
        <v>1.014573476603255</v>
      </c>
      <c r="AN132">
        <v>1.014573476603255</v>
      </c>
      <c r="AO132">
        <v>0.20799044478917489</v>
      </c>
      <c r="AP132">
        <v>0.20799044478917489</v>
      </c>
      <c r="AQ132">
        <v>0.78226547880913133</v>
      </c>
      <c r="AR132">
        <v>0.78226547880913133</v>
      </c>
      <c r="AS132">
        <v>1.1896688529930539</v>
      </c>
      <c r="AT132">
        <v>1.1896688529930539</v>
      </c>
      <c r="AV132">
        <v>0</v>
      </c>
    </row>
    <row r="133" spans="1:48" x14ac:dyDescent="0.3">
      <c r="A133">
        <v>10</v>
      </c>
      <c r="B133" t="s">
        <v>176</v>
      </c>
      <c r="C133" t="s">
        <v>173</v>
      </c>
      <c r="D133" t="s">
        <v>174</v>
      </c>
      <c r="E133" s="3">
        <v>0</v>
      </c>
      <c r="F133">
        <v>616800.4</v>
      </c>
      <c r="G133">
        <v>616800.4</v>
      </c>
      <c r="H133">
        <v>616800.4</v>
      </c>
      <c r="I133">
        <v>632884.80000000005</v>
      </c>
      <c r="J133">
        <v>632884.80000000005</v>
      </c>
      <c r="K133">
        <v>667810</v>
      </c>
      <c r="L133">
        <v>667810</v>
      </c>
      <c r="M133">
        <v>444719.8</v>
      </c>
      <c r="N133">
        <v>444719.8</v>
      </c>
      <c r="O133">
        <v>3280068.2</v>
      </c>
      <c r="P133">
        <v>3280068.2</v>
      </c>
      <c r="Q133">
        <v>766603.8</v>
      </c>
      <c r="R133">
        <v>766603.8</v>
      </c>
      <c r="T133">
        <v>0.6342146255949046</v>
      </c>
      <c r="U133">
        <v>0.6342146255949046</v>
      </c>
      <c r="V133">
        <v>0.6342146255949046</v>
      </c>
      <c r="W133">
        <v>0.82640834119520146</v>
      </c>
      <c r="X133">
        <v>0.82640834119520146</v>
      </c>
      <c r="Y133">
        <v>1.369366960204206</v>
      </c>
      <c r="Z133">
        <v>1.369366960204206</v>
      </c>
      <c r="AA133">
        <v>1.1478009725920859</v>
      </c>
      <c r="AB133">
        <v>1.1478009725920859</v>
      </c>
      <c r="AC133">
        <v>1.154339066206012</v>
      </c>
      <c r="AD133">
        <v>1.154339066206012</v>
      </c>
      <c r="AE133">
        <v>2.1191554183955299</v>
      </c>
      <c r="AF133">
        <v>2.1191554183955299</v>
      </c>
      <c r="AH133">
        <v>0.6342146255949046</v>
      </c>
      <c r="AI133">
        <v>0.6342146255949046</v>
      </c>
      <c r="AJ133">
        <v>0.6342146255949046</v>
      </c>
      <c r="AK133">
        <v>0.82640834119520146</v>
      </c>
      <c r="AL133">
        <v>0.82640834119520146</v>
      </c>
      <c r="AM133">
        <v>1.369366960204206</v>
      </c>
      <c r="AN133">
        <v>1.369366960204206</v>
      </c>
      <c r="AO133">
        <v>1.1478009725920859</v>
      </c>
      <c r="AP133">
        <v>1.1478009725920859</v>
      </c>
      <c r="AQ133">
        <v>0.5931024677993264</v>
      </c>
      <c r="AR133">
        <v>0.5931024677993264</v>
      </c>
      <c r="AS133">
        <v>2.1191554183955299</v>
      </c>
      <c r="AT133">
        <v>2.1191554183955299</v>
      </c>
      <c r="AV133">
        <v>0</v>
      </c>
    </row>
    <row r="134" spans="1:48" x14ac:dyDescent="0.3">
      <c r="A134">
        <v>10</v>
      </c>
      <c r="B134" t="s">
        <v>177</v>
      </c>
      <c r="C134" t="s">
        <v>173</v>
      </c>
      <c r="D134" t="s">
        <v>174</v>
      </c>
      <c r="E134" s="3">
        <v>1</v>
      </c>
      <c r="F134">
        <v>710485</v>
      </c>
      <c r="G134">
        <v>710485</v>
      </c>
      <c r="H134">
        <v>710485</v>
      </c>
      <c r="I134">
        <v>203441</v>
      </c>
      <c r="J134">
        <v>203441</v>
      </c>
      <c r="K134">
        <v>215939</v>
      </c>
      <c r="L134">
        <v>215939</v>
      </c>
      <c r="M134">
        <v>136275</v>
      </c>
      <c r="N134">
        <v>136275</v>
      </c>
      <c r="O134">
        <v>3284569.6</v>
      </c>
      <c r="P134">
        <v>3284569.6</v>
      </c>
      <c r="Q134">
        <v>26327.8</v>
      </c>
      <c r="R134">
        <v>26327.8</v>
      </c>
      <c r="T134">
        <v>0.68471922339522284</v>
      </c>
      <c r="U134">
        <v>0.68471922339522284</v>
      </c>
      <c r="V134">
        <v>0.68471922339522284</v>
      </c>
      <c r="W134">
        <v>0.46844365520519199</v>
      </c>
      <c r="X134">
        <v>0.46844365520519199</v>
      </c>
      <c r="Y134">
        <v>0.95743150059715842</v>
      </c>
      <c r="Z134">
        <v>0.95743150059715842</v>
      </c>
      <c r="AA134">
        <v>0.75477015760261568</v>
      </c>
      <c r="AB134">
        <v>0.75477015760261568</v>
      </c>
      <c r="AC134">
        <v>1.1653011897811669</v>
      </c>
      <c r="AD134">
        <v>1.1653011897811669</v>
      </c>
      <c r="AE134">
        <v>0.13181017020251601</v>
      </c>
      <c r="AF134">
        <v>0.13181017020251601</v>
      </c>
      <c r="AH134">
        <v>0.68471922339522284</v>
      </c>
      <c r="AI134">
        <v>0.68471922339522284</v>
      </c>
      <c r="AJ134">
        <v>0.68471922339522284</v>
      </c>
      <c r="AK134">
        <v>0.46844365520519199</v>
      </c>
      <c r="AL134">
        <v>0.46844365520519199</v>
      </c>
      <c r="AM134">
        <v>0.95743150059715842</v>
      </c>
      <c r="AN134">
        <v>0.95743150059715842</v>
      </c>
      <c r="AO134">
        <v>0.75477015760261568</v>
      </c>
      <c r="AP134">
        <v>0.75477015760261568</v>
      </c>
      <c r="AQ134">
        <v>0.59589882478467193</v>
      </c>
      <c r="AR134">
        <v>0.59589882478467193</v>
      </c>
      <c r="AS134">
        <v>0.13181017020251601</v>
      </c>
      <c r="AT134">
        <v>0.13181017020251601</v>
      </c>
      <c r="AV134">
        <v>0</v>
      </c>
    </row>
    <row r="135" spans="1:48" x14ac:dyDescent="0.3">
      <c r="A135">
        <v>10</v>
      </c>
      <c r="B135" t="s">
        <v>178</v>
      </c>
      <c r="C135" t="s">
        <v>173</v>
      </c>
      <c r="D135" t="s">
        <v>174</v>
      </c>
      <c r="E135" s="3">
        <v>1</v>
      </c>
      <c r="F135">
        <v>573448.6</v>
      </c>
      <c r="G135">
        <v>573448.6</v>
      </c>
      <c r="H135">
        <v>573448.6</v>
      </c>
      <c r="I135">
        <v>279969.59999999998</v>
      </c>
      <c r="J135">
        <v>279969.59999999998</v>
      </c>
      <c r="K135">
        <v>333012.8</v>
      </c>
      <c r="L135">
        <v>333012.8</v>
      </c>
      <c r="M135">
        <v>235405.8</v>
      </c>
      <c r="N135">
        <v>235405.8</v>
      </c>
      <c r="O135">
        <v>3167685</v>
      </c>
      <c r="P135">
        <v>3167685</v>
      </c>
      <c r="Q135">
        <v>78718</v>
      </c>
      <c r="R135">
        <v>78718</v>
      </c>
      <c r="T135">
        <v>0.58697823479888034</v>
      </c>
      <c r="U135">
        <v>0.58697823479888034</v>
      </c>
      <c r="V135">
        <v>0.58697823479888034</v>
      </c>
      <c r="W135">
        <v>0.43107609060243701</v>
      </c>
      <c r="X135">
        <v>0.43107609060243701</v>
      </c>
      <c r="Y135">
        <v>1.0284731631923929</v>
      </c>
      <c r="Z135">
        <v>1.0284731631923929</v>
      </c>
      <c r="AA135">
        <v>1.0677420018007979</v>
      </c>
      <c r="AB135">
        <v>1.0677420018007979</v>
      </c>
      <c r="AC135">
        <v>1.1081000457983461</v>
      </c>
      <c r="AD135">
        <v>1.1081000457983461</v>
      </c>
      <c r="AE135">
        <v>0.50615843560080975</v>
      </c>
      <c r="AF135">
        <v>0.50615843560080975</v>
      </c>
      <c r="AH135">
        <v>0.58697823479888034</v>
      </c>
      <c r="AI135">
        <v>0.58697823479888034</v>
      </c>
      <c r="AJ135">
        <v>0.58697823479888034</v>
      </c>
      <c r="AK135">
        <v>0.43107609060243701</v>
      </c>
      <c r="AL135">
        <v>0.43107609060243701</v>
      </c>
      <c r="AM135">
        <v>1.0284731631923929</v>
      </c>
      <c r="AN135">
        <v>1.0284731631923929</v>
      </c>
      <c r="AO135">
        <v>1.0677420018007979</v>
      </c>
      <c r="AP135">
        <v>1.0677420018007979</v>
      </c>
      <c r="AQ135">
        <v>0.58485382200451563</v>
      </c>
      <c r="AR135">
        <v>0.58485382200451563</v>
      </c>
      <c r="AS135">
        <v>0.50615843560080975</v>
      </c>
      <c r="AT135">
        <v>0.50615843560080975</v>
      </c>
      <c r="AV135">
        <v>0</v>
      </c>
    </row>
    <row r="136" spans="1:48" x14ac:dyDescent="0.3">
      <c r="A136">
        <v>10</v>
      </c>
      <c r="B136" t="s">
        <v>179</v>
      </c>
      <c r="C136" t="s">
        <v>173</v>
      </c>
      <c r="D136" t="s">
        <v>174</v>
      </c>
      <c r="E136" s="3">
        <v>0</v>
      </c>
      <c r="F136">
        <v>645231.80000000005</v>
      </c>
      <c r="G136">
        <v>645231.80000000005</v>
      </c>
      <c r="H136">
        <v>645231.80000000005</v>
      </c>
      <c r="I136">
        <v>250970</v>
      </c>
      <c r="J136">
        <v>250970</v>
      </c>
      <c r="K136">
        <v>251859.20000000001</v>
      </c>
      <c r="L136">
        <v>251859.20000000001</v>
      </c>
      <c r="M136">
        <v>200401.6</v>
      </c>
      <c r="N136">
        <v>200401.6</v>
      </c>
      <c r="O136">
        <v>3173087.6</v>
      </c>
      <c r="P136">
        <v>3173087.6</v>
      </c>
      <c r="Q136">
        <v>60342.6</v>
      </c>
      <c r="R136">
        <v>60342.6</v>
      </c>
      <c r="T136">
        <v>0.62635509920655752</v>
      </c>
      <c r="U136">
        <v>0.62635509920655752</v>
      </c>
      <c r="V136">
        <v>0.62635509920655752</v>
      </c>
      <c r="W136">
        <v>0.43251354979583989</v>
      </c>
      <c r="X136">
        <v>0.43251354979583989</v>
      </c>
      <c r="Y136">
        <v>0.97367096879752357</v>
      </c>
      <c r="Z136">
        <v>0.97367096879752357</v>
      </c>
      <c r="AA136">
        <v>1.0525324217916929</v>
      </c>
      <c r="AB136">
        <v>1.0525324217916929</v>
      </c>
      <c r="AC136">
        <v>1.1115523084183221</v>
      </c>
      <c r="AD136">
        <v>1.1115523084183221</v>
      </c>
      <c r="AE136">
        <v>0.33272094660205759</v>
      </c>
      <c r="AF136">
        <v>0.33272094660205759</v>
      </c>
      <c r="AH136">
        <v>0.62635509920655752</v>
      </c>
      <c r="AI136">
        <v>0.62635509920655752</v>
      </c>
      <c r="AJ136">
        <v>0.62635509920655752</v>
      </c>
      <c r="AK136">
        <v>0.43251354979583989</v>
      </c>
      <c r="AL136">
        <v>0.43251354979583989</v>
      </c>
      <c r="AM136">
        <v>0.97367096879752357</v>
      </c>
      <c r="AN136">
        <v>0.97367096879752357</v>
      </c>
      <c r="AO136">
        <v>1.0525324217916929</v>
      </c>
      <c r="AP136">
        <v>1.0525324217916929</v>
      </c>
      <c r="AQ136">
        <v>0.58863224221859123</v>
      </c>
      <c r="AR136">
        <v>0.58863224221859123</v>
      </c>
      <c r="AS136">
        <v>0.33272094660205759</v>
      </c>
      <c r="AT136">
        <v>0.33272094660205759</v>
      </c>
      <c r="AV136">
        <v>0</v>
      </c>
    </row>
    <row r="137" spans="1:48" x14ac:dyDescent="0.3">
      <c r="A137">
        <v>10</v>
      </c>
      <c r="B137" t="s">
        <v>180</v>
      </c>
      <c r="C137" t="s">
        <v>173</v>
      </c>
      <c r="D137" t="s">
        <v>174</v>
      </c>
      <c r="E137" s="3">
        <v>0</v>
      </c>
      <c r="F137">
        <v>248481.2</v>
      </c>
      <c r="G137">
        <v>248481.2</v>
      </c>
      <c r="H137">
        <v>248481.2</v>
      </c>
      <c r="I137">
        <v>199999.2</v>
      </c>
      <c r="J137">
        <v>199999.2</v>
      </c>
      <c r="K137">
        <v>211463.8</v>
      </c>
      <c r="L137">
        <v>211463.8</v>
      </c>
      <c r="M137">
        <v>153187.20000000001</v>
      </c>
      <c r="N137">
        <v>153187.20000000001</v>
      </c>
      <c r="O137">
        <v>2881521.4</v>
      </c>
      <c r="P137">
        <v>2881521.4</v>
      </c>
      <c r="Q137">
        <v>244.2</v>
      </c>
      <c r="R137">
        <v>244.2</v>
      </c>
      <c r="T137">
        <v>0.34157653999864118</v>
      </c>
      <c r="U137">
        <v>0.34157653999864118</v>
      </c>
      <c r="V137">
        <v>0.34157653999864118</v>
      </c>
      <c r="W137">
        <v>0.33795774880563828</v>
      </c>
      <c r="X137">
        <v>0.33795774880563828</v>
      </c>
      <c r="Y137">
        <v>0.95926856579608288</v>
      </c>
      <c r="Z137">
        <v>0.95926856579608288</v>
      </c>
      <c r="AA137">
        <v>1.0500177985988559</v>
      </c>
      <c r="AB137">
        <v>1.0500177985988559</v>
      </c>
      <c r="AC137">
        <v>0.77575137478997935</v>
      </c>
      <c r="AD137">
        <v>0.77575137478997935</v>
      </c>
      <c r="AE137">
        <v>8.770848199492259E-3</v>
      </c>
      <c r="AF137">
        <v>8.770848199492259E-3</v>
      </c>
      <c r="AH137">
        <v>0.34157653999864118</v>
      </c>
      <c r="AI137">
        <v>0.34157653999864118</v>
      </c>
      <c r="AJ137">
        <v>0.34157653999864118</v>
      </c>
      <c r="AK137">
        <v>0.33795774880563828</v>
      </c>
      <c r="AL137">
        <v>0.33795774880563828</v>
      </c>
      <c r="AM137">
        <v>0.95926856579608288</v>
      </c>
      <c r="AN137">
        <v>0.95926856579608288</v>
      </c>
      <c r="AO137">
        <v>1.0500177985988559</v>
      </c>
      <c r="AP137">
        <v>1.0500177985988559</v>
      </c>
      <c r="AQ137">
        <v>0.39306870218715628</v>
      </c>
      <c r="AR137">
        <v>0.39306870218715628</v>
      </c>
      <c r="AS137">
        <v>8.770848199492259E-3</v>
      </c>
      <c r="AT137">
        <v>8.770848199492259E-3</v>
      </c>
      <c r="AV137">
        <v>0</v>
      </c>
    </row>
    <row r="138" spans="1:48" x14ac:dyDescent="0.3">
      <c r="A138">
        <v>10</v>
      </c>
      <c r="B138" t="s">
        <v>181</v>
      </c>
      <c r="C138" t="s">
        <v>173</v>
      </c>
      <c r="D138" t="s">
        <v>174</v>
      </c>
      <c r="E138" s="3">
        <v>0</v>
      </c>
      <c r="F138">
        <v>644744</v>
      </c>
      <c r="G138">
        <v>644744</v>
      </c>
      <c r="H138">
        <v>644744</v>
      </c>
      <c r="I138">
        <v>200025.2</v>
      </c>
      <c r="J138">
        <v>200025.2</v>
      </c>
      <c r="K138">
        <v>221154.2</v>
      </c>
      <c r="L138">
        <v>221154.2</v>
      </c>
      <c r="M138">
        <v>183403.6</v>
      </c>
      <c r="N138">
        <v>183403.6</v>
      </c>
      <c r="O138">
        <v>2879306.8</v>
      </c>
      <c r="P138">
        <v>2879306.8</v>
      </c>
      <c r="Q138">
        <v>1178.5999999999999</v>
      </c>
      <c r="R138">
        <v>1178.5999999999999</v>
      </c>
      <c r="T138">
        <v>0.61486528400564566</v>
      </c>
      <c r="U138">
        <v>0.61486528400564566</v>
      </c>
      <c r="V138">
        <v>0.61486528400564566</v>
      </c>
      <c r="W138">
        <v>0.3482663446047809</v>
      </c>
      <c r="X138">
        <v>0.3482663446047809</v>
      </c>
      <c r="Y138">
        <v>0.96897085119853732</v>
      </c>
      <c r="Z138">
        <v>0.96897085119853732</v>
      </c>
      <c r="AA138">
        <v>1.036702700000024</v>
      </c>
      <c r="AB138">
        <v>1.036702700000024</v>
      </c>
      <c r="AC138">
        <v>0.77475791657925586</v>
      </c>
      <c r="AD138">
        <v>0.77475791657925586</v>
      </c>
      <c r="AE138">
        <v>1.039429620141156E-2</v>
      </c>
      <c r="AF138">
        <v>1.039429620141156E-2</v>
      </c>
      <c r="AH138">
        <v>0.61486528400564566</v>
      </c>
      <c r="AI138">
        <v>0.61486528400564566</v>
      </c>
      <c r="AJ138">
        <v>0.61486528400564566</v>
      </c>
      <c r="AK138">
        <v>0.3482663446047809</v>
      </c>
      <c r="AL138">
        <v>0.3482663446047809</v>
      </c>
      <c r="AM138">
        <v>0.96897085119853732</v>
      </c>
      <c r="AN138">
        <v>0.96897085119853732</v>
      </c>
      <c r="AO138">
        <v>1.036702700000024</v>
      </c>
      <c r="AP138">
        <v>1.036702700000024</v>
      </c>
      <c r="AQ138">
        <v>0.39447215177933692</v>
      </c>
      <c r="AR138">
        <v>0.39447215177933692</v>
      </c>
      <c r="AS138">
        <v>1.039429620141156E-2</v>
      </c>
      <c r="AT138">
        <v>1.039429620141156E-2</v>
      </c>
      <c r="AV138">
        <v>0</v>
      </c>
    </row>
    <row r="139" spans="1:48" x14ac:dyDescent="0.3">
      <c r="A139">
        <v>11</v>
      </c>
      <c r="B139" t="s">
        <v>182</v>
      </c>
      <c r="C139" t="s">
        <v>183</v>
      </c>
      <c r="D139" t="s">
        <v>184</v>
      </c>
      <c r="E139" s="3">
        <v>1</v>
      </c>
      <c r="F139">
        <v>1116677.8</v>
      </c>
      <c r="G139">
        <v>740542.2</v>
      </c>
      <c r="H139">
        <v>764622.4</v>
      </c>
      <c r="I139">
        <v>645227.19999999995</v>
      </c>
      <c r="J139">
        <v>1100065.2</v>
      </c>
      <c r="K139">
        <v>612300.19999999995</v>
      </c>
      <c r="L139">
        <v>1184529.8</v>
      </c>
      <c r="M139">
        <v>848510</v>
      </c>
      <c r="N139">
        <v>616090.4</v>
      </c>
      <c r="O139">
        <v>2921304.4</v>
      </c>
      <c r="P139">
        <v>2247954.4</v>
      </c>
      <c r="Q139">
        <v>663956.6</v>
      </c>
      <c r="R139">
        <v>1149300.8</v>
      </c>
      <c r="T139">
        <v>0.86020502159954049</v>
      </c>
      <c r="U139">
        <v>0.91534120680298658</v>
      </c>
      <c r="V139">
        <v>0.93430682241450991</v>
      </c>
      <c r="W139">
        <v>0.71068219419685197</v>
      </c>
      <c r="X139">
        <v>1.219147809769493</v>
      </c>
      <c r="Y139">
        <v>1.1501539766031781</v>
      </c>
      <c r="Z139">
        <v>1.7681619747774679</v>
      </c>
      <c r="AA139">
        <v>0.94748992979875768</v>
      </c>
      <c r="AB139">
        <v>0.76877044117427429</v>
      </c>
      <c r="AC139">
        <v>0.59130591042339797</v>
      </c>
      <c r="AD139">
        <v>0.82573023018776437</v>
      </c>
      <c r="AE139">
        <v>2.675672596204095</v>
      </c>
      <c r="AF139">
        <v>1.6364053641853391</v>
      </c>
      <c r="AH139">
        <v>0.86020502159954049</v>
      </c>
      <c r="AI139">
        <v>0.4100908828084357</v>
      </c>
      <c r="AJ139">
        <v>0.4270887418068014</v>
      </c>
      <c r="AK139">
        <v>0.71068219419685197</v>
      </c>
      <c r="AL139">
        <v>0.55294187180115839</v>
      </c>
      <c r="AM139">
        <v>1.1501539766031781</v>
      </c>
      <c r="AN139">
        <v>0.59579495879006572</v>
      </c>
      <c r="AO139">
        <v>0.94748992979875768</v>
      </c>
      <c r="AP139">
        <v>0.41917849900200971</v>
      </c>
      <c r="AQ139">
        <v>0.29960268301656467</v>
      </c>
      <c r="AR139">
        <v>0.30469935359433292</v>
      </c>
      <c r="AS139">
        <v>2.675672596204095</v>
      </c>
      <c r="AT139">
        <v>0.92722392019350086</v>
      </c>
      <c r="AV139">
        <v>0.25612180960597469</v>
      </c>
    </row>
    <row r="140" spans="1:48" x14ac:dyDescent="0.3">
      <c r="A140">
        <v>11</v>
      </c>
      <c r="B140" t="s">
        <v>185</v>
      </c>
      <c r="C140" t="s">
        <v>183</v>
      </c>
      <c r="D140" t="s">
        <v>184</v>
      </c>
      <c r="E140" s="3">
        <v>0</v>
      </c>
      <c r="F140">
        <v>221783.6</v>
      </c>
      <c r="G140">
        <v>1187332.2</v>
      </c>
      <c r="H140">
        <v>1201886.6000000001</v>
      </c>
      <c r="I140">
        <v>223469.4</v>
      </c>
      <c r="J140">
        <v>2389759.4</v>
      </c>
      <c r="K140">
        <v>216320.8</v>
      </c>
      <c r="L140">
        <v>2519149.2000000002</v>
      </c>
      <c r="M140">
        <v>24139.4</v>
      </c>
      <c r="N140">
        <v>1796858.8</v>
      </c>
      <c r="O140">
        <v>2923595</v>
      </c>
      <c r="P140">
        <v>2272802.6</v>
      </c>
      <c r="Q140">
        <v>40470.400000000001</v>
      </c>
      <c r="R140">
        <v>2589242</v>
      </c>
      <c r="T140">
        <v>0.31325561859994189</v>
      </c>
      <c r="U140">
        <v>1.2918845820124261</v>
      </c>
      <c r="V140">
        <v>1.2913084956002421</v>
      </c>
      <c r="W140">
        <v>0.34405014340300111</v>
      </c>
      <c r="X140">
        <v>1.877550915413303</v>
      </c>
      <c r="Y140">
        <v>0.89160525000188495</v>
      </c>
      <c r="Z140">
        <v>2.4388795185892378</v>
      </c>
      <c r="AA140">
        <v>0.13497145940782501</v>
      </c>
      <c r="AB140">
        <v>1.642365613026777</v>
      </c>
      <c r="AC140">
        <v>0.6056150041928049</v>
      </c>
      <c r="AD140">
        <v>0.83953804762568329</v>
      </c>
      <c r="AE140">
        <v>0.11376588360290039</v>
      </c>
      <c r="AF140">
        <v>2.9729027102177499</v>
      </c>
      <c r="AH140">
        <v>0.31325561859994189</v>
      </c>
      <c r="AI140">
        <v>0.46601237979484722</v>
      </c>
      <c r="AJ140">
        <v>0.47885884859715588</v>
      </c>
      <c r="AK140">
        <v>0.34405014340300111</v>
      </c>
      <c r="AL140">
        <v>0.60859959600493307</v>
      </c>
      <c r="AM140">
        <v>0.89160525000188495</v>
      </c>
      <c r="AN140">
        <v>0.68832222039927726</v>
      </c>
      <c r="AO140">
        <v>0.13497145940782501</v>
      </c>
      <c r="AP140">
        <v>0.61147475079633296</v>
      </c>
      <c r="AQ140">
        <v>0.3051501541922334</v>
      </c>
      <c r="AR140">
        <v>0.31215934281353841</v>
      </c>
      <c r="AS140">
        <v>0.11376588360290039</v>
      </c>
      <c r="AT140">
        <v>1.6046629538061099</v>
      </c>
      <c r="AV140">
        <v>0.25545400619739672</v>
      </c>
    </row>
    <row r="141" spans="1:48" x14ac:dyDescent="0.3">
      <c r="A141">
        <v>11</v>
      </c>
      <c r="B141" t="s">
        <v>186</v>
      </c>
      <c r="C141" t="s">
        <v>183</v>
      </c>
      <c r="D141" t="s">
        <v>184</v>
      </c>
      <c r="E141" s="3">
        <v>0</v>
      </c>
      <c r="F141">
        <v>202423.8</v>
      </c>
      <c r="G141">
        <v>1144548.8</v>
      </c>
      <c r="H141">
        <v>1153781.2</v>
      </c>
      <c r="I141">
        <v>200001.6</v>
      </c>
      <c r="J141">
        <v>2696573</v>
      </c>
      <c r="K141">
        <v>200069</v>
      </c>
      <c r="L141">
        <v>2820490.8</v>
      </c>
      <c r="M141">
        <v>9.4</v>
      </c>
      <c r="N141">
        <v>1688884.6</v>
      </c>
      <c r="O141">
        <v>2922651.4</v>
      </c>
      <c r="P141">
        <v>2271583.4</v>
      </c>
      <c r="Q141">
        <v>476.4</v>
      </c>
      <c r="R141">
        <v>2993068.2</v>
      </c>
      <c r="T141">
        <v>0.24795654379413459</v>
      </c>
      <c r="U141">
        <v>1.3273154191963841</v>
      </c>
      <c r="V141">
        <v>1.296037587797036</v>
      </c>
      <c r="W141">
        <v>0.27662066759658038</v>
      </c>
      <c r="X141">
        <v>2.14029063458438</v>
      </c>
      <c r="Y141">
        <v>0.87559139520162721</v>
      </c>
      <c r="Z141">
        <v>2.59250635758508</v>
      </c>
      <c r="AA141">
        <v>8.5061871592188226E-2</v>
      </c>
      <c r="AB141">
        <v>1.6520809773821381</v>
      </c>
      <c r="AC141">
        <v>0.59235792038962243</v>
      </c>
      <c r="AD141">
        <v>0.81966874100617138</v>
      </c>
      <c r="AE141">
        <v>5.4014830093364798E-3</v>
      </c>
      <c r="AF141">
        <v>3.3277091217925769</v>
      </c>
      <c r="AH141">
        <v>0.24795654379413459</v>
      </c>
      <c r="AI141">
        <v>0.51780602580402046</v>
      </c>
      <c r="AJ141">
        <v>0.48570855500875038</v>
      </c>
      <c r="AK141">
        <v>0.27662066759658038</v>
      </c>
      <c r="AL141">
        <v>0.68704813818912958</v>
      </c>
      <c r="AM141">
        <v>0.87559139520162721</v>
      </c>
      <c r="AN141">
        <v>0.76519348039291801</v>
      </c>
      <c r="AO141">
        <v>8.5061871592188226E-2</v>
      </c>
      <c r="AP141">
        <v>0.61669061859138308</v>
      </c>
      <c r="AQ141">
        <v>0.30214981759199872</v>
      </c>
      <c r="AR141">
        <v>0.29871297000208868</v>
      </c>
      <c r="AS141">
        <v>5.4014830093364798E-3</v>
      </c>
      <c r="AT141">
        <v>1.8131117215962149</v>
      </c>
      <c r="AV141">
        <v>0.28195198979228731</v>
      </c>
    </row>
    <row r="142" spans="1:48" x14ac:dyDescent="0.3">
      <c r="A142">
        <v>11</v>
      </c>
      <c r="B142" t="s">
        <v>187</v>
      </c>
      <c r="C142" t="s">
        <v>183</v>
      </c>
      <c r="D142" t="s">
        <v>184</v>
      </c>
      <c r="E142" s="3">
        <v>1</v>
      </c>
      <c r="F142">
        <v>670520.4</v>
      </c>
      <c r="G142">
        <v>723791.4</v>
      </c>
      <c r="H142">
        <v>727013.2</v>
      </c>
      <c r="I142">
        <v>531619.6</v>
      </c>
      <c r="J142">
        <v>1144561.3999999999</v>
      </c>
      <c r="K142">
        <v>626329.59999999998</v>
      </c>
      <c r="L142">
        <v>1195235</v>
      </c>
      <c r="M142">
        <v>238373</v>
      </c>
      <c r="N142">
        <v>528201</v>
      </c>
      <c r="O142">
        <v>2919608</v>
      </c>
      <c r="P142">
        <v>2254390</v>
      </c>
      <c r="Q142">
        <v>1059873.6000000001</v>
      </c>
      <c r="R142">
        <v>1157846.6000000001</v>
      </c>
      <c r="T142">
        <v>0.59947868580347863</v>
      </c>
      <c r="U142">
        <v>0.93740425044088627</v>
      </c>
      <c r="V142">
        <v>0.92131378281046639</v>
      </c>
      <c r="W142">
        <v>0.59692421080544589</v>
      </c>
      <c r="X142">
        <v>1.254552708979463</v>
      </c>
      <c r="Y142">
        <v>1.1488472706056201</v>
      </c>
      <c r="Z142">
        <v>1.786000033013988</v>
      </c>
      <c r="AA142">
        <v>0.45302260239841419</v>
      </c>
      <c r="AB142">
        <v>0.70722987881745214</v>
      </c>
      <c r="AC142">
        <v>0.5962124052224681</v>
      </c>
      <c r="AD142">
        <v>0.82508489557076248</v>
      </c>
      <c r="AE142">
        <v>2.7855765333981251</v>
      </c>
      <c r="AF142">
        <v>1.6249674169928769</v>
      </c>
      <c r="AH142">
        <v>0.59947868580347863</v>
      </c>
      <c r="AI142">
        <v>0.46349106381530869</v>
      </c>
      <c r="AJ142">
        <v>0.45673899201210588</v>
      </c>
      <c r="AK142">
        <v>0.59692421080544589</v>
      </c>
      <c r="AL142">
        <v>0.57688875058665867</v>
      </c>
      <c r="AM142">
        <v>1.1488472706056201</v>
      </c>
      <c r="AN142">
        <v>0.6275952904019505</v>
      </c>
      <c r="AO142">
        <v>0.45302260239841419</v>
      </c>
      <c r="AP142">
        <v>0.42559803139884023</v>
      </c>
      <c r="AQ142">
        <v>0.30181096642045302</v>
      </c>
      <c r="AR142">
        <v>0.30464262338937259</v>
      </c>
      <c r="AS142">
        <v>2.7855765333981251</v>
      </c>
      <c r="AT142">
        <v>0.94336248059407812</v>
      </c>
      <c r="AV142">
        <v>0.26062871420872391</v>
      </c>
    </row>
    <row r="143" spans="1:48" x14ac:dyDescent="0.3">
      <c r="A143">
        <v>11</v>
      </c>
      <c r="B143" t="s">
        <v>188</v>
      </c>
      <c r="C143" t="s">
        <v>189</v>
      </c>
      <c r="D143" t="s">
        <v>190</v>
      </c>
      <c r="E143" s="3">
        <v>0</v>
      </c>
      <c r="F143">
        <v>1978216.8</v>
      </c>
      <c r="G143">
        <v>1963474.2</v>
      </c>
      <c r="H143">
        <v>2162341.6</v>
      </c>
      <c r="I143">
        <v>4631787.2</v>
      </c>
      <c r="J143">
        <v>975080.4</v>
      </c>
      <c r="K143">
        <v>4353468.2</v>
      </c>
      <c r="L143">
        <v>1040422.6</v>
      </c>
      <c r="M143">
        <v>4256270</v>
      </c>
      <c r="N143">
        <v>1589781.4</v>
      </c>
      <c r="O143">
        <v>4770700</v>
      </c>
      <c r="P143">
        <v>3802126</v>
      </c>
      <c r="Q143">
        <v>2822356.8</v>
      </c>
      <c r="R143">
        <v>838591.4</v>
      </c>
      <c r="T143">
        <v>1.894298433396034</v>
      </c>
      <c r="U143">
        <v>1.8315187933796551</v>
      </c>
      <c r="V143">
        <v>1.904752374388045</v>
      </c>
      <c r="W143">
        <v>3.756615630193846</v>
      </c>
      <c r="X143">
        <v>1.446939857420511</v>
      </c>
      <c r="Y143">
        <v>3.7878524830040989</v>
      </c>
      <c r="Z143">
        <v>1.793204962986056</v>
      </c>
      <c r="AA143">
        <v>3.568034373800038</v>
      </c>
      <c r="AB143">
        <v>1.566115443018498</v>
      </c>
      <c r="AC143">
        <v>2.4002615733945278</v>
      </c>
      <c r="AD143">
        <v>2.3922966506215739</v>
      </c>
      <c r="AE143">
        <v>3.6968562480004041</v>
      </c>
      <c r="AF143">
        <v>3.1029123463842549</v>
      </c>
      <c r="AH143">
        <v>1.894298433396034</v>
      </c>
      <c r="AI143">
        <v>0.67130931499414148</v>
      </c>
      <c r="AJ143">
        <v>0.7624432174081448</v>
      </c>
      <c r="AK143">
        <v>3.756615630193846</v>
      </c>
      <c r="AL143">
        <v>0.56373339720885274</v>
      </c>
      <c r="AM143">
        <v>3.7878524830040989</v>
      </c>
      <c r="AN143">
        <v>0.57626797819975761</v>
      </c>
      <c r="AO143">
        <v>3.568034373800038</v>
      </c>
      <c r="AP143">
        <v>0.61618269999744368</v>
      </c>
      <c r="AQ143">
        <v>1.3525586407980881</v>
      </c>
      <c r="AR143">
        <v>0.46698331920197228</v>
      </c>
      <c r="AS143">
        <v>3.6968562480004041</v>
      </c>
      <c r="AT143">
        <v>1.9296528734033931</v>
      </c>
      <c r="AV143">
        <v>0.25558152238954779</v>
      </c>
    </row>
    <row r="144" spans="1:48" x14ac:dyDescent="0.3">
      <c r="A144">
        <v>11</v>
      </c>
      <c r="B144" t="s">
        <v>191</v>
      </c>
      <c r="C144" t="s">
        <v>189</v>
      </c>
      <c r="D144" t="s">
        <v>190</v>
      </c>
      <c r="E144" s="3">
        <v>0</v>
      </c>
      <c r="F144">
        <v>499564.79999999999</v>
      </c>
      <c r="G144">
        <v>2599454</v>
      </c>
      <c r="H144">
        <v>2629800.2000000002</v>
      </c>
      <c r="I144">
        <v>223950</v>
      </c>
      <c r="J144">
        <v>1608344.2</v>
      </c>
      <c r="K144">
        <v>249411.8</v>
      </c>
      <c r="L144">
        <v>2044939.2</v>
      </c>
      <c r="M144">
        <v>236550.8</v>
      </c>
      <c r="N144">
        <v>2255496.2000000002</v>
      </c>
      <c r="O144">
        <v>4027835.8</v>
      </c>
      <c r="P144">
        <v>4273054.5999999996</v>
      </c>
      <c r="Q144">
        <v>135743.4</v>
      </c>
      <c r="R144">
        <v>1251693.3999999999</v>
      </c>
      <c r="T144">
        <v>0.7211916108091827</v>
      </c>
      <c r="U144">
        <v>2.440484803443542</v>
      </c>
      <c r="V144">
        <v>2.41619109698222</v>
      </c>
      <c r="W144">
        <v>0.6674250483920332</v>
      </c>
      <c r="X144">
        <v>2.258767392789014</v>
      </c>
      <c r="Y144">
        <v>0.97598384759039614</v>
      </c>
      <c r="Z144">
        <v>2.5388291218201631</v>
      </c>
      <c r="AA144">
        <v>0.45474740320350981</v>
      </c>
      <c r="AB144">
        <v>2.3602830654010178</v>
      </c>
      <c r="AC144">
        <v>1.7520785436034201</v>
      </c>
      <c r="AD144">
        <v>2.7486004676611628</v>
      </c>
      <c r="AE144">
        <v>0.38088678920175878</v>
      </c>
      <c r="AF144">
        <v>5.0759286250104196</v>
      </c>
      <c r="AH144">
        <v>0.7211916108091827</v>
      </c>
      <c r="AI144">
        <v>0.8538525264011696</v>
      </c>
      <c r="AJ144">
        <v>0.8382601109915413</v>
      </c>
      <c r="AK144">
        <v>0.6674250483920332</v>
      </c>
      <c r="AL144">
        <v>0.8699849150027148</v>
      </c>
      <c r="AM144">
        <v>0.97598384759039614</v>
      </c>
      <c r="AN144">
        <v>0.91492137020686637</v>
      </c>
      <c r="AO144">
        <v>0.45474740320350981</v>
      </c>
      <c r="AP144">
        <v>0.84047905839979653</v>
      </c>
      <c r="AQ144">
        <v>1.0487940818013159</v>
      </c>
      <c r="AR144">
        <v>0.54499315560096873</v>
      </c>
      <c r="AS144">
        <v>0.38088678920175878</v>
      </c>
      <c r="AT144">
        <v>3.8375770944054239</v>
      </c>
      <c r="AV144">
        <v>0.27653458580607537</v>
      </c>
    </row>
    <row r="145" spans="1:48" x14ac:dyDescent="0.3">
      <c r="A145">
        <v>11</v>
      </c>
      <c r="B145" t="s">
        <v>192</v>
      </c>
      <c r="C145" t="s">
        <v>189</v>
      </c>
      <c r="D145" t="s">
        <v>190</v>
      </c>
      <c r="E145" s="3">
        <v>0</v>
      </c>
      <c r="F145">
        <v>6392518.2000000002</v>
      </c>
      <c r="G145">
        <v>5724482.4000000004</v>
      </c>
      <c r="H145">
        <v>5871146.7999999998</v>
      </c>
      <c r="I145">
        <v>32522794.600000001</v>
      </c>
      <c r="J145">
        <v>2453583.4</v>
      </c>
      <c r="K145">
        <v>37779510.200000003</v>
      </c>
      <c r="L145">
        <v>2983071.4</v>
      </c>
      <c r="M145">
        <v>13724934.199999999</v>
      </c>
      <c r="N145">
        <v>5929097.4000000004</v>
      </c>
      <c r="O145">
        <v>4309289.2</v>
      </c>
      <c r="P145">
        <v>4396036.8</v>
      </c>
      <c r="Q145">
        <v>28321760.800000001</v>
      </c>
      <c r="R145">
        <v>2105741.7999999998</v>
      </c>
      <c r="T145">
        <v>5.6484620895935223</v>
      </c>
      <c r="U145">
        <v>4.4610552960017227</v>
      </c>
      <c r="V145">
        <v>4.5272340096009431</v>
      </c>
      <c r="W145">
        <v>32.269367222598518</v>
      </c>
      <c r="X145">
        <v>3.2104092567635241</v>
      </c>
      <c r="Y145">
        <v>38.161383141402617</v>
      </c>
      <c r="Z145">
        <v>3.4712541105807762</v>
      </c>
      <c r="AA145">
        <v>10.07796056740335</v>
      </c>
      <c r="AB145">
        <v>5.0163777039968407</v>
      </c>
      <c r="AC145">
        <v>2.017665658990154</v>
      </c>
      <c r="AD145">
        <v>2.873461266007507</v>
      </c>
      <c r="AE145">
        <v>13.12715892959968</v>
      </c>
      <c r="AF145">
        <v>6.8278872819733802</v>
      </c>
      <c r="AH145">
        <v>5.6484620895935223</v>
      </c>
      <c r="AI145">
        <v>1.447080185986124</v>
      </c>
      <c r="AJ145">
        <v>1.527452733996324</v>
      </c>
      <c r="AK145">
        <v>32.269367222598518</v>
      </c>
      <c r="AL145">
        <v>1.139237286784919</v>
      </c>
      <c r="AM145">
        <v>38.161383141402617</v>
      </c>
      <c r="AN145">
        <v>1.1672039365919771</v>
      </c>
      <c r="AO145">
        <v>10.07796056740335</v>
      </c>
      <c r="AP145">
        <v>1.400714365189196</v>
      </c>
      <c r="AQ145">
        <v>1.1242261723906271</v>
      </c>
      <c r="AR145">
        <v>0.52678711138432843</v>
      </c>
      <c r="AS145">
        <v>13.12715892959968</v>
      </c>
      <c r="AT145">
        <v>5.3166461503948081</v>
      </c>
      <c r="AV145">
        <v>0.25408048038952979</v>
      </c>
    </row>
    <row r="146" spans="1:48" x14ac:dyDescent="0.3">
      <c r="A146">
        <v>11</v>
      </c>
      <c r="B146" t="s">
        <v>193</v>
      </c>
      <c r="C146" t="s">
        <v>189</v>
      </c>
      <c r="D146" t="s">
        <v>190</v>
      </c>
      <c r="E146" s="3">
        <v>1</v>
      </c>
      <c r="F146">
        <v>2532361.2000000002</v>
      </c>
      <c r="G146">
        <v>2446971.2000000002</v>
      </c>
      <c r="H146">
        <v>2462905.2000000002</v>
      </c>
      <c r="I146">
        <v>4488034.8</v>
      </c>
      <c r="J146">
        <v>1274912.6000000001</v>
      </c>
      <c r="K146">
        <v>2765083.4</v>
      </c>
      <c r="L146">
        <v>1387099.2</v>
      </c>
      <c r="M146">
        <v>9560862.1999999993</v>
      </c>
      <c r="N146">
        <v>2066510.4</v>
      </c>
      <c r="O146">
        <v>4508969.5999999996</v>
      </c>
      <c r="P146">
        <v>3737105.6</v>
      </c>
      <c r="Q146">
        <v>7816182.5999999996</v>
      </c>
      <c r="R146">
        <v>1145920.2</v>
      </c>
      <c r="T146">
        <v>2.3331313785980461</v>
      </c>
      <c r="U146">
        <v>2.1957587134034839</v>
      </c>
      <c r="V146">
        <v>2.1846146571915601</v>
      </c>
      <c r="W146">
        <v>2.694923205598025</v>
      </c>
      <c r="X146">
        <v>1.718659589788877</v>
      </c>
      <c r="Y146">
        <v>2.031192733993521</v>
      </c>
      <c r="Z146">
        <v>2.0377939878089819</v>
      </c>
      <c r="AA146">
        <v>5.5097130205947904</v>
      </c>
      <c r="AB146">
        <v>1.891603928996483</v>
      </c>
      <c r="AC146">
        <v>2.1664112144033418</v>
      </c>
      <c r="AD146">
        <v>2.323175603209529</v>
      </c>
      <c r="AE146">
        <v>4.5133458997996057</v>
      </c>
      <c r="AF146">
        <v>3.517376606835751</v>
      </c>
      <c r="AH146">
        <v>2.3331313785980461</v>
      </c>
      <c r="AI146">
        <v>0.82338042080518792</v>
      </c>
      <c r="AJ146">
        <v>0.82125008258735765</v>
      </c>
      <c r="AK146">
        <v>2.694923205598025</v>
      </c>
      <c r="AL146">
        <v>0.65038442219956782</v>
      </c>
      <c r="AM146">
        <v>2.031192733993521</v>
      </c>
      <c r="AN146">
        <v>0.63283622539020146</v>
      </c>
      <c r="AO146">
        <v>5.5097130205947904</v>
      </c>
      <c r="AP146">
        <v>0.75576455040136348</v>
      </c>
      <c r="AQ146">
        <v>1.26213676200714</v>
      </c>
      <c r="AR146">
        <v>0.48269743622513489</v>
      </c>
      <c r="AS146">
        <v>4.5133458997996057</v>
      </c>
      <c r="AT146">
        <v>2.1856019914208451</v>
      </c>
      <c r="AV146">
        <v>0.25874228079919698</v>
      </c>
    </row>
    <row r="147" spans="1:48" x14ac:dyDescent="0.3">
      <c r="A147">
        <v>11</v>
      </c>
      <c r="B147" t="s">
        <v>194</v>
      </c>
      <c r="C147" t="s">
        <v>189</v>
      </c>
      <c r="D147" t="s">
        <v>190</v>
      </c>
      <c r="E147" s="3">
        <v>1</v>
      </c>
      <c r="F147">
        <v>3500491.2</v>
      </c>
      <c r="G147">
        <v>2536951.4</v>
      </c>
      <c r="H147">
        <v>2780223.8</v>
      </c>
      <c r="I147">
        <v>18198348.600000001</v>
      </c>
      <c r="J147">
        <v>1092610.3999999999</v>
      </c>
      <c r="K147">
        <v>20539240.800000001</v>
      </c>
      <c r="L147">
        <v>1147827.6000000001</v>
      </c>
      <c r="M147">
        <v>13410366</v>
      </c>
      <c r="N147">
        <v>2775902</v>
      </c>
      <c r="O147">
        <v>4777285.4000000004</v>
      </c>
      <c r="P147">
        <v>3817361.4</v>
      </c>
      <c r="Q147">
        <v>24823075.199999999</v>
      </c>
      <c r="R147">
        <v>1725425.4</v>
      </c>
      <c r="T147">
        <v>3.093942904402502</v>
      </c>
      <c r="U147">
        <v>2.233400468586479</v>
      </c>
      <c r="V147">
        <v>2.3149718458473219</v>
      </c>
      <c r="W147">
        <v>7.2846674983971749</v>
      </c>
      <c r="X147">
        <v>1.4898635760473551</v>
      </c>
      <c r="Y147">
        <v>8.3444877645990339</v>
      </c>
      <c r="Z147">
        <v>1.7681913053907921</v>
      </c>
      <c r="AA147">
        <v>8.9011401673953507</v>
      </c>
      <c r="AB147">
        <v>2.2990502986009229</v>
      </c>
      <c r="AC147">
        <v>2.3981886350142299</v>
      </c>
      <c r="AD147">
        <v>2.405602705321507</v>
      </c>
      <c r="AE147">
        <v>8.0891704444016792</v>
      </c>
      <c r="AF147">
        <v>3.9042731536261268</v>
      </c>
      <c r="AH147">
        <v>3.093942904402502</v>
      </c>
      <c r="AI147">
        <v>0.78407763539580633</v>
      </c>
      <c r="AJ147">
        <v>0.88033373061916786</v>
      </c>
      <c r="AK147">
        <v>7.2846674983971749</v>
      </c>
      <c r="AL147">
        <v>0.54220084279659209</v>
      </c>
      <c r="AM147">
        <v>8.3444877645990339</v>
      </c>
      <c r="AN147">
        <v>0.55726038939901623</v>
      </c>
      <c r="AO147">
        <v>8.9011401673953507</v>
      </c>
      <c r="AP147">
        <v>0.83611589619540605</v>
      </c>
      <c r="AQ147">
        <v>1.3479093462112359</v>
      </c>
      <c r="AR147">
        <v>0.46741917763138191</v>
      </c>
      <c r="AS147">
        <v>8.0891704444016792</v>
      </c>
      <c r="AT147">
        <v>2.4502634730131829</v>
      </c>
      <c r="AV147">
        <v>0.26686227500322268</v>
      </c>
    </row>
    <row r="148" spans="1:48" x14ac:dyDescent="0.3">
      <c r="A148">
        <v>11</v>
      </c>
      <c r="B148" t="s">
        <v>195</v>
      </c>
      <c r="C148" t="s">
        <v>189</v>
      </c>
      <c r="D148" t="s">
        <v>190</v>
      </c>
      <c r="E148" s="3">
        <v>0</v>
      </c>
      <c r="F148">
        <v>1958632.2</v>
      </c>
      <c r="G148">
        <v>4477178.8</v>
      </c>
      <c r="H148">
        <v>4549833.8</v>
      </c>
      <c r="I148">
        <v>3704771.6</v>
      </c>
      <c r="J148">
        <v>1529863.6</v>
      </c>
      <c r="K148">
        <v>1818108.6</v>
      </c>
      <c r="L148">
        <v>1632030.2</v>
      </c>
      <c r="M148">
        <v>3937534.6</v>
      </c>
      <c r="N148">
        <v>5536260.4000000004</v>
      </c>
      <c r="O148">
        <v>4043405.6</v>
      </c>
      <c r="P148">
        <v>4305579.4000000004</v>
      </c>
      <c r="Q148">
        <v>4720950</v>
      </c>
      <c r="R148">
        <v>2285564.4</v>
      </c>
      <c r="T148">
        <v>2.0323102659953292</v>
      </c>
      <c r="U148">
        <v>3.626022267219378</v>
      </c>
      <c r="V148">
        <v>3.629832209571032</v>
      </c>
      <c r="W148">
        <v>4.4157483717950523</v>
      </c>
      <c r="X148">
        <v>2.2107749295944812</v>
      </c>
      <c r="Y148">
        <v>2.5433093884028488</v>
      </c>
      <c r="Z148">
        <v>2.1825046997924802</v>
      </c>
      <c r="AA148">
        <v>4.1931662529881581</v>
      </c>
      <c r="AB148">
        <v>4.2031051986501549</v>
      </c>
      <c r="AC148">
        <v>1.7860424777958539</v>
      </c>
      <c r="AD148">
        <v>2.8087327382876541</v>
      </c>
      <c r="AE148">
        <v>4.4827700761845337</v>
      </c>
      <c r="AF148">
        <v>6.1787767521745991</v>
      </c>
      <c r="AH148">
        <v>2.0323102659953292</v>
      </c>
      <c r="AI148">
        <v>1.176593960996251</v>
      </c>
      <c r="AJ148">
        <v>1.1971515941899269</v>
      </c>
      <c r="AK148">
        <v>4.4157483717950523</v>
      </c>
      <c r="AL148">
        <v>0.80623967860592527</v>
      </c>
      <c r="AM148">
        <v>2.5433093884028488</v>
      </c>
      <c r="AN148">
        <v>0.7033008902042639</v>
      </c>
      <c r="AO148">
        <v>4.1931662529881581</v>
      </c>
      <c r="AP148">
        <v>1.376559367007576</v>
      </c>
      <c r="AQ148">
        <v>1.067926342593273</v>
      </c>
      <c r="AR148">
        <v>0.55964038720703679</v>
      </c>
      <c r="AS148">
        <v>4.4827700761845337</v>
      </c>
      <c r="AT148">
        <v>4.6087478401837867</v>
      </c>
      <c r="AV148">
        <v>0.2692468017921783</v>
      </c>
    </row>
    <row r="149" spans="1:48" x14ac:dyDescent="0.3">
      <c r="A149">
        <v>11</v>
      </c>
      <c r="B149" t="s">
        <v>196</v>
      </c>
      <c r="C149" t="s">
        <v>189</v>
      </c>
      <c r="D149" t="s">
        <v>190</v>
      </c>
      <c r="E149" s="3">
        <v>0</v>
      </c>
      <c r="F149">
        <v>205994.4</v>
      </c>
      <c r="G149">
        <v>2595495</v>
      </c>
      <c r="H149">
        <v>2614946.6</v>
      </c>
      <c r="I149">
        <v>201888.4</v>
      </c>
      <c r="J149">
        <v>1344199</v>
      </c>
      <c r="K149">
        <v>202430.4</v>
      </c>
      <c r="L149">
        <v>1506283.2</v>
      </c>
      <c r="M149">
        <v>1083</v>
      </c>
      <c r="N149">
        <v>3244600.4</v>
      </c>
      <c r="O149">
        <v>4281782</v>
      </c>
      <c r="P149">
        <v>4348390</v>
      </c>
      <c r="Q149">
        <v>6643.6</v>
      </c>
      <c r="R149">
        <v>1361613.6</v>
      </c>
      <c r="T149">
        <v>0.36993604919989592</v>
      </c>
      <c r="U149">
        <v>2.476530582999112</v>
      </c>
      <c r="V149">
        <v>2.4600015042000449</v>
      </c>
      <c r="W149">
        <v>0.42656575340079139</v>
      </c>
      <c r="X149">
        <v>2.1665054721932391</v>
      </c>
      <c r="Y149">
        <v>0.94084562580101194</v>
      </c>
      <c r="Z149">
        <v>2.1590139046078551</v>
      </c>
      <c r="AA149">
        <v>8.827716859523202E-2</v>
      </c>
      <c r="AB149">
        <v>2.775211433001096</v>
      </c>
      <c r="AC149">
        <v>1.9982335092267021</v>
      </c>
      <c r="AD149">
        <v>2.833586256718263</v>
      </c>
      <c r="AE149">
        <v>3.6928844399517338E-2</v>
      </c>
      <c r="AF149">
        <v>5.0721217917860484</v>
      </c>
      <c r="AH149">
        <v>0.36993604919989592</v>
      </c>
      <c r="AI149">
        <v>0.82259468418778847</v>
      </c>
      <c r="AJ149">
        <v>0.82011543820262889</v>
      </c>
      <c r="AK149">
        <v>0.42656575340079139</v>
      </c>
      <c r="AL149">
        <v>0.742196995211998</v>
      </c>
      <c r="AM149">
        <v>0.94084562580101194</v>
      </c>
      <c r="AN149">
        <v>0.6868513989960775</v>
      </c>
      <c r="AO149">
        <v>8.827716859523202E-2</v>
      </c>
      <c r="AP149">
        <v>0.98003271599300201</v>
      </c>
      <c r="AQ149">
        <v>1.1217013088229579</v>
      </c>
      <c r="AR149">
        <v>0.52156022155540993</v>
      </c>
      <c r="AS149">
        <v>3.6928844399517338E-2</v>
      </c>
      <c r="AT149">
        <v>3.7804055821907241</v>
      </c>
      <c r="AV149">
        <v>0.26335767139680683</v>
      </c>
    </row>
    <row r="150" spans="1:48" x14ac:dyDescent="0.3">
      <c r="A150">
        <v>11</v>
      </c>
      <c r="B150" t="s">
        <v>197</v>
      </c>
      <c r="C150" t="s">
        <v>189</v>
      </c>
      <c r="D150" t="s">
        <v>190</v>
      </c>
      <c r="E150" s="3">
        <v>0</v>
      </c>
      <c r="F150">
        <v>1751655</v>
      </c>
      <c r="G150">
        <v>1985752.2</v>
      </c>
      <c r="H150">
        <v>2032852.6</v>
      </c>
      <c r="I150">
        <v>13007666</v>
      </c>
      <c r="J150">
        <v>937379.6</v>
      </c>
      <c r="K150">
        <v>12758596.6</v>
      </c>
      <c r="L150">
        <v>1025620</v>
      </c>
      <c r="M150">
        <v>2577124.7999999998</v>
      </c>
      <c r="N150">
        <v>2060156</v>
      </c>
      <c r="O150">
        <v>4515810.5999999996</v>
      </c>
      <c r="P150">
        <v>3734288.8</v>
      </c>
      <c r="Q150">
        <v>9548549.1999999993</v>
      </c>
      <c r="R150">
        <v>958290.2</v>
      </c>
      <c r="T150">
        <v>1.79119065120467</v>
      </c>
      <c r="U150">
        <v>1.921839898958569</v>
      </c>
      <c r="V150">
        <v>1.9372013922082261</v>
      </c>
      <c r="W150">
        <v>9.5172786364040807</v>
      </c>
      <c r="X150">
        <v>1.5582236197718879</v>
      </c>
      <c r="Y150">
        <v>9.6339241276087701</v>
      </c>
      <c r="Z150">
        <v>1.8641675204038619</v>
      </c>
      <c r="AA150">
        <v>2.5536714715999551</v>
      </c>
      <c r="AB150">
        <v>1.791641337587498</v>
      </c>
      <c r="AC150">
        <v>2.2016073645965659</v>
      </c>
      <c r="AD150">
        <v>2.3593568163458261</v>
      </c>
      <c r="AE150">
        <v>5.4593637461948674</v>
      </c>
      <c r="AF150">
        <v>3.0947089466033502</v>
      </c>
      <c r="AH150">
        <v>1.79119065120467</v>
      </c>
      <c r="AI150">
        <v>0.7618253447813913</v>
      </c>
      <c r="AJ150">
        <v>0.77859396841377015</v>
      </c>
      <c r="AK150">
        <v>9.5172786364040807</v>
      </c>
      <c r="AL150">
        <v>0.63875542579917233</v>
      </c>
      <c r="AM150">
        <v>9.6339241276087701</v>
      </c>
      <c r="AN150">
        <v>0.64555019379477019</v>
      </c>
      <c r="AO150">
        <v>2.5536714715999551</v>
      </c>
      <c r="AP150">
        <v>0.86811106101376934</v>
      </c>
      <c r="AQ150">
        <v>1.282353130192496</v>
      </c>
      <c r="AR150">
        <v>0.48942617297871038</v>
      </c>
      <c r="AS150">
        <v>5.4593637461948674</v>
      </c>
      <c r="AT150">
        <v>1.954157515190309</v>
      </c>
      <c r="AV150">
        <v>0.27194412178942001</v>
      </c>
    </row>
    <row r="151" spans="1:48" x14ac:dyDescent="0.3">
      <c r="A151">
        <v>12</v>
      </c>
      <c r="B151" t="s">
        <v>198</v>
      </c>
      <c r="C151" t="s">
        <v>199</v>
      </c>
      <c r="D151" t="s">
        <v>200</v>
      </c>
      <c r="E151" s="3">
        <v>1</v>
      </c>
      <c r="F151">
        <v>2848612.4</v>
      </c>
      <c r="G151">
        <v>317340.2</v>
      </c>
      <c r="H151">
        <v>317325.40000000002</v>
      </c>
      <c r="I151">
        <v>2794601</v>
      </c>
      <c r="J151">
        <v>212900.6</v>
      </c>
      <c r="K151">
        <v>3296436.2</v>
      </c>
      <c r="L151">
        <v>218239</v>
      </c>
      <c r="M151">
        <v>6701116.2000000002</v>
      </c>
      <c r="N151">
        <v>18847.599999999999</v>
      </c>
      <c r="O151">
        <v>2911592.8</v>
      </c>
      <c r="P151">
        <v>2260351.2000000002</v>
      </c>
      <c r="Q151">
        <v>2600042.6</v>
      </c>
      <c r="R151">
        <v>91707.199999999997</v>
      </c>
      <c r="T151">
        <v>1.8309096823970319</v>
      </c>
      <c r="U151">
        <v>0.57589032719261013</v>
      </c>
      <c r="V151">
        <v>0.56948196499724868</v>
      </c>
      <c r="W151">
        <v>2.10617660859134</v>
      </c>
      <c r="X151">
        <v>0.54540131919202395</v>
      </c>
      <c r="Y151">
        <v>2.8802218993951101</v>
      </c>
      <c r="Z151">
        <v>1.1522772340045779</v>
      </c>
      <c r="AA151">
        <v>4.0514376081991941</v>
      </c>
      <c r="AB151">
        <v>0.3632092673913575</v>
      </c>
      <c r="AC151">
        <v>0.58785027158446612</v>
      </c>
      <c r="AD151">
        <v>0.81250492021208631</v>
      </c>
      <c r="AE151">
        <v>3.0993621486006311</v>
      </c>
      <c r="AF151">
        <v>0.66243877201923174</v>
      </c>
      <c r="AH151">
        <v>1.8309096823970319</v>
      </c>
      <c r="AI151">
        <v>0.30241302959620953</v>
      </c>
      <c r="AJ151">
        <v>0.29996829118463209</v>
      </c>
      <c r="AK151">
        <v>2.10617660859134</v>
      </c>
      <c r="AL151">
        <v>0.294884687999729</v>
      </c>
      <c r="AM151">
        <v>2.8802218993951101</v>
      </c>
      <c r="AN151">
        <v>0.39630158159416168</v>
      </c>
      <c r="AO151">
        <v>4.0514376081991941</v>
      </c>
      <c r="AP151">
        <v>0.27132789898896592</v>
      </c>
      <c r="AQ151">
        <v>0.34170795558020473</v>
      </c>
      <c r="AR151">
        <v>0.29634772101999263</v>
      </c>
      <c r="AS151">
        <v>3.0993621486006311</v>
      </c>
      <c r="AT151">
        <v>0.34527183160535058</v>
      </c>
      <c r="AV151">
        <v>0.25059487940161479</v>
      </c>
    </row>
    <row r="152" spans="1:48" x14ac:dyDescent="0.3">
      <c r="A152">
        <v>12</v>
      </c>
      <c r="B152" t="s">
        <v>201</v>
      </c>
      <c r="C152" t="s">
        <v>199</v>
      </c>
      <c r="D152" t="s">
        <v>200</v>
      </c>
      <c r="E152" s="3">
        <v>0</v>
      </c>
      <c r="F152">
        <v>200165.6</v>
      </c>
      <c r="G152">
        <v>1485534.6</v>
      </c>
      <c r="H152">
        <v>1486091</v>
      </c>
      <c r="I152">
        <v>200002.8</v>
      </c>
      <c r="J152">
        <v>3869178</v>
      </c>
      <c r="K152">
        <v>200083.4</v>
      </c>
      <c r="L152">
        <v>3115594.4</v>
      </c>
      <c r="M152">
        <v>12</v>
      </c>
      <c r="N152">
        <v>2337824.6</v>
      </c>
      <c r="O152">
        <v>2908702.6</v>
      </c>
      <c r="P152">
        <v>2322225</v>
      </c>
      <c r="Q152">
        <v>494.8</v>
      </c>
      <c r="R152">
        <v>5567271.5999999996</v>
      </c>
      <c r="T152">
        <v>0.25014568160404449</v>
      </c>
      <c r="U152">
        <v>1.613831099600066</v>
      </c>
      <c r="V152">
        <v>1.587008511810563</v>
      </c>
      <c r="W152">
        <v>0.27596286359475919</v>
      </c>
      <c r="X152">
        <v>2.6999175604141779</v>
      </c>
      <c r="Y152">
        <v>0.87692268459941258</v>
      </c>
      <c r="Z152">
        <v>2.6610992778383662</v>
      </c>
      <c r="AA152">
        <v>8.0413183005293792E-2</v>
      </c>
      <c r="AB152">
        <v>1.7655240436084569</v>
      </c>
      <c r="AC152">
        <v>0.58775097379693764</v>
      </c>
      <c r="AD152">
        <v>0.83343980362988079</v>
      </c>
      <c r="AE152">
        <v>8.8851445994805218E-3</v>
      </c>
      <c r="AF152">
        <v>4.3393728827941231</v>
      </c>
      <c r="AH152">
        <v>0.25014568160404449</v>
      </c>
      <c r="AI152">
        <v>0.55189334059250539</v>
      </c>
      <c r="AJ152">
        <v>0.53952803599531762</v>
      </c>
      <c r="AK152">
        <v>0.27596286359475919</v>
      </c>
      <c r="AL152">
        <v>0.92914775799727067</v>
      </c>
      <c r="AM152">
        <v>0.87692268459941258</v>
      </c>
      <c r="AN152">
        <v>0.84368754121242096</v>
      </c>
      <c r="AO152">
        <v>8.0413183005293792E-2</v>
      </c>
      <c r="AP152">
        <v>0.6313042734051123</v>
      </c>
      <c r="AQ152">
        <v>0.34215143160545269</v>
      </c>
      <c r="AR152">
        <v>0.30266846841550432</v>
      </c>
      <c r="AS152">
        <v>8.8851445994805218E-3</v>
      </c>
      <c r="AT152">
        <v>2.4624058425833941</v>
      </c>
      <c r="AV152">
        <v>0.25463575979229058</v>
      </c>
    </row>
    <row r="153" spans="1:48" x14ac:dyDescent="0.3">
      <c r="A153">
        <v>12</v>
      </c>
      <c r="B153" t="s">
        <v>202</v>
      </c>
      <c r="C153" t="s">
        <v>199</v>
      </c>
      <c r="D153" t="s">
        <v>200</v>
      </c>
      <c r="E153" s="3">
        <v>0</v>
      </c>
      <c r="F153">
        <v>201795.6</v>
      </c>
      <c r="G153">
        <v>1517931.6</v>
      </c>
      <c r="H153">
        <v>1518501.8</v>
      </c>
      <c r="I153">
        <v>200144.2</v>
      </c>
      <c r="J153">
        <v>4442947.5999999996</v>
      </c>
      <c r="K153">
        <v>200544.4</v>
      </c>
      <c r="L153">
        <v>3664601.6</v>
      </c>
      <c r="M153">
        <v>308.39999999999998</v>
      </c>
      <c r="N153">
        <v>2284982.2000000002</v>
      </c>
      <c r="O153">
        <v>2909734.6</v>
      </c>
      <c r="P153">
        <v>2311707.7999999998</v>
      </c>
      <c r="Q153">
        <v>2730.2</v>
      </c>
      <c r="R153">
        <v>5418859</v>
      </c>
      <c r="T153">
        <v>0.26621288079768418</v>
      </c>
      <c r="U153">
        <v>1.607848516805098</v>
      </c>
      <c r="V153">
        <v>1.602503075974528</v>
      </c>
      <c r="W153">
        <v>0.29671743199578487</v>
      </c>
      <c r="X153">
        <v>2.784348037431482</v>
      </c>
      <c r="Y153">
        <v>0.88767530359909874</v>
      </c>
      <c r="Z153">
        <v>2.7289395786065138</v>
      </c>
      <c r="AA153">
        <v>8.2151539204642132E-2</v>
      </c>
      <c r="AB153">
        <v>1.7700132943922651</v>
      </c>
      <c r="AC153">
        <v>0.58627627799287441</v>
      </c>
      <c r="AD153">
        <v>0.83285931136924773</v>
      </c>
      <c r="AE153">
        <v>1.6481507394928461E-2</v>
      </c>
      <c r="AF153">
        <v>4.1714402419864198</v>
      </c>
      <c r="AH153">
        <v>0.26621288079768418</v>
      </c>
      <c r="AI153">
        <v>0.57227194498991596</v>
      </c>
      <c r="AJ153">
        <v>0.56943856960278938</v>
      </c>
      <c r="AK153">
        <v>0.29671743199578487</v>
      </c>
      <c r="AL153">
        <v>0.90330256360466588</v>
      </c>
      <c r="AM153">
        <v>0.88767530359909874</v>
      </c>
      <c r="AN153">
        <v>0.82447633240371943</v>
      </c>
      <c r="AO153">
        <v>8.2151539204642132E-2</v>
      </c>
      <c r="AP153">
        <v>0.62712150139850564</v>
      </c>
      <c r="AQ153">
        <v>0.33890792820020582</v>
      </c>
      <c r="AR153">
        <v>0.302712916577002</v>
      </c>
      <c r="AS153">
        <v>1.6481507394928461E-2</v>
      </c>
      <c r="AT153">
        <v>2.3989847380085849</v>
      </c>
      <c r="AV153">
        <v>0.25341808779630798</v>
      </c>
    </row>
    <row r="154" spans="1:48" x14ac:dyDescent="0.3">
      <c r="A154">
        <v>12</v>
      </c>
      <c r="B154" t="s">
        <v>203</v>
      </c>
      <c r="C154" t="s">
        <v>199</v>
      </c>
      <c r="D154" t="s">
        <v>200</v>
      </c>
      <c r="E154" s="3">
        <v>1</v>
      </c>
      <c r="F154">
        <v>2872027.2</v>
      </c>
      <c r="G154">
        <v>310811.59999999998</v>
      </c>
      <c r="H154">
        <v>310800.40000000002</v>
      </c>
      <c r="I154">
        <v>5993733.5999999996</v>
      </c>
      <c r="J154">
        <v>225541.6</v>
      </c>
      <c r="K154">
        <v>3882590</v>
      </c>
      <c r="L154">
        <v>237555.8</v>
      </c>
      <c r="M154">
        <v>5685799</v>
      </c>
      <c r="N154">
        <v>26825.4</v>
      </c>
      <c r="O154">
        <v>2912351</v>
      </c>
      <c r="P154">
        <v>2263912.4</v>
      </c>
      <c r="Q154">
        <v>7909143.7999999998</v>
      </c>
      <c r="R154">
        <v>131479.79999999999</v>
      </c>
      <c r="T154">
        <v>1.8816286534012761</v>
      </c>
      <c r="U154">
        <v>0.57748303278349344</v>
      </c>
      <c r="V154">
        <v>0.56242005600361156</v>
      </c>
      <c r="W154">
        <v>3.6267872545984572</v>
      </c>
      <c r="X154">
        <v>0.54468382122577164</v>
      </c>
      <c r="Y154">
        <v>3.1094425198039972</v>
      </c>
      <c r="Z154">
        <v>1.1567926512332629</v>
      </c>
      <c r="AA154">
        <v>3.9528804814035539</v>
      </c>
      <c r="AB154">
        <v>0.36481297560967513</v>
      </c>
      <c r="AC154">
        <v>0.59669676117482595</v>
      </c>
      <c r="AD154">
        <v>0.82038868208765048</v>
      </c>
      <c r="AE154">
        <v>4.1132600723998616</v>
      </c>
      <c r="AF154">
        <v>0.65958503040019423</v>
      </c>
      <c r="AH154">
        <v>1.8816286534012761</v>
      </c>
      <c r="AI154">
        <v>0.30679204080370248</v>
      </c>
      <c r="AJ154">
        <v>0.29415321719134219</v>
      </c>
      <c r="AK154">
        <v>3.6267872545984572</v>
      </c>
      <c r="AL154">
        <v>0.28946335520013228</v>
      </c>
      <c r="AM154">
        <v>3.1094425198039972</v>
      </c>
      <c r="AN154">
        <v>0.39078208860009911</v>
      </c>
      <c r="AO154">
        <v>3.9528804814035539</v>
      </c>
      <c r="AP154">
        <v>0.27596249539055862</v>
      </c>
      <c r="AQ154">
        <v>0.34835940758348438</v>
      </c>
      <c r="AR154">
        <v>0.29611050402163519</v>
      </c>
      <c r="AS154">
        <v>4.1132600723998616</v>
      </c>
      <c r="AT154">
        <v>0.33656130558229053</v>
      </c>
      <c r="AV154">
        <v>0.25468611680553288</v>
      </c>
    </row>
    <row r="155" spans="1:48" x14ac:dyDescent="0.3">
      <c r="A155">
        <v>12</v>
      </c>
      <c r="B155" t="s">
        <v>204</v>
      </c>
      <c r="C155" t="s">
        <v>205</v>
      </c>
      <c r="D155" t="s">
        <v>206</v>
      </c>
      <c r="E155" s="3">
        <v>0</v>
      </c>
      <c r="F155">
        <v>7301203.7999999998</v>
      </c>
      <c r="G155">
        <v>2865033.4</v>
      </c>
      <c r="H155">
        <v>2948029</v>
      </c>
      <c r="I155">
        <v>8213772.5999999996</v>
      </c>
      <c r="J155">
        <v>1179977.6000000001</v>
      </c>
      <c r="K155">
        <v>10422758.4</v>
      </c>
      <c r="L155">
        <v>1276104.3999999999</v>
      </c>
      <c r="M155">
        <v>19778838.399999999</v>
      </c>
      <c r="N155">
        <v>1953582.8</v>
      </c>
      <c r="O155">
        <v>9385951</v>
      </c>
      <c r="P155">
        <v>5464346.5999999996</v>
      </c>
      <c r="Q155">
        <v>8593867.5999999996</v>
      </c>
      <c r="R155">
        <v>2685847.2</v>
      </c>
      <c r="T155">
        <v>5.4603595790104009</v>
      </c>
      <c r="U155">
        <v>2.5011697176320009</v>
      </c>
      <c r="V155">
        <v>2.5755025409976948</v>
      </c>
      <c r="W155">
        <v>5.8499240636010654</v>
      </c>
      <c r="X155">
        <v>1.7759846284170639</v>
      </c>
      <c r="Y155">
        <v>6.6503984186041638</v>
      </c>
      <c r="Z155">
        <v>2.1230388303985821</v>
      </c>
      <c r="AA155">
        <v>10.90609539500438</v>
      </c>
      <c r="AB155">
        <v>2.0533697732200382</v>
      </c>
      <c r="AC155">
        <v>5.6193872730131256</v>
      </c>
      <c r="AD155">
        <v>3.6606576354592111</v>
      </c>
      <c r="AE155">
        <v>4.9948860640055504</v>
      </c>
      <c r="AF155">
        <v>3.7807417200237978</v>
      </c>
      <c r="AH155">
        <v>5.4603595790104009</v>
      </c>
      <c r="AI155">
        <v>0.96364173961337651</v>
      </c>
      <c r="AJ155">
        <v>1.0321554938098421</v>
      </c>
      <c r="AK155">
        <v>5.8499240636010654</v>
      </c>
      <c r="AL155">
        <v>0.7903987132071052</v>
      </c>
      <c r="AM155">
        <v>6.6503984186041638</v>
      </c>
      <c r="AN155">
        <v>0.85239312660414723</v>
      </c>
      <c r="AO155">
        <v>10.90609539500438</v>
      </c>
      <c r="AP155">
        <v>0.90877290901262309</v>
      </c>
      <c r="AQ155">
        <v>3.8566002502047918</v>
      </c>
      <c r="AR155">
        <v>0.76759129820275118</v>
      </c>
      <c r="AS155">
        <v>4.9948860640055504</v>
      </c>
      <c r="AT155">
        <v>2.116717835009331</v>
      </c>
      <c r="AV155">
        <v>0.40545829639886499</v>
      </c>
    </row>
    <row r="156" spans="1:48" x14ac:dyDescent="0.3">
      <c r="A156">
        <v>12</v>
      </c>
      <c r="B156" t="s">
        <v>207</v>
      </c>
      <c r="C156" t="s">
        <v>205</v>
      </c>
      <c r="D156" t="s">
        <v>206</v>
      </c>
      <c r="E156" s="3">
        <v>0</v>
      </c>
      <c r="F156">
        <v>442474.6</v>
      </c>
      <c r="G156">
        <v>815641.59999999998</v>
      </c>
      <c r="H156">
        <v>824529</v>
      </c>
      <c r="I156">
        <v>1415030</v>
      </c>
      <c r="J156">
        <v>345915.2</v>
      </c>
      <c r="K156">
        <v>774188.2</v>
      </c>
      <c r="L156">
        <v>359343.2</v>
      </c>
      <c r="M156">
        <v>629964.6</v>
      </c>
      <c r="N156">
        <v>262325.8</v>
      </c>
      <c r="O156">
        <v>3016530.6</v>
      </c>
      <c r="P156">
        <v>2949625</v>
      </c>
      <c r="Q156">
        <v>2673065.6</v>
      </c>
      <c r="R156">
        <v>1071829.8</v>
      </c>
      <c r="T156">
        <v>0.70316664639394733</v>
      </c>
      <c r="U156">
        <v>1.2984787153953219</v>
      </c>
      <c r="V156">
        <v>1.2909467534220309</v>
      </c>
      <c r="W156">
        <v>1.8528253743948879</v>
      </c>
      <c r="X156">
        <v>1.1126467946043701</v>
      </c>
      <c r="Y156">
        <v>1.527541603206191</v>
      </c>
      <c r="Z156">
        <v>1.5539432652236429</v>
      </c>
      <c r="AA156">
        <v>0.97504508739802986</v>
      </c>
      <c r="AB156">
        <v>0.78078693901188667</v>
      </c>
      <c r="AC156">
        <v>0.93933172479155469</v>
      </c>
      <c r="AD156">
        <v>1.8777969807793851</v>
      </c>
      <c r="AE156">
        <v>3.297982334607513</v>
      </c>
      <c r="AF156">
        <v>2.1596287072054108</v>
      </c>
      <c r="AH156">
        <v>0.70316664639394733</v>
      </c>
      <c r="AI156">
        <v>0.62386895879753868</v>
      </c>
      <c r="AJ156">
        <v>0.62467470742994924</v>
      </c>
      <c r="AK156">
        <v>1.8528253743948879</v>
      </c>
      <c r="AL156">
        <v>0.55393088680575597</v>
      </c>
      <c r="AM156">
        <v>1.527541603206191</v>
      </c>
      <c r="AN156">
        <v>0.62632669740705749</v>
      </c>
      <c r="AO156">
        <v>0.97504508739802986</v>
      </c>
      <c r="AP156">
        <v>0.50976910219760607</v>
      </c>
      <c r="AQ156">
        <v>0.58763737098779534</v>
      </c>
      <c r="AR156">
        <v>0.57668083240278067</v>
      </c>
      <c r="AS156">
        <v>3.297982334607513</v>
      </c>
      <c r="AT156">
        <v>1.1054861646087371</v>
      </c>
      <c r="AV156">
        <v>0.41936235779430719</v>
      </c>
    </row>
    <row r="157" spans="1:48" x14ac:dyDescent="0.3">
      <c r="A157">
        <v>12</v>
      </c>
      <c r="B157" t="s">
        <v>208</v>
      </c>
      <c r="C157" t="s">
        <v>205</v>
      </c>
      <c r="D157" t="s">
        <v>206</v>
      </c>
      <c r="E157" s="3">
        <v>0</v>
      </c>
      <c r="F157">
        <v>487726.2</v>
      </c>
      <c r="G157">
        <v>872007.4</v>
      </c>
      <c r="H157">
        <v>879909</v>
      </c>
      <c r="I157">
        <v>910521</v>
      </c>
      <c r="J157">
        <v>382038.8</v>
      </c>
      <c r="K157">
        <v>732371.6</v>
      </c>
      <c r="L157">
        <v>413096.6</v>
      </c>
      <c r="M157">
        <v>838831.6</v>
      </c>
      <c r="N157">
        <v>419823.8</v>
      </c>
      <c r="O157">
        <v>3125131.4</v>
      </c>
      <c r="P157">
        <v>2994631.8</v>
      </c>
      <c r="Q157">
        <v>1858875.6</v>
      </c>
      <c r="R157">
        <v>1451904.8</v>
      </c>
      <c r="T157">
        <v>0.81459893300198016</v>
      </c>
      <c r="U157">
        <v>1.3592753959877879</v>
      </c>
      <c r="V157">
        <v>1.348313799587777</v>
      </c>
      <c r="W157">
        <v>1.0377513647952581</v>
      </c>
      <c r="X157">
        <v>1.174085681221914</v>
      </c>
      <c r="Y157">
        <v>1.1652385315974241</v>
      </c>
      <c r="Z157">
        <v>1.579730859969277</v>
      </c>
      <c r="AA157">
        <v>1.217091763607459</v>
      </c>
      <c r="AB157">
        <v>0.94356894240481781</v>
      </c>
      <c r="AC157">
        <v>1.0665387579938399</v>
      </c>
      <c r="AD157">
        <v>1.9042397873708981</v>
      </c>
      <c r="AE157">
        <v>3.0948588118015321</v>
      </c>
      <c r="AF157">
        <v>2.438334545405815</v>
      </c>
      <c r="AH157">
        <v>0.81459893300198016</v>
      </c>
      <c r="AI157">
        <v>0.65746042479877365</v>
      </c>
      <c r="AJ157">
        <v>0.65842455759411678</v>
      </c>
      <c r="AK157">
        <v>1.0377513647952581</v>
      </c>
      <c r="AL157">
        <v>0.58869804340647536</v>
      </c>
      <c r="AM157">
        <v>1.1652385315974241</v>
      </c>
      <c r="AN157">
        <v>0.63501007499871776</v>
      </c>
      <c r="AO157">
        <v>1.217091763607459</v>
      </c>
      <c r="AP157">
        <v>0.5753108029952273</v>
      </c>
      <c r="AQ157">
        <v>0.64841915219440127</v>
      </c>
      <c r="AR157">
        <v>0.55473973201005722</v>
      </c>
      <c r="AS157">
        <v>3.0948588118015321</v>
      </c>
      <c r="AT157">
        <v>1.310478346399031</v>
      </c>
      <c r="AV157">
        <v>0.41935873500187881</v>
      </c>
    </row>
    <row r="158" spans="1:48" x14ac:dyDescent="0.3">
      <c r="A158">
        <v>12</v>
      </c>
      <c r="B158" t="s">
        <v>209</v>
      </c>
      <c r="C158" t="s">
        <v>205</v>
      </c>
      <c r="D158" t="s">
        <v>206</v>
      </c>
      <c r="E158" s="3">
        <v>1</v>
      </c>
      <c r="F158">
        <v>7499318.5999999996</v>
      </c>
      <c r="G158">
        <v>3010309</v>
      </c>
      <c r="H158">
        <v>3063906.6</v>
      </c>
      <c r="I158">
        <v>10277063.199999999</v>
      </c>
      <c r="J158">
        <v>1100437.6000000001</v>
      </c>
      <c r="K158">
        <v>11816992.199999999</v>
      </c>
      <c r="L158">
        <v>1102417.6000000001</v>
      </c>
      <c r="M158">
        <v>15865753</v>
      </c>
      <c r="N158">
        <v>1928833</v>
      </c>
      <c r="O158">
        <v>9444111</v>
      </c>
      <c r="P158">
        <v>5522722.5999999996</v>
      </c>
      <c r="Q158">
        <v>10692161.6</v>
      </c>
      <c r="R158">
        <v>2557022.7999999998</v>
      </c>
      <c r="T158">
        <v>5.7838282492011794</v>
      </c>
      <c r="U158">
        <v>2.5859248531865888</v>
      </c>
      <c r="V158">
        <v>2.578476245794445</v>
      </c>
      <c r="W158">
        <v>7.8874095622100864</v>
      </c>
      <c r="X158">
        <v>1.685309305606643</v>
      </c>
      <c r="Y158">
        <v>8.1643673888000201</v>
      </c>
      <c r="Z158">
        <v>2.002988255413948</v>
      </c>
      <c r="AA158">
        <v>11.36631660080748</v>
      </c>
      <c r="AB158">
        <v>2.1138735226006249</v>
      </c>
      <c r="AC158">
        <v>5.7491862955968829</v>
      </c>
      <c r="AD158">
        <v>3.7234756123216362</v>
      </c>
      <c r="AE158">
        <v>5.6025040624022946</v>
      </c>
      <c r="AF158">
        <v>3.638411515986081</v>
      </c>
      <c r="AH158">
        <v>5.7838282492011794</v>
      </c>
      <c r="AI158">
        <v>1.011821013380541</v>
      </c>
      <c r="AJ158">
        <v>1.0256743049889341</v>
      </c>
      <c r="AK158">
        <v>7.8874095622100864</v>
      </c>
      <c r="AL158">
        <v>0.76344985080650074</v>
      </c>
      <c r="AM158">
        <v>8.1643673888000201</v>
      </c>
      <c r="AN158">
        <v>0.77620018579182215</v>
      </c>
      <c r="AO158">
        <v>11.36631660080748</v>
      </c>
      <c r="AP158">
        <v>0.91839614841155703</v>
      </c>
      <c r="AQ158">
        <v>3.9433399521920358</v>
      </c>
      <c r="AR158">
        <v>0.76833443695795722</v>
      </c>
      <c r="AS158">
        <v>5.6025040624022946</v>
      </c>
      <c r="AT158">
        <v>2.0566081253928128</v>
      </c>
      <c r="AV158">
        <v>0.41383971159229987</v>
      </c>
    </row>
    <row r="159" spans="1:48" x14ac:dyDescent="0.3">
      <c r="A159">
        <v>12</v>
      </c>
      <c r="B159" t="s">
        <v>210</v>
      </c>
      <c r="C159" t="s">
        <v>205</v>
      </c>
      <c r="D159" t="s">
        <v>206</v>
      </c>
      <c r="E159" s="3">
        <v>1</v>
      </c>
      <c r="F159">
        <v>8167216.2000000002</v>
      </c>
      <c r="G159">
        <v>2864497.4</v>
      </c>
      <c r="H159">
        <v>2913166.6</v>
      </c>
      <c r="I159">
        <v>14509706.199999999</v>
      </c>
      <c r="J159">
        <v>1006704.2</v>
      </c>
      <c r="K159">
        <v>19842579.600000001</v>
      </c>
      <c r="L159">
        <v>1147510.3999999999</v>
      </c>
      <c r="M159">
        <v>9623035</v>
      </c>
      <c r="N159">
        <v>1810721.6</v>
      </c>
      <c r="O159">
        <v>9388318.8000000007</v>
      </c>
      <c r="P159">
        <v>5464341.5999999996</v>
      </c>
      <c r="Q159">
        <v>9349243.1999999993</v>
      </c>
      <c r="R159">
        <v>2640921.2000000002</v>
      </c>
      <c r="T159">
        <v>5.9940428337955378</v>
      </c>
      <c r="U159">
        <v>2.4720061698229978</v>
      </c>
      <c r="V159">
        <v>2.4887378430168612</v>
      </c>
      <c r="W159">
        <v>10.84938488859334</v>
      </c>
      <c r="X159">
        <v>1.6325195142126181</v>
      </c>
      <c r="Y159">
        <v>14.242574556608449</v>
      </c>
      <c r="Z159">
        <v>2.0661770019971302</v>
      </c>
      <c r="AA159">
        <v>7.6439337235991847</v>
      </c>
      <c r="AB159">
        <v>1.9875824963906781</v>
      </c>
      <c r="AC159">
        <v>5.658136311598355</v>
      </c>
      <c r="AD159">
        <v>3.6661541388311889</v>
      </c>
      <c r="AE159">
        <v>5.1566238180035722</v>
      </c>
      <c r="AF159">
        <v>3.453108085220447</v>
      </c>
      <c r="AH159">
        <v>5.9940428337955378</v>
      </c>
      <c r="AI159">
        <v>1.0098580952035261</v>
      </c>
      <c r="AJ159">
        <v>1.025541264622007</v>
      </c>
      <c r="AK159">
        <v>10.84938488859334</v>
      </c>
      <c r="AL159">
        <v>0.74529573980253194</v>
      </c>
      <c r="AM159">
        <v>14.242574556608449</v>
      </c>
      <c r="AN159">
        <v>0.84437137939967211</v>
      </c>
      <c r="AO159">
        <v>7.6439337235991847</v>
      </c>
      <c r="AP159">
        <v>0.89023947360110467</v>
      </c>
      <c r="AQ159">
        <v>3.877640857198275</v>
      </c>
      <c r="AR159">
        <v>0.77674745661788624</v>
      </c>
      <c r="AS159">
        <v>5.1566238180035722</v>
      </c>
      <c r="AT159">
        <v>1.8925948668096679</v>
      </c>
      <c r="AV159">
        <v>0.40661020740517417</v>
      </c>
    </row>
    <row r="160" spans="1:48" x14ac:dyDescent="0.3">
      <c r="A160">
        <v>12</v>
      </c>
      <c r="B160" t="s">
        <v>211</v>
      </c>
      <c r="C160" t="s">
        <v>205</v>
      </c>
      <c r="D160" t="s">
        <v>206</v>
      </c>
      <c r="E160" s="3">
        <v>0</v>
      </c>
      <c r="F160">
        <v>269251.40000000002</v>
      </c>
      <c r="G160">
        <v>786369.8</v>
      </c>
      <c r="H160">
        <v>788900.2</v>
      </c>
      <c r="I160">
        <v>463118.8</v>
      </c>
      <c r="J160">
        <v>450266.8</v>
      </c>
      <c r="K160">
        <v>396935.2</v>
      </c>
      <c r="L160">
        <v>449133</v>
      </c>
      <c r="M160">
        <v>99494</v>
      </c>
      <c r="N160">
        <v>345361.4</v>
      </c>
      <c r="O160">
        <v>3012197.6</v>
      </c>
      <c r="P160">
        <v>2949117</v>
      </c>
      <c r="Q160">
        <v>160465.20000000001</v>
      </c>
      <c r="R160">
        <v>1123640.6000000001</v>
      </c>
      <c r="T160">
        <v>0.44071476120152508</v>
      </c>
      <c r="U160">
        <v>1.2559740151802541</v>
      </c>
      <c r="V160">
        <v>1.251418301445665</v>
      </c>
      <c r="W160">
        <v>0.71544355820515193</v>
      </c>
      <c r="X160">
        <v>1.1991744304308669</v>
      </c>
      <c r="Y160">
        <v>1.141822911606869</v>
      </c>
      <c r="Z160">
        <v>1.641538994404254</v>
      </c>
      <c r="AA160">
        <v>0.26489656399935491</v>
      </c>
      <c r="AB160">
        <v>0.84886840021354149</v>
      </c>
      <c r="AC160">
        <v>0.9300179675978143</v>
      </c>
      <c r="AD160">
        <v>1.8571525113715319</v>
      </c>
      <c r="AE160">
        <v>0.55793394920183348</v>
      </c>
      <c r="AF160">
        <v>1.974547874974087</v>
      </c>
      <c r="AH160">
        <v>0.44071476120152508</v>
      </c>
      <c r="AI160">
        <v>0.63685433000791813</v>
      </c>
      <c r="AJ160">
        <v>0.63162895601126368</v>
      </c>
      <c r="AK160">
        <v>0.71544355820515193</v>
      </c>
      <c r="AL160">
        <v>0.62200127219548451</v>
      </c>
      <c r="AM160">
        <v>1.141822911606869</v>
      </c>
      <c r="AN160">
        <v>0.67001719938707538</v>
      </c>
      <c r="AO160">
        <v>0.26489656399935491</v>
      </c>
      <c r="AP160">
        <v>0.58200438421335998</v>
      </c>
      <c r="AQ160">
        <v>0.58652498960727828</v>
      </c>
      <c r="AR160">
        <v>0.5629632451804355</v>
      </c>
      <c r="AS160">
        <v>0.55793394920183348</v>
      </c>
      <c r="AT160">
        <v>1.1811731633963061</v>
      </c>
      <c r="AV160">
        <v>0.41373132760636511</v>
      </c>
    </row>
    <row r="161" spans="1:48" x14ac:dyDescent="0.3">
      <c r="A161">
        <v>12</v>
      </c>
      <c r="B161" t="s">
        <v>212</v>
      </c>
      <c r="C161" t="s">
        <v>205</v>
      </c>
      <c r="D161" t="s">
        <v>206</v>
      </c>
      <c r="E161" s="3">
        <v>0</v>
      </c>
      <c r="F161">
        <v>521878.2</v>
      </c>
      <c r="G161">
        <v>949216.6</v>
      </c>
      <c r="H161">
        <v>958083</v>
      </c>
      <c r="I161">
        <v>1662851.2</v>
      </c>
      <c r="J161">
        <v>382164.8</v>
      </c>
      <c r="K161">
        <v>1624769.6</v>
      </c>
      <c r="L161">
        <v>398854</v>
      </c>
      <c r="M161">
        <v>296466.59999999998</v>
      </c>
      <c r="N161">
        <v>319336.2</v>
      </c>
      <c r="O161">
        <v>3129437</v>
      </c>
      <c r="P161">
        <v>2997541.6</v>
      </c>
      <c r="Q161">
        <v>1262862</v>
      </c>
      <c r="R161">
        <v>1133791.2</v>
      </c>
      <c r="T161">
        <v>0.73800309879588899</v>
      </c>
      <c r="U161">
        <v>1.4124165587942119</v>
      </c>
      <c r="V161">
        <v>1.413578229409177</v>
      </c>
      <c r="W161">
        <v>1.978290879592532</v>
      </c>
      <c r="X161">
        <v>1.116530575818615</v>
      </c>
      <c r="Y161">
        <v>2.3267564660054632</v>
      </c>
      <c r="Z161">
        <v>1.568239939992782</v>
      </c>
      <c r="AA161">
        <v>0.54207967900438236</v>
      </c>
      <c r="AB161">
        <v>0.81775722240563486</v>
      </c>
      <c r="AC161">
        <v>1.051352292974479</v>
      </c>
      <c r="AD161">
        <v>1.8780285516055299</v>
      </c>
      <c r="AE161">
        <v>2.6928541183995551</v>
      </c>
      <c r="AF161">
        <v>2.0480924031930039</v>
      </c>
      <c r="AH161">
        <v>0.73800309879588899</v>
      </c>
      <c r="AI161">
        <v>0.67888021981925706</v>
      </c>
      <c r="AJ161">
        <v>0.67501598499948157</v>
      </c>
      <c r="AK161">
        <v>1.978290879592532</v>
      </c>
      <c r="AL161">
        <v>0.55775258300127462</v>
      </c>
      <c r="AM161">
        <v>2.3267564660054632</v>
      </c>
      <c r="AN161">
        <v>0.62414492620155215</v>
      </c>
      <c r="AO161">
        <v>0.54207967900438236</v>
      </c>
      <c r="AP161">
        <v>0.53077474740566688</v>
      </c>
      <c r="AQ161">
        <v>0.63567038737237458</v>
      </c>
      <c r="AR161">
        <v>0.54759071975713591</v>
      </c>
      <c r="AS161">
        <v>2.6928541183995551</v>
      </c>
      <c r="AT161">
        <v>1.114101302606286</v>
      </c>
      <c r="AV161">
        <v>0.46330317000392818</v>
      </c>
    </row>
    <row r="162" spans="1:48" x14ac:dyDescent="0.3">
      <c r="A162">
        <v>12</v>
      </c>
      <c r="B162" t="s">
        <v>213</v>
      </c>
      <c r="C162" t="s">
        <v>205</v>
      </c>
      <c r="D162" t="s">
        <v>206</v>
      </c>
      <c r="E162" s="3">
        <v>0</v>
      </c>
      <c r="F162">
        <v>8551058.5999999996</v>
      </c>
      <c r="G162">
        <v>3035481.8</v>
      </c>
      <c r="H162">
        <v>3090175</v>
      </c>
      <c r="I162">
        <v>18313333.399999999</v>
      </c>
      <c r="J162">
        <v>1187613.2</v>
      </c>
      <c r="K162">
        <v>4801957</v>
      </c>
      <c r="L162">
        <v>1101414.8</v>
      </c>
      <c r="M162">
        <v>9876058.5999999996</v>
      </c>
      <c r="N162">
        <v>2130034.2000000002</v>
      </c>
      <c r="O162">
        <v>9453028.1999999993</v>
      </c>
      <c r="P162">
        <v>5497183.5999999996</v>
      </c>
      <c r="Q162">
        <v>10764021.800000001</v>
      </c>
      <c r="R162">
        <v>2757642</v>
      </c>
      <c r="T162">
        <v>6.3178325476008466</v>
      </c>
      <c r="U162">
        <v>2.5782228999829391</v>
      </c>
      <c r="V162">
        <v>2.578496578201884</v>
      </c>
      <c r="W162">
        <v>12.714797965198519</v>
      </c>
      <c r="X162">
        <v>1.720079555606935</v>
      </c>
      <c r="Y162">
        <v>4.0589722663979044</v>
      </c>
      <c r="Z162">
        <v>1.91864641418797</v>
      </c>
      <c r="AA162">
        <v>7.4586684598005366</v>
      </c>
      <c r="AB162">
        <v>2.214408969006036</v>
      </c>
      <c r="AC162">
        <v>5.6960191651713101</v>
      </c>
      <c r="AD162">
        <v>3.664406149002025</v>
      </c>
      <c r="AE162">
        <v>5.3473480988061057</v>
      </c>
      <c r="AF162">
        <v>3.58905076860683</v>
      </c>
      <c r="AH162">
        <v>6.3178325476008466</v>
      </c>
      <c r="AI162">
        <v>1.0085005054017531</v>
      </c>
      <c r="AJ162">
        <v>1.027515773806954</v>
      </c>
      <c r="AK162">
        <v>12.714797965198519</v>
      </c>
      <c r="AL162">
        <v>0.7971211275784299</v>
      </c>
      <c r="AM162">
        <v>4.0589722663979044</v>
      </c>
      <c r="AN162">
        <v>0.7738181706052274</v>
      </c>
      <c r="AO162">
        <v>7.4586684598005366</v>
      </c>
      <c r="AP162">
        <v>0.98281795459333809</v>
      </c>
      <c r="AQ162">
        <v>3.9043429649784231</v>
      </c>
      <c r="AR162">
        <v>0.75395675501204096</v>
      </c>
      <c r="AS162">
        <v>5.3473480988061057</v>
      </c>
      <c r="AT162">
        <v>2.0195090410008558</v>
      </c>
      <c r="AV162">
        <v>0.40724964480032211</v>
      </c>
    </row>
    <row r="382" spans="5:46" x14ac:dyDescent="0.3"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8</v>
      </c>
      <c r="K382" s="2" t="s">
        <v>9</v>
      </c>
      <c r="L382" s="2" t="s">
        <v>10</v>
      </c>
      <c r="M382" s="2" t="s">
        <v>11</v>
      </c>
      <c r="N382" s="2" t="s">
        <v>12</v>
      </c>
      <c r="O382" s="2" t="s">
        <v>13</v>
      </c>
      <c r="P382" s="2" t="s">
        <v>14</v>
      </c>
      <c r="Q382" s="2" t="s">
        <v>15</v>
      </c>
      <c r="R382" s="2" t="s">
        <v>16</v>
      </c>
      <c r="T382" s="2" t="s">
        <v>4</v>
      </c>
      <c r="U382" s="2" t="s">
        <v>5</v>
      </c>
      <c r="V382" s="2" t="s">
        <v>6</v>
      </c>
      <c r="W382" s="2" t="s">
        <v>7</v>
      </c>
      <c r="X382" s="2" t="s">
        <v>8</v>
      </c>
      <c r="Y382" s="2" t="s">
        <v>9</v>
      </c>
      <c r="Z382" s="2" t="s">
        <v>10</v>
      </c>
      <c r="AA382" s="2" t="s">
        <v>11</v>
      </c>
      <c r="AB382" s="2" t="s">
        <v>12</v>
      </c>
      <c r="AC382" s="2" t="s">
        <v>13</v>
      </c>
      <c r="AD382" s="2" t="s">
        <v>14</v>
      </c>
      <c r="AE382" s="2" t="s">
        <v>15</v>
      </c>
      <c r="AF382" s="2" t="s">
        <v>16</v>
      </c>
      <c r="AH382" s="2" t="s">
        <v>4</v>
      </c>
      <c r="AI382" s="2" t="s">
        <v>5</v>
      </c>
      <c r="AJ382" s="2" t="s">
        <v>6</v>
      </c>
      <c r="AK382" s="2" t="s">
        <v>7</v>
      </c>
      <c r="AL382" s="2" t="s">
        <v>8</v>
      </c>
      <c r="AM382" s="2" t="s">
        <v>9</v>
      </c>
      <c r="AN382" s="2" t="s">
        <v>10</v>
      </c>
      <c r="AO382" s="2" t="s">
        <v>11</v>
      </c>
      <c r="AP382" s="2" t="s">
        <v>12</v>
      </c>
      <c r="AQ382" s="2" t="s">
        <v>13</v>
      </c>
      <c r="AR382" s="2" t="s">
        <v>14</v>
      </c>
      <c r="AS382" s="2" t="s">
        <v>15</v>
      </c>
      <c r="AT382" s="2" t="s">
        <v>16</v>
      </c>
    </row>
    <row r="383" spans="5:46" x14ac:dyDescent="0.3">
      <c r="E383" s="4" t="s">
        <v>215</v>
      </c>
      <c r="F383">
        <f xml:space="preserve"> AVERAGEIF($E$3:$E$378, "=1",F3:F378)</f>
        <v>2408467.8947368427</v>
      </c>
      <c r="G383">
        <f xml:space="preserve"> AVERAGEIF($E$3:$E$378, "=1",G3:G378)</f>
        <v>1277765.2894736843</v>
      </c>
      <c r="H383">
        <f t="shared" ref="H383:R383" si="0" xml:space="preserve"> AVERAGEIF($E$3:$E$378, "=1",H3:H378)</f>
        <v>1289405.5684210525</v>
      </c>
      <c r="I383">
        <f t="shared" si="0"/>
        <v>3929169.3368421048</v>
      </c>
      <c r="J383">
        <f t="shared" si="0"/>
        <v>1135011.6473684215</v>
      </c>
      <c r="K383">
        <f t="shared" si="0"/>
        <v>4268751.8947368423</v>
      </c>
      <c r="L383">
        <f t="shared" si="0"/>
        <v>1353206.6210526314</v>
      </c>
      <c r="M383">
        <f t="shared" si="0"/>
        <v>4556204.4736842103</v>
      </c>
      <c r="N383">
        <f t="shared" si="0"/>
        <v>1037503.1631578946</v>
      </c>
      <c r="O383">
        <f t="shared" si="0"/>
        <v>4656147.4789473685</v>
      </c>
      <c r="P383">
        <f t="shared" si="0"/>
        <v>3603658.6210526316</v>
      </c>
      <c r="Q383">
        <f t="shared" si="0"/>
        <v>7453565.2631578948</v>
      </c>
      <c r="R383">
        <f t="shared" si="0"/>
        <v>2026629.4210526317</v>
      </c>
      <c r="S383" s="4" t="s">
        <v>215</v>
      </c>
      <c r="T383">
        <f xml:space="preserve"> AVERAGEIF($E$3:$E$378, "=1",T3:T378)</f>
        <v>2.0932594421423816</v>
      </c>
      <c r="U383">
        <f t="shared" ref="U383:AF383" si="1" xml:space="preserve"> AVERAGEIF($E$3:$E$378, "=1",U3:U378)</f>
        <v>1.3750872245680317</v>
      </c>
      <c r="V383">
        <f t="shared" si="1"/>
        <v>1.3739011843157258</v>
      </c>
      <c r="W383">
        <f t="shared" si="1"/>
        <v>3.1004263947007087</v>
      </c>
      <c r="X383">
        <f t="shared" si="1"/>
        <v>1.4811652509847928</v>
      </c>
      <c r="Y383">
        <f t="shared" si="1"/>
        <v>3.5060727871478061</v>
      </c>
      <c r="Z383">
        <f t="shared" si="1"/>
        <v>2.0834288527099964</v>
      </c>
      <c r="AA383">
        <f t="shared" si="1"/>
        <v>3.6722073316526611</v>
      </c>
      <c r="AB383">
        <f t="shared" si="1"/>
        <v>1.5150468698229431</v>
      </c>
      <c r="AC383">
        <f t="shared" si="1"/>
        <v>2.1927753689067786</v>
      </c>
      <c r="AD383">
        <f t="shared" si="1"/>
        <v>1.930161246526864</v>
      </c>
      <c r="AE383">
        <f t="shared" si="1"/>
        <v>4.2504500929597073</v>
      </c>
      <c r="AF383">
        <f t="shared" si="1"/>
        <v>2.3498893235609435</v>
      </c>
      <c r="AG383" s="4" t="s">
        <v>215</v>
      </c>
      <c r="AH383">
        <f xml:space="preserve"> AVERAGEIF($E$3:$E$378, "=1",AH3:AH378)</f>
        <v>2.0932594421423816</v>
      </c>
      <c r="AI383">
        <f t="shared" ref="AI383:AT383" si="2" xml:space="preserve"> AVERAGEIF($E$3:$E$378, "=1",AI3:AI378)</f>
        <v>0.80873438437012835</v>
      </c>
      <c r="AJ383">
        <f t="shared" si="2"/>
        <v>0.80911375300692234</v>
      </c>
      <c r="AK383">
        <f t="shared" si="2"/>
        <v>3.1004263947007087</v>
      </c>
      <c r="AL383">
        <f t="shared" si="2"/>
        <v>1.0458743048781272</v>
      </c>
      <c r="AM383">
        <f t="shared" si="2"/>
        <v>3.5060727871478061</v>
      </c>
      <c r="AN383">
        <f t="shared" si="2"/>
        <v>1.3526501253578129</v>
      </c>
      <c r="AO383">
        <f t="shared" si="2"/>
        <v>3.6722073316526611</v>
      </c>
      <c r="AP383">
        <f t="shared" si="2"/>
        <v>1.0812846314584788</v>
      </c>
      <c r="AQ383">
        <f t="shared" si="2"/>
        <v>1.2642279029967827</v>
      </c>
      <c r="AR383">
        <f t="shared" si="2"/>
        <v>0.60818084520793292</v>
      </c>
      <c r="AS383">
        <f t="shared" si="2"/>
        <v>4.2504500929597073</v>
      </c>
      <c r="AT383">
        <f t="shared" si="2"/>
        <v>1.6645271085268558</v>
      </c>
    </row>
    <row r="384" spans="5:46" x14ac:dyDescent="0.3">
      <c r="E384" s="4" t="s">
        <v>216</v>
      </c>
      <c r="F384" cm="1">
        <f t="array" ref="F384">MEDIAN(_xlfn._xlws.FILTER(F3:F378, $E$3:$E$378=1))</f>
        <v>2092332.5999999999</v>
      </c>
      <c r="G384" cm="1">
        <f t="array" ref="G384">MEDIAN(_xlfn._xlws.FILTER(G3:G378, $E$3:$E$378=1))</f>
        <v>1076673.2</v>
      </c>
      <c r="H384" cm="1">
        <f t="array" ref="H384">MEDIAN(_xlfn._xlws.FILTER(H3:H378, $E$3:$E$378=1))</f>
        <v>1078158.1000000001</v>
      </c>
      <c r="I384" cm="1">
        <f t="array" ref="I384">MEDIAN(_xlfn._xlws.FILTER(I3:I378, $E$3:$E$378=1))</f>
        <v>1965994.9</v>
      </c>
      <c r="J384" cm="1">
        <f t="array" ref="J384">MEDIAN(_xlfn._xlws.FILTER(J3:J378, $E$3:$E$378=1))</f>
        <v>695696.1</v>
      </c>
      <c r="K384" cm="1">
        <f t="array" ref="K384">MEDIAN(_xlfn._xlws.FILTER(K3:K378, $E$3:$E$378=1))</f>
        <v>1609959.4</v>
      </c>
      <c r="L384" cm="1">
        <f t="array" ref="L384">MEDIAN(_xlfn._xlws.FILTER(L3:L378, $E$3:$E$378=1))</f>
        <v>702089.4</v>
      </c>
      <c r="M384" cm="1">
        <f t="array" ref="M384">MEDIAN(_xlfn._xlws.FILTER(M3:M378, $E$3:$E$378=1))</f>
        <v>1194948.7</v>
      </c>
      <c r="N384" cm="1">
        <f t="array" ref="N384">MEDIAN(_xlfn._xlws.FILTER(N3:N378, $E$3:$E$378=1))</f>
        <v>654101.69999999995</v>
      </c>
      <c r="O384" cm="1">
        <f t="array" ref="O384">MEDIAN(_xlfn._xlws.FILTER(O3:O378, $E$3:$E$378=1))</f>
        <v>4044156.5</v>
      </c>
      <c r="P384" cm="1">
        <f t="array" ref="P384">MEDIAN(_xlfn._xlws.FILTER(P3:P378, $E$3:$E$378=1))</f>
        <v>3360554.5999999996</v>
      </c>
      <c r="Q384" cm="1">
        <f t="array" ref="Q384">MEDIAN(_xlfn._xlws.FILTER(Q3:Q378, $E$3:$E$378=1))</f>
        <v>2859623</v>
      </c>
      <c r="R384" cm="1">
        <f t="array" ref="R384">MEDIAN(_xlfn._xlws.FILTER(R3:R378, $E$3:$E$378=1))</f>
        <v>1156867.6000000001</v>
      </c>
      <c r="S384" s="4" t="s">
        <v>216</v>
      </c>
      <c r="T384" cm="1">
        <f t="array" ref="T384">MEDIAN(_xlfn._xlws.FILTER(T3:T378, $E$3:$E$378=1))</f>
        <v>1.837968240803457</v>
      </c>
      <c r="U384" cm="1">
        <f t="array" ref="U384">MEDIAN(_xlfn._xlws.FILTER(U3:U378, $E$3:$E$378=1))</f>
        <v>1.2781529654952464</v>
      </c>
      <c r="V384" cm="1">
        <f t="array" ref="V384">MEDIAN(_xlfn._xlws.FILTER(V3:V378, $E$3:$E$378=1))</f>
        <v>1.2603513954818486</v>
      </c>
      <c r="W384" cm="1">
        <f t="array" ref="W384">MEDIAN(_xlfn._xlws.FILTER(W3:W378, $E$3:$E$378=1))</f>
        <v>2.1340219298959711</v>
      </c>
      <c r="X384" cm="1">
        <f t="array" ref="X384">MEDIAN(_xlfn._xlws.FILTER(X3:X378, $E$3:$E$378=1))</f>
        <v>1.2083024710678729</v>
      </c>
      <c r="Y384" cm="1">
        <f t="array" ref="Y384">MEDIAN(_xlfn._xlws.FILTER(Y3:Y378, $E$3:$E$378=1))</f>
        <v>2.0292698112985823</v>
      </c>
      <c r="Z384" cm="1">
        <f t="array" ref="Z384">MEDIAN(_xlfn._xlws.FILTER(Z3:Z378, $E$3:$E$378=1))</f>
        <v>1.6515219321066981</v>
      </c>
      <c r="AA384" cm="1">
        <f t="array" ref="AA384">MEDIAN(_xlfn._xlws.FILTER(AA3:AA378, $E$3:$E$378=1))</f>
        <v>2.170834211900365</v>
      </c>
      <c r="AB384" cm="1">
        <f t="array" ref="AB384">MEDIAN(_xlfn._xlws.FILTER(AB3:AB378, $E$3:$E$378=1))</f>
        <v>1.3973677611124005</v>
      </c>
      <c r="AC384" cm="1">
        <f t="array" ref="AC384">MEDIAN(_xlfn._xlws.FILTER(AC3:AC378, $E$3:$E$378=1))</f>
        <v>1.7371381278906486</v>
      </c>
      <c r="AD384" cm="1">
        <f t="array" ref="AD384">MEDIAN(_xlfn._xlws.FILTER(AD3:AD378, $E$3:$E$378=1))</f>
        <v>1.883709456003271</v>
      </c>
      <c r="AE384" cm="1">
        <f t="array" ref="AE384">MEDIAN(_xlfn._xlws.FILTER(AE3:AE378, $E$3:$E$378=1))</f>
        <v>3.6381746603001375</v>
      </c>
      <c r="AF384" cm="1">
        <f t="array" ref="AF384">MEDIAN(_xlfn._xlws.FILTER(AF3:AF378, $E$3:$E$378=1))</f>
        <v>2.2928296533093095</v>
      </c>
      <c r="AG384" s="4" t="s">
        <v>216</v>
      </c>
      <c r="AH384" cm="1">
        <f t="array" ref="AH384">MEDIAN(_xlfn._xlws.FILTER(AH3:AH378, $E$3:$E$378=1))</f>
        <v>1.837968240803457</v>
      </c>
      <c r="AI384" cm="1">
        <f t="array" ref="AI384">MEDIAN(_xlfn._xlws.FILTER(AI3:AI378, $E$3:$E$378=1))</f>
        <v>0.59282287320238536</v>
      </c>
      <c r="AJ384" cm="1">
        <f t="array" ref="AJ384">MEDIAN(_xlfn._xlws.FILTER(AJ3:AJ378, $E$3:$E$378=1))</f>
        <v>0.58934880129818334</v>
      </c>
      <c r="AK384" cm="1">
        <f t="array" ref="AK384">MEDIAN(_xlfn._xlws.FILTER(AK3:AK378, $E$3:$E$378=1))</f>
        <v>2.1340219298959711</v>
      </c>
      <c r="AL384" cm="1">
        <f t="array" ref="AL384">MEDIAN(_xlfn._xlws.FILTER(AL3:AL378, $E$3:$E$378=1))</f>
        <v>0.5405534434976289</v>
      </c>
      <c r="AM384" cm="1">
        <f t="array" ref="AM384">MEDIAN(_xlfn._xlws.FILTER(AM3:AM378, $E$3:$E$378=1))</f>
        <v>2.0292698112985823</v>
      </c>
      <c r="AN384" cm="1">
        <f t="array" ref="AN384">MEDIAN(_xlfn._xlws.FILTER(AN3:AN378, $E$3:$E$378=1))</f>
        <v>0.67327757699531499</v>
      </c>
      <c r="AO384" cm="1">
        <f t="array" ref="AO384">MEDIAN(_xlfn._xlws.FILTER(AO3:AO378, $E$3:$E$378=1))</f>
        <v>2.170834211900365</v>
      </c>
      <c r="AP384" cm="1">
        <f t="array" ref="AP384">MEDIAN(_xlfn._xlws.FILTER(AP3:AP378, $E$3:$E$378=1))</f>
        <v>0.77882318859919897</v>
      </c>
      <c r="AQ384" cm="1">
        <f t="array" ref="AQ384">MEDIAN(_xlfn._xlws.FILTER(AQ3:AQ378, $E$3:$E$378=1))</f>
        <v>1.0746463760093321</v>
      </c>
      <c r="AR384" cm="1">
        <f t="array" ref="AR384">MEDIAN(_xlfn._xlws.FILTER(AR3:AR378, $E$3:$E$378=1))</f>
        <v>0.49057309942145366</v>
      </c>
      <c r="AS384" cm="1">
        <f t="array" ref="AS384">MEDIAN(_xlfn._xlws.FILTER(AS3:AS378, $E$3:$E$378=1))</f>
        <v>3.6381746603001375</v>
      </c>
      <c r="AT384" cm="1">
        <f t="array" ref="AT384">MEDIAN(_xlfn._xlws.FILTER(AT3:AT378, $E$3:$E$378=1))</f>
        <v>1.2821232463960766</v>
      </c>
    </row>
  </sheetData>
  <mergeCells count="3">
    <mergeCell ref="F1:R1"/>
    <mergeCell ref="T1:AF1"/>
    <mergeCell ref="AH1:AT1"/>
  </mergeCells>
  <conditionalFormatting sqref="F3:R58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F59:R162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F383:R38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4:R38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AF5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59:AF162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383:AF38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4:AF38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:AT5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H59:AT162">
    <cfRule type="colorScale" priority="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H383:AT3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4:AT38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:AV5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V59:AV162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Pure Decorrelation</vt:lpstr>
      <vt:lpstr>Provided DAG</vt:lpstr>
      <vt:lpstr>Inferred DAG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</dc:creator>
  <cp:lastModifiedBy>Pratanu Mandal</cp:lastModifiedBy>
  <dcterms:created xsi:type="dcterms:W3CDTF">2026-01-09T13:23:02Z</dcterms:created>
  <dcterms:modified xsi:type="dcterms:W3CDTF">2026-10-15T22:49:40Z</dcterms:modified>
</cp:coreProperties>
</file>